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Dashboard" sheetId="2" r:id="rId2"/>
    <sheet name="PRS Database Readiness" sheetId="3" r:id="rId3"/>
    <sheet name="Properties" sheetId="4" r:id="rId4"/>
    <sheet name="Compliance Log" sheetId="5" r:id="rId5"/>
    <sheet name="Fire Safety Log" sheetId="6" r:id="rId6"/>
    <sheet name="Licence Conditions" sheetId="7" r:id="rId7"/>
    <sheet name="Tenancies &amp; Renters Rights" sheetId="8" r:id="rId8"/>
    <sheet name="Contractors" sheetId="9" r:id="rId9"/>
    <sheet name="Reference" sheetId="10" r:id="rId10"/>
  </sheets>
  <definedNames>
    <definedName name="BRAND_EMAIL">'Start Here'!$C$22</definedName>
    <definedName name="BRAND_NAME">'Start Here'!$C$20</definedName>
    <definedName name="BRAND_PHONE">'Start Here'!$C$21</definedName>
    <definedName name="BRAND_WEBSITE">'Start Here'!$C$23</definedName>
    <definedName name="_xlnm.Print_Area" localSheetId="4">'Compliance Log'!$A$1:$L$65</definedName>
    <definedName name="_xlnm.Print_Area" localSheetId="8">Contractors!$A$1:$H$45</definedName>
    <definedName name="_xlnm.Print_Area" localSheetId="1">Dashboard!$A$1:$N$45</definedName>
    <definedName name="_xlnm.Print_Area" localSheetId="5">'Fire Safety Log'!$A$1:$J$65</definedName>
    <definedName name="_xlnm.Print_Area" localSheetId="6">'Licence Conditions'!$A$1:$G$286</definedName>
    <definedName name="_xlnm.Print_Area" localSheetId="3">Properties!$A$1:$T$55</definedName>
    <definedName name="_xlnm.Print_Area" localSheetId="2">'PRS Database Readiness'!$A$1:$J$39</definedName>
    <definedName name="_xlnm.Print_Area" localSheetId="9">Reference!$A$1:$I$47</definedName>
    <definedName name="_xlnm.Print_Area" localSheetId="0">'Start Here'!$A$1:$E$50</definedName>
    <definedName name="_xlnm.Print_Area" localSheetId="7">'Tenancies &amp; Renters Rights'!$A$1:$Y$55</definedName>
    <definedName name="_xlnm.Print_Titles" localSheetId="4">'Compliance Log'!$5:$5</definedName>
    <definedName name="_xlnm.Print_Titles" localSheetId="8">Contractors!$5:$5</definedName>
    <definedName name="_xlnm.Print_Titles" localSheetId="1">Dashboard!$1:$3</definedName>
    <definedName name="_xlnm.Print_Titles" localSheetId="5">'Fire Safety Log'!$5:$5</definedName>
    <definedName name="_xlnm.Print_Titles" localSheetId="3">Properties!$5:$5</definedName>
    <definedName name="_xlnm.Print_Titles" localSheetId="2">'PRS Database Readiness'!$8:$8</definedName>
    <definedName name="_xlnm.Print_Titles" localSheetId="9">Reference!$5:$5</definedName>
    <definedName name="_xlnm.Print_Titles" localSheetId="7">'Tenancies &amp; Renters Rights'!$5:$5</definedName>
  </definedNames>
  <calcPr calcId="124519" fullCalcOnLoad="1"/>
</workbook>
</file>

<file path=xl/sharedStrings.xml><?xml version="1.0" encoding="utf-8"?>
<sst xmlns="http://schemas.openxmlformats.org/spreadsheetml/2006/main" count="1883" uniqueCount="628">
  <si>
    <t>HMO compliance tracker for landlords and letting agents in England  ·  Excel and Google Sheets</t>
  </si>
  <si>
    <t>Version 2.0  ·  Law as understood at October 2026 (England)</t>
  </si>
  <si>
    <t>START HERE: 5 STEPS</t>
  </si>
  <si>
    <t>1  Add your properties</t>
  </si>
  <si>
    <t>Go to Properties and type one property per row (over the two SAMPLE rows). Each property name must be unique: the other sheets pick properties from this list.</t>
  </si>
  <si>
    <t>2  Log your checks</t>
  </si>
  <si>
    <t>Go to Compliance Log. Pick a Property and a Check type, then enter the date it was last done. The tracker looks up how often it is needed, works out Next due and Days left, and colours the Status.</t>
  </si>
  <si>
    <t>3  Record day-to-day safety</t>
  </si>
  <si>
    <t>Use Fire Safety Log for alarm, emergency-lighting and fire-door checks; Licence Conditions to work through each HMO licence condition and check room sizes; Tenancies &amp; Renters Rights for deposits, Right to Rent, rent increases and pet requests; PRS Database Readiness to prepare for England's new landlord database.</t>
  </si>
  <si>
    <t>4  Keep contractors to hand</t>
  </si>
  <si>
    <t>List your gas engineer, electrician and fire-alarm company on Contractors, and record certificate references and document links against each check in the Compliance Log.</t>
  </si>
  <si>
    <t>5  Check the Dashboard weekly</t>
  </si>
  <si>
    <t>The Dashboard updates by itself: clear Reds first, then Ambers. The Reference sheet explains every check, how often it is normally needed, and the official source.</t>
  </si>
  <si>
    <t>To clear the SAMPLE data: on each sheet select the white input cells in the rows marked SAMPLE and press Delete. Leave the grey formula cells alone.</t>
  </si>
  <si>
    <t>COLOUR KEY</t>
  </si>
  <si>
    <t>Red: Overdue</t>
  </si>
  <si>
    <t>The due date has passed. Deal with these first.</t>
  </si>
  <si>
    <t>Amber: Due within 60 days</t>
  </si>
  <si>
    <t>Orange = due in 30 days or less (Due &lt;=30). Yellow = due in 31 to 60 days (Due 31-60).</t>
  </si>
  <si>
    <t>Green: OK</t>
  </si>
  <si>
    <t>More than 60 days left.</t>
  </si>
  <si>
    <t>Grey: No date entered</t>
  </si>
  <si>
    <t>No last-done date has been entered yet, or the date is not recognised as a date.</t>
  </si>
  <si>
    <t>Amber is split into two shades so you can see what is most urgent.</t>
  </si>
  <si>
    <t>BRAND: change these 4 cells and the header line on every sheet updates (white-label copy)</t>
  </si>
  <si>
    <t>Business name</t>
  </si>
  <si>
    <t>HMO Compliance Tracker 2026</t>
  </si>
  <si>
    <t>Shown at the top of every sheet.</t>
  </si>
  <si>
    <t>Phone</t>
  </si>
  <si>
    <t>Optional. Leave empty to hide.</t>
  </si>
  <si>
    <t>Email</t>
  </si>
  <si>
    <t>Website</t>
  </si>
  <si>
    <t>Header preview</t>
  </si>
  <si>
    <t>ABOUT THIS VERSION</t>
  </si>
  <si>
    <t>Version</t>
  </si>
  <si>
    <t>2.0 (October 2026)</t>
  </si>
  <si>
    <t>Law</t>
  </si>
  <si>
    <t>Law as understood at October 2026 (England)</t>
  </si>
  <si>
    <t>Coverage</t>
  </si>
  <si>
    <t>England only. Wales, Scotland and Northern Ireland have different rules.</t>
  </si>
  <si>
    <t>Support</t>
  </si>
  <si>
    <t>hello@innovateuk.uk</t>
  </si>
  <si>
    <t>IMPORTANT</t>
  </si>
  <si>
    <t>This tracker is an organisational tool, not legal advice. Check requirements with your local council and a qualified adviser.</t>
  </si>
  <si>
    <t>Independent product. Not affiliated with, endorsed by or connected to Innovate UK, UKRI, GOV.UK or any council. The Reference sheet links to the official sources used.</t>
  </si>
  <si>
    <t>USING GOOGLE SHEETS?</t>
  </si>
  <si>
    <t>Upload the .xlsx to Google Drive (or Google Sheets &gt; File &gt; Import &gt; Upload) and open it with Google Sheets. Then choose File &gt; Settings &gt; Locale &gt; United Kingdom so dates read dd/mm/yyyy. Everything works without add-ons or scripts.</t>
  </si>
  <si>
    <t>SHEETS IN THIS WORKBOOK (click to jump)</t>
  </si>
  <si>
    <t>Dashboard</t>
  </si>
  <si>
    <t>Totals, per-property summary and the next 15 deadlines. Automatic.</t>
  </si>
  <si>
    <t>PRS Database Readiness</t>
  </si>
  <si>
    <t>NEW: get every property ready for the new national landlord database (draft regulations).</t>
  </si>
  <si>
    <t>Properties</t>
  </si>
  <si>
    <t>Your properties: licence, occupancy, EPC, PRS Database reference, manager.</t>
  </si>
  <si>
    <t>Compliance Log</t>
  </si>
  <si>
    <t>One row per property and check. Next due, days left and status are automatic.</t>
  </si>
  <si>
    <t>Fire Safety Log</t>
  </si>
  <si>
    <t>Weekly alarm tests, emergency lighting, fire doors, drills and defects.</t>
  </si>
  <si>
    <t>Licence Conditions</t>
  </si>
  <si>
    <t>HMO licence condition checklists and the room-size calculator.</t>
  </si>
  <si>
    <t>Tenancies &amp; Renters Rights</t>
  </si>
  <si>
    <t>Deposits, Right to Rent, written terms, Information Sheet, rent increases, pet requests.</t>
  </si>
  <si>
    <t>Contractors</t>
  </si>
  <si>
    <t>Who does what, with registration numbers.</t>
  </si>
  <si>
    <t>Reference</t>
  </si>
  <si>
    <t>What each check is, how often, the legal basis and the official link.</t>
  </si>
  <si>
    <t>PROPERTIES</t>
  </si>
  <si>
    <t>CHECKS TRACKED</t>
  </si>
  <si>
    <t>OVERDUE</t>
  </si>
  <si>
    <t>DUE &lt;=30 DAYS</t>
  </si>
  <si>
    <t>DUE 31-60 DAYS</t>
  </si>
  <si>
    <t>OK</t>
  </si>
  <si>
    <t>NO DATE ENTERED</t>
  </si>
  <si>
    <t>OPEN FIRE-SAFETY DEFECTS</t>
  </si>
  <si>
    <t>LICENCES EXPIRED / &lt;=60 DAYS</t>
  </si>
  <si>
    <t>PROPERTIES OVER-OCCUPIED</t>
  </si>
  <si>
    <t>PRS DB: NOT YET READY</t>
  </si>
  <si>
    <t>PRS DB: EARLIEST DEADLINE</t>
  </si>
  <si>
    <t>NEXT 15 DEADLINES (soonest first, overdue items at the top)</t>
  </si>
  <si>
    <t>#</t>
  </si>
  <si>
    <t>Due date</t>
  </si>
  <si>
    <t>Days left</t>
  </si>
  <si>
    <t>Property</t>
  </si>
  <si>
    <t>Check</t>
  </si>
  <si>
    <t>Status</t>
  </si>
  <si>
    <t>PROPERTY SUMMARY (from the Compliance Log)</t>
  </si>
  <si>
    <t>Overdue</t>
  </si>
  <si>
    <t>Due soon (&lt;=60)</t>
  </si>
  <si>
    <t>No date</t>
  </si>
  <si>
    <t>Worst status</t>
  </si>
  <si>
    <t>Checks</t>
  </si>
  <si>
    <t>Regional dates and the landlord checklist are below the table (click)</t>
  </si>
  <si>
    <t>DRAFT REGULATIONS, NOT YET MADE. The Private Rented Sector Database Regulations 2026 were published as a draft statutory instrument in September 2026 and are subject to approval by Parliament, so dates, fees and data items may still change. This sheet follows the draft (legislation.gov.uk) and the GOV.UK announcement of 9 September 2026. Check GOV.UK before relying on it.</t>
  </si>
  <si>
    <t>PROPERTIES TRACKED</t>
  </si>
  <si>
    <t>READY</t>
  </si>
  <si>
    <t>NEARLY READY</t>
  </si>
  <si>
    <t>NOT READY</t>
  </si>
  <si>
    <t>REGISTERED</t>
  </si>
  <si>
    <t>EARLIEST REGISTER-BY DATE</t>
  </si>
  <si>
    <t>Fee per property per year (editable):</t>
  </si>
  <si>
    <t>Estimated annual fee:</t>
  </si>
  <si>
    <t>NRLA (not official) states £65 per property per year; the draft regulations leave the amount to the database operator (reg 14).</t>
  </si>
  <si>
    <t>READINESS (automatic): Ready = all 17 items done; Nearly = 3 or fewer left; Not ready = 4 or more left</t>
  </si>
  <si>
    <t>DRAFT SCHEDULE 3, PART 1: DWELLING INFORMATION</t>
  </si>
  <si>
    <t>DRAFT SCHEDULE 3, PART 2: TENANCY AND HEALTH AND SAFETY (may follow within 28 days of the entry if let; use Yes / No / N/A)</t>
  </si>
  <si>
    <t>REGISTRATION AND UPDATES</t>
  </si>
  <si>
    <t>Region (pick from list)</t>
  </si>
  <si>
    <t>Registration opens (auto)</t>
  </si>
  <si>
    <t>Register by (auto)</t>
  </si>
  <si>
    <t>Days left (auto)</t>
  </si>
  <si>
    <t>Items ready (of 17)</t>
  </si>
  <si>
    <t>Items outstanding</t>
  </si>
  <si>
    <t>Ready %</t>
  </si>
  <si>
    <t>Status (auto)</t>
  </si>
  <si>
    <t>Registration status (auto)</t>
  </si>
  <si>
    <t>1  Address of dwelling</t>
  </si>
  <si>
    <t>2  Landlord name, correspondence address (no PO box), email</t>
  </si>
  <si>
    <t>3  Ownership type</t>
  </si>
  <si>
    <t>4  Dwelling type</t>
  </si>
  <si>
    <t>5  Number of bedrooms</t>
  </si>
  <si>
    <t>6  Whether currently let</t>
  </si>
  <si>
    <t>7  Name and email: freehold owner, superior landlord, property manager</t>
  </si>
  <si>
    <t>8  Number of occupants</t>
  </si>
  <si>
    <t>9  Number of households</t>
  </si>
  <si>
    <t>10  HMO / additional / selective licence needed? Licence number(s)</t>
  </si>
  <si>
    <t>11  Gas safety record copy (if gas supply)</t>
  </si>
  <si>
    <t>11  Gas record issue date</t>
  </si>
  <si>
    <t>12  EICR or EIC copy</t>
  </si>
  <si>
    <t>12  EICR expiry date (or EIC issue date)</t>
  </si>
  <si>
    <t>13  EPC needed for current tenant? Copy of latest EPC</t>
  </si>
  <si>
    <t>14  If EPC no longer valid: current tenancy start date</t>
  </si>
  <si>
    <t>15  Registered MEES exemption (if EPC below minimum)</t>
  </si>
  <si>
    <t>16  Rent charged, frequency, utilities included?</t>
  </si>
  <si>
    <t>17  Furnished, part furnished or unfurnished</t>
  </si>
  <si>
    <t>Registered on</t>
  </si>
  <si>
    <t>Database reference</t>
  </si>
  <si>
    <t>Next annual renewal (auto: 12 months)</t>
  </si>
  <si>
    <t>Last change to registered information</t>
  </si>
  <si>
    <t>Update database by (auto: 28-day period)</t>
  </si>
  <si>
    <t>Notes</t>
  </si>
  <si>
    <t>REGIONAL ROLLOUT (draft regulations, reg 1): edit the dates here if the final regulations change them</t>
  </si>
  <si>
    <t>Region</t>
  </si>
  <si>
    <t>Registration opens</t>
  </si>
  <si>
    <t>Register by (opens + 3 months)</t>
  </si>
  <si>
    <t>Source</t>
  </si>
  <si>
    <t>West Midlands</t>
  </si>
  <si>
    <t>Draft Private Rented Sector Database Regulations 2026, reg 1(3) and Schedule 1 (list of councils in each region)</t>
  </si>
  <si>
    <t>East of England</t>
  </si>
  <si>
    <t>East Midlands</t>
  </si>
  <si>
    <t>South East</t>
  </si>
  <si>
    <t>Yorkshire and Humber</t>
  </si>
  <si>
    <t>North West</t>
  </si>
  <si>
    <t>North East</t>
  </si>
  <si>
    <t>London</t>
  </si>
  <si>
    <t>South West</t>
  </si>
  <si>
    <t>Register-by is the opening date plus three months, less a day (GOV.UK, 9 September 2026: a three-month period once your area is called; all landlords actively letting must be registered by 14 November 2027). Anything that becomes out of date must be updated within 28 days (the tracker counts the 28-day period as beginning on the day of the change). Entries renew every 12 months.</t>
  </si>
  <si>
    <t>Official draft regulations: legislation.gov.uk/ukdsi/2026/9780348286861</t>
  </si>
  <si>
    <t>LANDLORD ENTRY CHECKLIST (draft Schedule 2): one landlord entry covers all the properties you let</t>
  </si>
  <si>
    <t>Information and documents needed</t>
  </si>
  <si>
    <t>Ready?</t>
  </si>
  <si>
    <t>Individual landlord: name, date of birth, residential address, telephone number and email address.</t>
  </si>
  <si>
    <t>Organisation: name, type of legal entity, address (not a PO box), telephone number and email address.</t>
  </si>
  <si>
    <t>Organisation: name, date of birth, email address and telephone number of the individual making the entry.</t>
  </si>
  <si>
    <t>Organisation: a nominated contact for the database (name, email address and telephone number).</t>
  </si>
  <si>
    <t>Organisation: Companies House registration number and/or charity number, if applicable.</t>
  </si>
  <si>
    <t>Organisation with no Companies House number: names, dates of birth and addresses of all directors, trustees, partners or governing-body members.</t>
  </si>
  <si>
    <t>Trust: name, date of birth, address, email address and telephone number of the lead trustee.</t>
  </si>
  <si>
    <t>Acting for the landlord (power of attorney, personal representative, receiver, liquidator and similar): your details and a copy of the evidence of your authority.</t>
  </si>
  <si>
    <t>Draft reg 4: entries are made by the landlord (or by the representatives listed in Schedule 2 para 17, such as an attorney or trustee in bankruptcy); a letting agent or property manager may provide the Part 2 documents on the landlord's behalf (reg 4(5)). Check the final regulations before relying on this.</t>
  </si>
  <si>
    <t>SAMPLE - 12 Acacia Road, Exampleton</t>
  </si>
  <si>
    <t>Yes</t>
  </si>
  <si>
    <t>N/A</t>
  </si>
  <si>
    <t>No</t>
  </si>
  <si>
    <t>SAMPLE ROW: two items outstanding, so 'Nearly'</t>
  </si>
  <si>
    <t>SAMPLE - Flat 3, 8 Demo Street, Sampleford</t>
  </si>
  <si>
    <t>SAMPLE ROW: several items outstanding, so 'Not ready'</t>
  </si>
  <si>
    <t>One row per property. The property name in column A must be unique: it feeds the dropdowns on the other sheets. Grey columns are automatic. Rows marked SAMPLE show how it works: clear their white cells and add your own.</t>
  </si>
  <si>
    <t>Property (address) - must be unique</t>
  </si>
  <si>
    <t>Council / local authority</t>
  </si>
  <si>
    <t>Licence type</t>
  </si>
  <si>
    <t>Licence number</t>
  </si>
  <si>
    <t>Licence start</t>
  </si>
  <si>
    <t>Licence expiry</t>
  </si>
  <si>
    <t>Licence days left (auto)</t>
  </si>
  <si>
    <t>Licence status (auto)</t>
  </si>
  <si>
    <t>Max permitted occupants</t>
  </si>
  <si>
    <t>Current occupants</t>
  </si>
  <si>
    <t>Over-occupied? (auto)</t>
  </si>
  <si>
    <t>Storeys</t>
  </si>
  <si>
    <t>Rooms</t>
  </si>
  <si>
    <t>EPC rating</t>
  </si>
  <si>
    <t>EPC expiry</t>
  </si>
  <si>
    <t>EPC status (auto)</t>
  </si>
  <si>
    <t>PRS Database registration ref (new for 2026; auto from PRS Database Readiness)</t>
  </si>
  <si>
    <t>Manager name</t>
  </si>
  <si>
    <t>Manager phone</t>
  </si>
  <si>
    <t>Exampleton Borough Council</t>
  </si>
  <si>
    <t>Mandatory HMO</t>
  </si>
  <si>
    <t>SAMPLE-0001</t>
  </si>
  <si>
    <t>D</t>
  </si>
  <si>
    <t>A. Manager</t>
  </si>
  <si>
    <t>01234 567890</t>
  </si>
  <si>
    <t>SAMPLE ROW - delete the white cells in this row. (6 occupants vs 5 permitted shows the over-occupied flag.)</t>
  </si>
  <si>
    <t>Sampleford City Council</t>
  </si>
  <si>
    <t>Additional</t>
  </si>
  <si>
    <t>SAMPLE-0002</t>
  </si>
  <si>
    <t>C</t>
  </si>
  <si>
    <t>SAMPLE ROW - delete the white cells in this row.</t>
  </si>
  <si>
    <t>One row per property and check. Pick the Property and Check type, then enter the date it was Last done. Interval, Next due, Days left and Status fill in automatically (grey columns). To use a different interval for one row, type the number of months in 'Override months'. Rows marked SAMPLE show how it works.</t>
  </si>
  <si>
    <t>Status colours:</t>
  </si>
  <si>
    <t>Due &lt;=30</t>
  </si>
  <si>
    <t>Due 31-60</t>
  </si>
  <si>
    <t>Check type</t>
  </si>
  <si>
    <t>Last done</t>
  </si>
  <si>
    <t>Interval months (auto from Reference)</t>
  </si>
  <si>
    <t>Override months (optional)</t>
  </si>
  <si>
    <t>Next due (auto)</t>
  </si>
  <si>
    <t>Contractor</t>
  </si>
  <si>
    <t>Certificate / ref no.</t>
  </si>
  <si>
    <t>Document link (URL)</t>
  </si>
  <si>
    <t>key</t>
  </si>
  <si>
    <t>Gas Safety Certificate (CP12)</t>
  </si>
  <si>
    <t>SAMPLE Gas Engineer Ltd</t>
  </si>
  <si>
    <t>SAMPLE-CP12-001</t>
  </si>
  <si>
    <t>SAMPLE ROW: overdue example (red)</t>
  </si>
  <si>
    <t>Electrical Installation Condition Report (EICR)</t>
  </si>
  <si>
    <t>SAMPLE Electrics Ltd</t>
  </si>
  <si>
    <t>SAMPLE-EICR-014</t>
  </si>
  <si>
    <t>SAMPLE ROW: OK example (green)</t>
  </si>
  <si>
    <t>Fire Risk Assessment - review</t>
  </si>
  <si>
    <t>SAMPLE Fire Safety Ltd</t>
  </si>
  <si>
    <t>SAMPLE-FRA-2025</t>
  </si>
  <si>
    <t>SAMPLE ROW: due in 31 to 60 days (yellow)</t>
  </si>
  <si>
    <t>Fire alarm system - service</t>
  </si>
  <si>
    <t>SAMPLE-FA-0526</t>
  </si>
  <si>
    <t>SAMPLE ROW</t>
  </si>
  <si>
    <t>Emergency lighting - annual full-discharge test</t>
  </si>
  <si>
    <t>SAMPLE-EL-1025</t>
  </si>
  <si>
    <t>SAMPLE ROW: due within 30 days (orange)</t>
  </si>
  <si>
    <t>Fire extinguishers - service</t>
  </si>
  <si>
    <t>SAMPLE-FE-0726</t>
  </si>
  <si>
    <t>Portable appliance testing (PAT)</t>
  </si>
  <si>
    <t>HMO licence renewal</t>
  </si>
  <si>
    <t>SAMPLE ROW: last done = licence start</t>
  </si>
  <si>
    <t>SAMPLE-CP12-002</t>
  </si>
  <si>
    <t>SAMPLE-EICR-009</t>
  </si>
  <si>
    <t>SAMPLE ROW: no date entered yet (grey)</t>
  </si>
  <si>
    <t>Energy Performance Certificate (EPC)</t>
  </si>
  <si>
    <t>SAMPLE-EPC-5521</t>
  </si>
  <si>
    <t>Smoke &amp; CO alarms - check</t>
  </si>
  <si>
    <t>SAMPLE-FE-1125</t>
  </si>
  <si>
    <t>SAMPLE ROW: licence ends soon (yellow)</t>
  </si>
  <si>
    <t>Record each test or check as you do it. Pick Fail if anything is wrong, describe the defect and action, and enter the date fixed: the Defect status column shows OPEN until a fix date is entered. Rows marked SAMPLE show how it works.</t>
  </si>
  <si>
    <t>Date</t>
  </si>
  <si>
    <t>Test type</t>
  </si>
  <si>
    <t>Location / call point</t>
  </si>
  <si>
    <t>Result</t>
  </si>
  <si>
    <t>Defect found</t>
  </si>
  <si>
    <t>Action taken</t>
  </si>
  <si>
    <t>Date fixed</t>
  </si>
  <si>
    <t>Signed by</t>
  </si>
  <si>
    <t>Defect status (auto)</t>
  </si>
  <si>
    <t>Weekly alarm test</t>
  </si>
  <si>
    <t>Call point: ground floor hall</t>
  </si>
  <si>
    <t>Pass</t>
  </si>
  <si>
    <t>Call point: first floor landing</t>
  </si>
  <si>
    <t>Call point: kitchen</t>
  </si>
  <si>
    <t>Fail</t>
  </si>
  <si>
    <t>SAMPLE: sounder not audible in room 4</t>
  </si>
  <si>
    <t>Engineer called, sounder replaced</t>
  </si>
  <si>
    <t>Monthly emergency lighting test</t>
  </si>
  <si>
    <t>Stairwell</t>
  </si>
  <si>
    <t>SAMPLE: lamp not lighting</t>
  </si>
  <si>
    <t>Replacement ordered</t>
  </si>
  <si>
    <t>Fire door check</t>
  </si>
  <si>
    <t>Kitchen door</t>
  </si>
  <si>
    <t>Fire drill</t>
  </si>
  <si>
    <t>Whole house</t>
  </si>
  <si>
    <t>Licence Conditions and Room Sizes</t>
  </si>
  <si>
    <t>Work through one checklist per licensed property: pick the property at the top of its block, answer Yes / No / N/A for each condition, and note your evidence. Your council's own licence is what binds you: where it differs from this list, follow your licence. Rows marked SAMPLE show how it works.</t>
  </si>
  <si>
    <t>Room-size calculator is here (columns I to P)</t>
  </si>
  <si>
    <t>#1</t>
  </si>
  <si>
    <t>Ref</t>
  </si>
  <si>
    <t>Licence condition</t>
  </si>
  <si>
    <t>Type</t>
  </si>
  <si>
    <t>Legal basis</t>
  </si>
  <si>
    <t>Complies?</t>
  </si>
  <si>
    <t>Evidence / notes</t>
  </si>
  <si>
    <t>Date checked</t>
  </si>
  <si>
    <t>M1</t>
  </si>
  <si>
    <t>Gas: produce a gas safety certificate obtained within the last 12 months to the council every year (if gas is supplied to the house).</t>
  </si>
  <si>
    <t>Mandatory</t>
  </si>
  <si>
    <t>Housing Act 2004 Sch 4 para 1(2)</t>
  </si>
  <si>
    <t>M2</t>
  </si>
  <si>
    <t>Keep electrical appliances and furniture you supply in a safe condition; give the council a declaration of their safety on demand.</t>
  </si>
  <si>
    <t>Sch 4 para 1(3)(a)-(b)</t>
  </si>
  <si>
    <t>M3</t>
  </si>
  <si>
    <t>Make sure every electrical installation is in proper working order and safe for continued use; give the council a declaration on demand.</t>
  </si>
  <si>
    <t>Sch 4 para 1(3)(c)-(d) (England)</t>
  </si>
  <si>
    <t>M4</t>
  </si>
  <si>
    <t>Smoke alarm on each storey with living accommodation (halls, landings and bathrooms count), kept in proper working order; declaration on demand.</t>
  </si>
  <si>
    <t>Sch 4 para 1(4)(za),(b), 1(6)-(7)</t>
  </si>
  <si>
    <t>M5</t>
  </si>
  <si>
    <t>Carbon monoxide alarm in any room used as living accommodation with a fixed combustion appliance (not a gas cooker), kept in proper working order; declaration on demand.</t>
  </si>
  <si>
    <t>Sch 4 para 1(4A)</t>
  </si>
  <si>
    <t>M6</t>
  </si>
  <si>
    <t>Give every occupier a written statement of the terms on which they occupy.</t>
  </si>
  <si>
    <t>Sch 4 para 1(5)</t>
  </si>
  <si>
    <t>M7</t>
  </si>
  <si>
    <t>Sleeping rooms meet the minimum floor area: 6.51 m2 (one person over 10), 10.22 m2 (two people over 10), 4.64 m2 (one person under 10). Floor under a ceiling lower than 1.5 m does not count.</t>
  </si>
  <si>
    <t>Sch 4 para 1A(2)(a)-(c), (9)</t>
  </si>
  <si>
    <t>M8</t>
  </si>
  <si>
    <t>No room under 4.64 m2 is used for sleeping, and the council has been told about any such room.</t>
  </si>
  <si>
    <t>Sch 4 para 1A(2)(d), (6)</t>
  </si>
  <si>
    <t>M9</t>
  </si>
  <si>
    <t>No room has more people sleeping in it than the maximum set out in your licence.</t>
  </si>
  <si>
    <t>Sch 4 para 1A(3)</t>
  </si>
  <si>
    <t>M10</t>
  </si>
  <si>
    <t>Comply with the council's scheme for storing and disposing of household waste pending collection.</t>
  </si>
  <si>
    <t>Sch 4 para 1C</t>
  </si>
  <si>
    <t>L1</t>
  </si>
  <si>
    <t>Manager's name, address and phone number displayed prominently and given to each household.</t>
  </si>
  <si>
    <t>Management of HMOs Regs 2006 reg 3</t>
  </si>
  <si>
    <t>L2</t>
  </si>
  <si>
    <t>Escape routes kept clear and in good repair; fire alarms and fire-fighting equipment kept in good working order; escape-route notices displayed (HMOs with 5 or more occupiers).</t>
  </si>
  <si>
    <t>Management Regs 2006 reg 4</t>
  </si>
  <si>
    <t>L3</t>
  </si>
  <si>
    <t>Electrical installation inspected and tested at least every 5 years (EICR held; copies given to tenants and the council as required).</t>
  </si>
  <si>
    <t>Electrical Safety Standards Regs 2020 reg 3</t>
  </si>
  <si>
    <t>L4</t>
  </si>
  <si>
    <t>Fire risk assessment made for the common parts and reviewed regularly.</t>
  </si>
  <si>
    <t>Fire Safety Order 2005 art 9</t>
  </si>
  <si>
    <t>L5</t>
  </si>
  <si>
    <t>Common parts and living accommodation kept clean, safe and in repair; water, drainage, gas and electricity supplies not unreasonably interrupted; enough bins for each household.</t>
  </si>
  <si>
    <t>Management Regs 2006 regs 5, 7, 8, 9</t>
  </si>
  <si>
    <t>L6</t>
  </si>
  <si>
    <t>Right to Rent check done for every adult occupier before the tenancy begins; evidence kept for the tenancy plus one year.</t>
  </si>
  <si>
    <t>Immigration Act 2014 (Home Office guide)</t>
  </si>
  <si>
    <t>L7</t>
  </si>
  <si>
    <t>Deposits protected in an authorised scheme and prescribed information given within 30 days (period begins on the day received).</t>
  </si>
  <si>
    <t>Housing Act 2004 s.213</t>
  </si>
  <si>
    <t>C1</t>
  </si>
  <si>
    <t>Test the fire alarm weekly, using a different call point each time, and keep a log.</t>
  </si>
  <si>
    <t>Common</t>
  </si>
  <si>
    <t>Official fire guidance; often a licence condition</t>
  </si>
  <si>
    <t>C2</t>
  </si>
  <si>
    <t>Test emergency lighting monthly, run the annual full-discharge test, and keep records.</t>
  </si>
  <si>
    <t>C3</t>
  </si>
  <si>
    <t>Check fire doors regularly (guidance: monthly) and keep them closing properly with intact seals.</t>
  </si>
  <si>
    <t>C4</t>
  </si>
  <si>
    <t>Fire extinguishers checked monthly and serviced annually by a competent person.</t>
  </si>
  <si>
    <t>C5</t>
  </si>
  <si>
    <t>Give occupiers house rules and key information (emergency numbers, fire procedure, refuse arrangements).</t>
  </si>
  <si>
    <t>Typical council condition: check yours</t>
  </si>
  <si>
    <t>C6</t>
  </si>
  <si>
    <t>Have a procedure for complaints and anti-social behaviour, and keep records.</t>
  </si>
  <si>
    <t>C7</t>
  </si>
  <si>
    <t>Inspect the property at regular intervals and keep written records.</t>
  </si>
  <si>
    <t>C8</t>
  </si>
  <si>
    <t>Tell the council about changes (new manager, change of ownership, alterations, change in occupancy). Amenities (kitchens, bathrooms, heating) meet your council's standards.</t>
  </si>
  <si>
    <t>#2</t>
  </si>
  <si>
    <t>#3</t>
  </si>
  <si>
    <t>#4</t>
  </si>
  <si>
    <t>#5</t>
  </si>
  <si>
    <t>#6</t>
  </si>
  <si>
    <t>#7</t>
  </si>
  <si>
    <t>#8</t>
  </si>
  <si>
    <t>#9</t>
  </si>
  <si>
    <t>#10</t>
  </si>
  <si>
    <t>SAMPLE: CP12 on file</t>
  </si>
  <si>
    <t>SAMPLE: PAT report on file</t>
  </si>
  <si>
    <t>SAMPLE: EICR on file</t>
  </si>
  <si>
    <t>SAMPLE: alarm test log</t>
  </si>
  <si>
    <t>SAMPLE: no fixed combustion appliance</t>
  </si>
  <si>
    <t>SAMPLE: agreements issued</t>
  </si>
  <si>
    <t>SAMPLE: rooms measured</t>
  </si>
  <si>
    <t>SAMPLE: no room under 4.64 m2</t>
  </si>
  <si>
    <t>SAMPLE: limits shown in licence</t>
  </si>
  <si>
    <t>SAMPLE: bin arrangements not yet agreed with council</t>
  </si>
  <si>
    <t>SAMPLE: notice in the hallway</t>
  </si>
  <si>
    <t>SAMPLE: escape routes checked weekly</t>
  </si>
  <si>
    <t>ROOM-SIZE CALCULATOR: statutory minimum sleeping-room sizes</t>
  </si>
  <si>
    <t>PROVISIONAL</t>
  </si>
  <si>
    <t>Room</t>
  </si>
  <si>
    <t>Floor area (m2)</t>
  </si>
  <si>
    <t>Persons aged over 10</t>
  </si>
  <si>
    <t>Children aged under 10</t>
  </si>
  <si>
    <t>Statutory minimum (m2)</t>
  </si>
  <si>
    <t>Meets minimum? (auto)</t>
  </si>
  <si>
    <t>Largest use by area (auto)</t>
  </si>
  <si>
    <t>Room 1</t>
  </si>
  <si>
    <t>Room 2</t>
  </si>
  <si>
    <t>Room 3</t>
  </si>
  <si>
    <t>Room 4</t>
  </si>
  <si>
    <t>Room 5</t>
  </si>
  <si>
    <t>Tenancies &amp; Renters' Rights</t>
  </si>
  <si>
    <t>One row per tenancy or room. Use tenant initials or a reference only, not full names. Grey columns are automatic. There are no Section 21 columns: Section 21 notices ended in England on 1 May 2026. Rows marked SAMPLE show how it works.</t>
  </si>
  <si>
    <t>Tenant ref (initials only)</t>
  </si>
  <si>
    <t>Tenancy start</t>
  </si>
  <si>
    <t>Rent (£ per month)</t>
  </si>
  <si>
    <t>Deposit (£)</t>
  </si>
  <si>
    <t>Deposit received</t>
  </si>
  <si>
    <t>Deposit protected on</t>
  </si>
  <si>
    <t>Prescribed info served on</t>
  </si>
  <si>
    <t>Deposit check (auto: 30-day rule)</t>
  </si>
  <si>
    <t>Deposit vs 5-week cap (auto)</t>
  </si>
  <si>
    <t>Right to Rent checked</t>
  </si>
  <si>
    <t>Follow-up check due (if right is time-limited)</t>
  </si>
  <si>
    <t>Right to Rent status (auto)</t>
  </si>
  <si>
    <t>Written statement of terms given (new tenancies: before signing)</t>
  </si>
  <si>
    <t>Renters' Rights Act Information Sheet given (existing tenancies: by 31/05/2026)</t>
  </si>
  <si>
    <t>Paperwork check (auto)</t>
  </si>
  <si>
    <t>Last rent increase (date it took effect)</t>
  </si>
  <si>
    <t>Earliest next increase (auto: 52 weeks later)</t>
  </si>
  <si>
    <t>Section 13 notice served</t>
  </si>
  <si>
    <t>Earliest effective date (auto: 2 months after notice)</t>
  </si>
  <si>
    <t>Pet request received</t>
  </si>
  <si>
    <t>Pet request answered</t>
  </si>
  <si>
    <t>Pet request status (auto: reply due in 28 days)</t>
  </si>
  <si>
    <t>SAMPLE AB</t>
  </si>
  <si>
    <t>SAMPLE CD</t>
  </si>
  <si>
    <t>SAMPLE ROW: deposit not yet protected (red); written terms missing (new tenancy); pet request awaiting reply</t>
  </si>
  <si>
    <t>SAMPLE EF</t>
  </si>
  <si>
    <t>Room A</t>
  </si>
  <si>
    <t>SAMPLE ROW: Right to Rent follow-up due soon; Section 13 notice served</t>
  </si>
  <si>
    <t>SAMPLE GH</t>
  </si>
  <si>
    <t>Room B</t>
  </si>
  <si>
    <t>SAMPLE ROW: deposit above the 5-week cap (flag shown)</t>
  </si>
  <si>
    <t>Your trusted tradespeople. Check registrations on the relevant register before use (for example the Gas Safe Register for gas work). Rows marked SAMPLE show how it works.</t>
  </si>
  <si>
    <t>Name</t>
  </si>
  <si>
    <t>Trade</t>
  </si>
  <si>
    <t>Registered with (e.g. Gas Safe, NICEIC, NAPIT)</t>
  </si>
  <si>
    <t>Registration no.</t>
  </si>
  <si>
    <t>Last used</t>
  </si>
  <si>
    <t>Gas engineer</t>
  </si>
  <si>
    <t>Gas Safe</t>
  </si>
  <si>
    <t>SAMPLE-000000</t>
  </si>
  <si>
    <t>01632 960001</t>
  </si>
  <si>
    <t>sample@example.com</t>
  </si>
  <si>
    <t>SAMPLE ROW. Always check the Gas Safe Register.</t>
  </si>
  <si>
    <t>Electrician</t>
  </si>
  <si>
    <t>NICEIC</t>
  </si>
  <si>
    <t>01632 960002</t>
  </si>
  <si>
    <t>Fire alarm engineer</t>
  </si>
  <si>
    <t>BAFE</t>
  </si>
  <si>
    <t>01632 960003</t>
  </si>
  <si>
    <t>Reference: what to check, how often, and why</t>
  </si>
  <si>
    <t>Column C (months) is the interval the Compliance Log uses; change it here and every row using that check updates. Type shows whether each item is LAW, official GUIDANCE, BEST PRACTICE or a typical LICENCE CONDITION. Where we could not confirm something from an official source it says CHECK LOCALLY. Add your own checks in the yellow rows.</t>
  </si>
  <si>
    <t>Requirement / check</t>
  </si>
  <si>
    <t>Applies to</t>
  </si>
  <si>
    <t>Interval (months)</t>
  </si>
  <si>
    <t>Typical frequency</t>
  </si>
  <si>
    <t>Notes and penalty</t>
  </si>
  <si>
    <t>Official source URL</t>
  </si>
  <si>
    <t>Last checked</t>
  </si>
  <si>
    <t>Any let home with a gas appliance, flue or pipework</t>
  </si>
  <si>
    <t>Every 12 months</t>
  </si>
  <si>
    <t>LAW</t>
  </si>
  <si>
    <t>Gas Safety (Installation and Use) Regulations 1998 reg 36 and reg 3(3). Licensed HMOs: Housing Act 2004 Sch 4 para 1(2). Management of HMOs Regs 2006 reg 6(1).</t>
  </si>
  <si>
    <t>Check by a Gas Safe registered engineer at least every 12 months. A check done in the 2 months before the deadline keeps the same renewal date (reg 36A). Give existing tenants a copy within 28 days of the check and new tenants a copy before they move in; keep records for at least 2 years (HSE). Licensed HMOs: show the council a certificate under 12 months old every year; the manager must supply the latest certificate within 7 days of a written request. Penalties: not verified here, see HSE and your council.</t>
  </si>
  <si>
    <t>https://www.legislation.gov.uk/uksi/1998/2451/regulation/36</t>
  </si>
  <si>
    <t>02/10/2026</t>
  </si>
  <si>
    <t>All privately rented homes in England, including HMOs</t>
  </si>
  <si>
    <t>At least every 5 years (sooner if the report says)</t>
  </si>
  <si>
    <t>Electrical Safety Standards in the Private Rented Sector (England) Regulations 2020 reg 3. Licensed HMOs: Housing Act 2004 Sch 4 para 1(3)(c).</t>
  </si>
  <si>
    <t>A qualified person inspects and tests the fixed electrical installation. Give existing tenants a copy within 28 days, new tenants before they move in, and the council within 7 days of a written request. Remedial work must be done within 28 days (or sooner if the report says). Civil penalty up to £40,000 (cap shown in the regulations from 1 May 2026). The old 5-yearly duty in the 2006 Management of HMOs Regs (reg 6(3) as made) was removed in 2020; these regulations replaced it.</t>
  </si>
  <si>
    <t>https://www.legislation.gov.uk/uksi/2020/312/regulation/3</t>
  </si>
  <si>
    <t>Let homes that need an EPC (HMOs let room by room: check with your council)</t>
  </si>
  <si>
    <t>Valid for 10 years</t>
  </si>
  <si>
    <t>Energy Performance of Buildings (England and Wales) Regulations 2012; Domestic Minimum Energy Efficiency Standard (MEES) Regulations (band E).</t>
  </si>
  <si>
    <t>An EPC is valid if it was entered on the register no more than 10 years before it is made available. Official guidance: MEES applies to assured tenancies where an EPC is legally required; a property rated F or G needs improvements or a registered exemption (cost cap £3,500 including VAT). EPC band C by 2030 is a government aim, not yet law. Whether a room-by-room HMO needs an EPC: CHECK LOCALLY.</t>
  </si>
  <si>
    <t>https://www.gov.uk/guidance/domestic-private-rented-property-minimum-energy-efficiency-standard-landlord-guidance</t>
  </si>
  <si>
    <t>Common parts of every HMO (the Fire Safety Order covers the non-domestic parts)</t>
  </si>
  <si>
    <t>Review regularly; 12 months is common practice</t>
  </si>
  <si>
    <t>LAW (interval = practice)</t>
  </si>
  <si>
    <t>Regulatory Reform (Fire Safety) Order 2005 arts 9 and 17.</t>
  </si>
  <si>
    <t>The responsible person must make a suitable and sufficient fire risk assessment and review it regularly, particularly if it may no longer be valid or after significant change (art 9). The Order sets no fixed interval: the 12-month default is common practice, so change it if your assessor advises otherwise. The fire and rescue authority generally enforces the Order (art 25); penalties: not verified here. HM Government's sleeping-accommodation guide covers HMO common areas.</t>
  </si>
  <si>
    <t>https://www.legislation.gov.uk/uksi/2005/1541/article/9</t>
  </si>
  <si>
    <t>HMOs with a fire detection and alarm system</t>
  </si>
  <si>
    <t>Every 6 months by a competent person</t>
  </si>
  <si>
    <t>GUIDANCE</t>
  </si>
  <si>
    <t>RRO 2005 art 17 (maintenance); Management of HMOs Regs 2006 reg 4(2); HM Government guide 'Fire safety risk assessment: sleeping accommodation'.</t>
  </si>
  <si>
    <t>Official guidance: six-monthly testing and maintenance of the detection and warning system and emergency lighting by a competent person, and annual testing of installed fire systems. This is guidance, not a fixed legal interval; your licence or fire risk assessment may say differently, so follow it. Weekly alarm tests go on the Fire Safety Log.</t>
  </si>
  <si>
    <t>https://www.gov.uk/government/publications/fire-safety-risk-assessment-sleeping-accommodation/fire-safety-risk-assessment-sleeping-accommodation-accessible</t>
  </si>
  <si>
    <t>Emergency lighting - monthly test</t>
  </si>
  <si>
    <t>HMOs with emergency escape lighting</t>
  </si>
  <si>
    <t>Monthly function test</t>
  </si>
  <si>
    <t>RRO 2005 art 17; HM Government guide 'Fire safety risk assessment: sleeping accommodation'.</t>
  </si>
  <si>
    <t>Official guidance: a monthly function test that makes each emergency lamp light, at a time when the lighting will not be needed straight after. Guidance, not statute. Your licence may require records.</t>
  </si>
  <si>
    <t>Annually</t>
  </si>
  <si>
    <t>RRO 2005 art 17; HM Government guide 'Fire safety risk assessment: sleeping accommodation' (points to BS 5266-8).</t>
  </si>
  <si>
    <t>Official guidance lists an annual full discharge test. Batteries typically take about 24 hours to recharge afterwards, so plan the test so the building is not left unprotected. Guidance, not statute.</t>
  </si>
  <si>
    <t>HMOs with portable fire extinguishers</t>
  </si>
  <si>
    <t>Annual service; monthly visual check</t>
  </si>
  <si>
    <t>Official guidance: in normal conditions a monthly check should be enough, with maintenance by a competent person annually. Guidance, not statute.</t>
  </si>
  <si>
    <t>Fire doors - monthly check</t>
  </si>
  <si>
    <t>HMO common parts with fire doors</t>
  </si>
  <si>
    <t>Monthly check</t>
  </si>
  <si>
    <t>HM Government guide 'Fire safety risk assessment: sleeping accommodation'. Fire Safety (England) Regulations 2022 reg 10 (taller buildings only).</t>
  </si>
  <si>
    <t>Official guidance: monthly check that fire doors close properly and frames and seals are intact. The law sets fixed intervals only for buildings above 11 metres with two or more sets of domestic premises (communal fire doors every 3 months; flat entrance doors every 12 months, best endeavours). Whether that applies to your building: CHECK LOCALLY.</t>
  </si>
  <si>
    <t>All rented homes; licensed HMOs must also give the council a declaration on demand</t>
  </si>
  <si>
    <t>Check on day 1 of each new tenancy; 12 months is a sensible repeat</t>
  </si>
  <si>
    <t>Smoke and Carbon Monoxide Alarm (England) Regulations 2015 reg 4 (as amended 2022). Licensed HMOs: Housing Act 2004 Sch 4 para 1(4) and 1(4A).</t>
  </si>
  <si>
    <t>Law: a smoke alarm on each storey used as living accommodation; a carbon monoxide alarm in any room used as living accommodation that has a fixed combustion appliance (not a gas cooker). Halls, landings, bathrooms and lavatories count as rooms. The landlord must check the alarms work on the first day of a new tenancy and repair or replace one a tenant reports faulty. Penalty charge up to £5,000. The 12-month repeat check is good practice; weekly alarm-system tests belong on the Fire Safety Log.</t>
  </si>
  <si>
    <t>https://www.legislation.gov.uk/uksi/2015/1693/regulation/4</t>
  </si>
  <si>
    <t>Appliances and furniture you supply</t>
  </si>
  <si>
    <t>Annually is common; no legal interval</t>
  </si>
  <si>
    <t>BEST PRACTICE</t>
  </si>
  <si>
    <t>Licensed HMOs: Housing Act 2004 Sch 4 para 1(3)(a)-(b) (keep supplied appliances and furniture safe). HSE position on PAT.</t>
  </si>
  <si>
    <t>HSE says the Electricity at Work Regulations do not make testing of electrical appliances a legal requirement, nor annual testing (workplace guidance). You must still keep supplied appliances safe and, for licensed HMOs, give the council a declaration on demand. Some licences ask for regular testing: CHECK LOCALLY.</t>
  </si>
  <si>
    <t>https://www.hse.gov.uk/electricity/faq-portable-appliance-testing.htm</t>
  </si>
  <si>
    <t>Legionella risk assessment - review</t>
  </si>
  <si>
    <t>All rented homes</t>
  </si>
  <si>
    <t>Review periodically; 24 months is a prompt, not a rule</t>
  </si>
  <si>
    <t>Health and Safety at Work etc. Act 1974 and COSHH (HSE landlord guidance).</t>
  </si>
  <si>
    <t>HSE: landlords must assess the risk, but for most homes a simple assessment is enough. The law does not prescribe that the assessment is reviewed annually or every two years; review it periodically and whenever something changes. HSE does not require a 'legionella test certificate'. The 24-month default is only a reminder: set your own.</t>
  </si>
  <si>
    <t>https://www.hse.gov.uk/legionnaires/legionella-landlords-responsibilities.htm</t>
  </si>
  <si>
    <t>Licensed HMOs (mandatory, additional or selective)</t>
  </si>
  <si>
    <t>Licence lasts up to 5 years; use your licence's own end date</t>
  </si>
  <si>
    <t>Housing Act 2004 ss.61, 63, 68 and 72; SI 2018/221.</t>
  </si>
  <si>
    <t>A licence period must not end more than 5 years after the licence was granted (s.68(4)); your licence shows its own end date, so enter the licence start as Last done and use Override months if it is shorter. Apply to your council (s.63) well before it ends: lead times vary, CHECK LOCALLY. Operating without a required licence, or breaching conditions, is an offence (s.72); the council can instead fine up to £40,000 (s.249A); rent repayment orders can reach 2 years' rent (gov.uk).</t>
  </si>
  <si>
    <t>https://www.legislation.gov.uk/ukpga/2004/34/section/68</t>
  </si>
  <si>
    <t>Landlord / buildings insurance renewal</t>
  </si>
  <si>
    <t>All landlords</t>
  </si>
  <si>
    <t>Annually (check your policy)</t>
  </si>
  <si>
    <t>CHECK LOCALLY</t>
  </si>
  <si>
    <t>No insurance condition appears in Housing Act 2004 Schedule 4 (mandatory licence conditions).</t>
  </si>
  <si>
    <t>Not a statutory licence condition. Your mortgage lender, insurer, lease or your council's own licence conditions may require cover: check yours. Set Last done to the policy start date.</t>
  </si>
  <si>
    <t>https://www.legislation.gov.uk/ukpga/2004/34/schedule/4</t>
  </si>
  <si>
    <t>ICO data protection fee</t>
  </si>
  <si>
    <t>Landlords or agents who must pay (check the ICO self-assessment)</t>
  </si>
  <si>
    <t>LAW (check if exempt)</t>
  </si>
  <si>
    <t>Data Protection (Charges and Information) Regulations 2018 (ICO).</t>
  </si>
  <si>
    <t>ICO: organisations, including sole traders, that use personal information need to pay a data protection fee unless exempt. Landlords who hold tenants' personal data: use the ICO's self-assessment to find out. Fees are tiered from £52 to £3,763 a year, with £5 off by direct debit.</t>
  </si>
  <si>
    <t>https://ico.org.uk/for-organisations/data-protection-fee/</t>
  </si>
  <si>
    <t>Property inspection (manager's visit)</t>
  </si>
  <si>
    <t>HMOs</t>
  </si>
  <si>
    <t>Every 6 months is a common routine</t>
  </si>
  <si>
    <t>Management of HMOs Regs 2006 regs 7 and 8 (keep common parts and living accommodation in repair).</t>
  </si>
  <si>
    <t>No fixed legal inspection interval was found. Many councils set inspection frequencies in licence conditions: CHECK LOCALLY and follow your licence. The 6-month default is a suggestion only.</t>
  </si>
  <si>
    <t>https://www.legislation.gov.uk/uksi/2006/372/contents</t>
  </si>
  <si>
    <t>OTHER DUTIES AND RULES TO KNOW (no fixed re-check date: record them on the Tenancies, Fire Safety and Licence Conditions sheets)</t>
  </si>
  <si>
    <t>HMO Management Regulations 2006 duties</t>
  </si>
  <si>
    <t>Managers of HMOs (licensed or not)</t>
  </si>
  <si>
    <t>n/a</t>
  </si>
  <si>
    <t>Ongoing</t>
  </si>
  <si>
    <t>Management of Houses in Multiple Occupation (England) Regulations 2006 (SI 2006/372) regs 3-10; Housing Act 2004 s.234.</t>
  </si>
  <si>
    <t>Reg 3: display the manager's name, address and phone number prominently and give them to each household. Reg 4: keep escape routes clear and in repair; keep fire alarms and fire-fighting equipment in good working order; display escape-route notices (not required for HMOs with four or fewer occupiers). Reg 5: water supply and drainage. Reg 6: gas certificate to the council within 7 days of a written request. Reg 7: common parts. Reg 8: living accommodation. Reg 9: enough bins for each household. Reg 10: occupiers' duties. Failing to comply is an offence (fine up to level 5 on the standard scale, s.234); councils can instead impose a financial penalty (s.249A).</t>
  </si>
  <si>
    <t>HMO licence: mandatory conditions (Schedule 4)</t>
  </si>
  <si>
    <t>Licensed HMOs in England</t>
  </si>
  <si>
    <t>Ongoing; see the Licence Conditions sheet</t>
  </si>
  <si>
    <t>Housing Act 2004 Schedule 4 (text current to 2 Oct 2026).</t>
  </si>
  <si>
    <t>Every Part 2 licence in England must include: annual gas safety certificate; supplied appliances and furniture safe; electrical installations safe (declaration on demand); smoke alarms on each storey and CO alarms where there is a fixed combustion appliance (declarations on demand); a written statement of terms for each occupier; minimum bedroom sizes and room limits; and compliance with the council's household waste scheme. Part 3 (selective) licences must also require references from people who wish to occupy.</t>
  </si>
  <si>
    <t>HMO bedroom sizes and room limits</t>
  </si>
  <si>
    <t>Licensed HMOs in England (Part 2 licences)</t>
  </si>
  <si>
    <t>Housing Act 2004 Sch 4 para 1A.</t>
  </si>
  <si>
    <t>Minimum floor area for a sleeping room: 6.51 m2 for one person over 10; 10.22 m2 for two people over 10; 4.64 m2 for one person under 10; a room under 4.64 m2 must not be used for sleeping and the council must be told about it. Floor space under a ceiling lower than 1.5 m does not count. Your licence sets the maximum number of people per room. A breach you did not knowingly permit must be put right within the period the council sets (not more than 18 months). The statute gives no floor-area figure for other combinations (such as three people, or an adult and a child): follow the maximum numbers in your licence, which your council sets. Use the calculator on the Licence Conditions sheet.</t>
  </si>
  <si>
    <t>Which HMOs need a licence</t>
  </si>
  <si>
    <t>Landlords and managers of HMOs</t>
  </si>
  <si>
    <t>Check with your council</t>
  </si>
  <si>
    <t>Housing Act 2004 ss.55, 56, 61, 79; Licensing of Houses in Multiple Occupation (Prescribed Descriptions) (England) Order 2018 art 4.</t>
  </si>
  <si>
    <t>Mandatory licensing applies to an HMO occupied by five or more people living in two or more separate households (and meeting the HMO definition tests). Councils may also designate areas for additional licensing of other HMOs (s.56) and selective licensing (Part 3, s.79-80): CHECK LOCALLY which applies to you. Running a licensable HMO without a licence is an offence (s.72); an application that is still effective can be a defence (s.72(4)(b)) but do not rely on it.</t>
  </si>
  <si>
    <t>https://www.legislation.gov.uk/uksi/2018/221/article/4</t>
  </si>
  <si>
    <t>Deposit protection and deposit cap</t>
  </si>
  <si>
    <t>Landlords who take a tenancy deposit</t>
  </si>
  <si>
    <t>Within 30 days of receipt</t>
  </si>
  <si>
    <t>Housing Act 2004 ss.213-214; Tenant Fees Act 2019 Sch 1 para 2.</t>
  </si>
  <si>
    <t>Comply with an authorised scheme's initial requirements AND give the prescribed information within the 30-day period that begins on the day you receive the deposit (so the last day is 29 days after receipt; the tracker uses this). If not, the court must order you to pay between 1 and 3 times the deposit (s.214(4)). Cap: 5 weeks' rent if the annual rent is under £50,000 (6 weeks if £50,000 or more); a week's rent is the annual rent divided by 52. Lodgers or resident-landlord arrangements: CHECK LOCALLY.</t>
  </si>
  <si>
    <t>https://www.legislation.gov.uk/ukpga/2004/34/section/213</t>
  </si>
  <si>
    <t>Right to Rent checks</t>
  </si>
  <si>
    <t>Every adult occupier in England, including lodgers and room tenants</t>
  </si>
  <si>
    <t>Before the tenancy; follow-up if time-limited</t>
  </si>
  <si>
    <t>Immigration Act 2014 Right to Rent scheme; Home Office 'Landlord's guide to right to rent checks' (1 October 2026).</t>
  </si>
  <si>
    <t>Check every adult who will occupy the home as their only or main home before the tenancy begins. Keep a copy of the evidence and the check date for the tenancy and at least one year after. Where the right is time-limited, do a follow-up check before it expires. Civil penalties (first / repeat): lodger £5,000 / £10,000; occupier £10,000 / £20,000. Use the official GOV.UK service for online checks.</t>
  </si>
  <si>
    <t>https://www.gov.uk/government/publications/landlords-guide-to-right-to-rent-checks</t>
  </si>
  <si>
    <t>Renters' Rights Act: what changed on 1 May 2026</t>
  </si>
  <si>
    <t>Landlords and agents of assured tenancies in England</t>
  </si>
  <si>
    <t>In force since 1 May 2026</t>
  </si>
  <si>
    <t>Renters' Rights Act 2025; gov.uk 'Renters' Rights Act: an overview for landlords' (1 May 2026).</t>
  </si>
  <si>
    <t>Section 21 'no fault' evictions can no longer be used: you need a legal ground. Existing ASTs became assured periodic tenancies and new tenancies are assured periodic (no end date). No asking for, encouraging or accepting rent before the agreement is signed; publish an asking price and do not accept offers above it; no discrimination against people on benefits or with children. Existing tenancies with a written record: give the Information Sheet by 31 May 2026 (fine up to £7,000; not needed for lodgers). New tenancies: give written key terms before signing. Verbal tenancies agreed before 1 May 2026: written key terms by 31 May 2026.</t>
  </si>
  <si>
    <t>https://www.gov.uk/guidance/renters-rights-act-an-overview-for-landlords</t>
  </si>
  <si>
    <t>Rent increases (section 13)</t>
  </si>
  <si>
    <t>Assured periodic tenancies</t>
  </si>
  <si>
    <t>Once a year at most</t>
  </si>
  <si>
    <t>Housing Act 1988 s.13 as amended by the Renters' Rights Act 2025 s.6.</t>
  </si>
  <si>
    <t>Serve a Form 4A (section 13 notice). The new rent can start no earlier than two months after the notice is served, and no earlier than 52 weeks after the first period of the tenancy began or after the last increase took effect (53 weeks in a rare case, s.13(3B)); the tracker shows 52 weeks and, where there has been no increase yet, counts 52 weeks from the tenancy start as a cautious default (the first-period rule does not apply to statutory periodic tenancies). Tenants can challenge an increase above open-market rent at the First-tier Tribunal; gov.uk (Sep 2026) says HMRC's Valuation Office will take over rent determinations in future. Allow time for service.</t>
  </si>
  <si>
    <t>https://www.legislation.gov.uk/ukpga/1988/50/section/13</t>
  </si>
  <si>
    <t>Pet requests</t>
  </si>
  <si>
    <t>Assured tenancies other than social housing</t>
  </si>
  <si>
    <t>Reply within 28 days</t>
  </si>
  <si>
    <t>Housing Act 1988 s.16A (inserted by Renters' Rights Act 2025 s.11).</t>
  </si>
  <si>
    <t>A tenant can ask in writing, describing the pet. The landlord must give or refuse consent in writing on or before the 28th day after the request, and must not unreasonably refuse. The deadline can extend if you reasonably ask for more information in time, need a superior landlord's consent, or agree a later date with the tenant.</t>
  </si>
  <si>
    <t>https://www.legislation.gov.uk/ukpga/2025/26/section/11</t>
  </si>
  <si>
    <t>PRS Database ('Register your rental property')</t>
  </si>
  <si>
    <t>All private-rented-sector landlords in England</t>
  </si>
  <si>
    <t>Rolling out from 15 Dec 2026</t>
  </si>
  <si>
    <t>LAW (rolling out)</t>
  </si>
  <si>
    <t>Renters' Rights Act 2025 (Part 2 Chapter 3); gov.uk news 9 Sep 2026; Implementation roadmap (13 Nov 2025).</t>
  </si>
  <si>
    <t>Registration is mandatory. The service launches on 15 December 2026, region by region starting in the West Midlands over 12 months; when your area is called you have three months to sign up; all landlords actively letting must be registered by 14 November 2027, and failing to register risks a fine (gov.uk, 9 Sep 2026). The tracker's PRS Database Readiness sheet works through what you need. Fee: see the next two rows; confirm on GOV.UK before paying or budgeting.</t>
  </si>
  <si>
    <t>https://www.gov.uk/government/news/stronger-protections-and-greater-confidence-for-renters</t>
  </si>
  <si>
    <t>PRS Database: draft regulations 2026 (dates, data items, updates)</t>
  </si>
  <si>
    <t>Entries renew every 12 months</t>
  </si>
  <si>
    <t>LAW (DRAFT, not yet made)</t>
  </si>
  <si>
    <t>The Private Rented Sector Database Regulations 2026 (draft statutory instrument on legislation.gov.uk).</t>
  </si>
  <si>
    <t>DRAFT: not yet made as a statutory instrument at 2 Oct 2026, so details may change. Regional start dates: West Midlands 15 Dec 2026, East of England 15 Jan 2027, East Midlands 15 Feb 2027, South East 15 Mar 2027, Yorkshire and Humber 15 Apr 2027, North West 15 May 2027, North East 15 Jun 2027, London 15 Jul 2027, South West 15 Aug 2027 (reg 1). Each landlord needs a landlord entry (Schedule 2) and each dwelling a dwelling entry (Schedule 3). Part 2 of Schedule 3 (tenancy and health and safety documents) may follow within 28 days of the entry (reg 6(2)). Anything out of date must be updated within 28 days (regs 8, 9(4)). Entries renew every 12 months (reg 10). The fee is set by the database operator (reg 14); no amount appears in the regulations.</t>
  </si>
  <si>
    <t>https://www.legislation.gov.uk/ukdsi/2026/9780348286861</t>
  </si>
  <si>
    <t>PRS Database: fee and penalties (NRLA summary, not official)</t>
  </si>
  <si>
    <t>Landlords budgeting for registration</t>
  </si>
  <si>
    <t>Annual fee per property</t>
  </si>
  <si>
    <t>National Residential Landlords Association (a landlord trade body) summary of the draft regulations and the Renters' Rights Act 2025.</t>
  </si>
  <si>
    <t>NOT AN OFFICIAL SOURCE. NRLA states a fee of £65 per property per year, three months to register once your region opens, and civil penalties of up to £7,000 (up to £40,000 for continuing breaches). The draft regulations leave the fee amount to the database operator (reg 14), so treat £65 as an editable assumption until GOV.UK confirms.</t>
  </si>
  <si>
    <t>https://www.nrla.org.uk/resources/renters-rights/landlord-database-register-your-rental-property-service</t>
  </si>
  <si>
    <t>PRS Landlord Ombudsman (not yet live)</t>
  </si>
  <si>
    <t>Date not announced</t>
  </si>
  <si>
    <t>Implementation roadmap (13 Nov 2025).</t>
  </si>
  <si>
    <t>The roadmap says the Ombudsman scheme will be mandatory for PRS landlords and funded by landlords, and will follow the introduction of the Database. No start date was found as at 2 Oct 2026: CHECK GOV.UK for updates.</t>
  </si>
  <si>
    <t>https://www.gov.uk/government/publications/renters-rights-act-2025-implementation-roadmap/implementing-the-renters-rights-act-2025-our-roadmap-for-reforming-the-private-rented-sector</t>
  </si>
  <si>
    <t>Penalties and rent repayment orders</t>
  </si>
  <si>
    <t>Landlords and managers</t>
  </si>
  <si>
    <t>Housing Act 2004 s.249A(4), s.72, s.234; Renters' Rights Act 2025 (gov.uk overview).</t>
  </si>
  <si>
    <t>Councils can impose financial penalties of up to £40,000 (raised from £30,000 with effect from 1 May 2026) as an alternative to prosecution for relevant housing offences, including HMO licensing (s.72) and management regulation (s.234) offences. Failing to give the Information Sheet or written terms: fine up to £7,000 (gov.uk). Rent repayment orders: the maximum has risen from 1 to 2 years' rent. Smoke and CO alarm penalty charge: up to £5,000. Right to Rent: see that row.</t>
  </si>
  <si>
    <t>https://www.legislation.gov.uk/ukpga/2004/34/section/249A</t>
  </si>
  <si>
    <t>Awaab's Law and Decent Homes Standard (not yet in force)</t>
  </si>
  <si>
    <t>Private rented sector</t>
  </si>
  <si>
    <t>Timescales to be set</t>
  </si>
  <si>
    <t>Implementation roadmap (13 Nov 2025), phase 3.</t>
  </si>
  <si>
    <t>The roadmap says phase 3 will extend Awaab's Law and a modernised Decent Homes Standard to the private rented sector, with timescales subject to consultation. Not in force: CHECK GOV.UK for updates.</t>
  </si>
  <si>
    <t>Always check the current law and your own council's licence conditions. This sheet is a summary for organisation, not legal advice.</t>
  </si>
</sst>
</file>

<file path=xl/styles.xml><?xml version="1.0" encoding="utf-8"?>
<styleSheet xmlns="http://schemas.openxmlformats.org/spreadsheetml/2006/main">
  <numFmts count="6">
    <numFmt numFmtId="164" formatCode="dd/mm/yyyy"/>
    <numFmt numFmtId="165" formatCode="£#,##0.00"/>
    <numFmt numFmtId="166" formatCode="£#,##0"/>
    <numFmt numFmtId="167" formatCode="0%"/>
    <numFmt numFmtId="168" formatCode="0.00000"/>
    <numFmt numFmtId="169" formatCode="0.00"/>
  </numFmts>
  <fonts count="78">
    <font>
      <sz val="11"/>
      <color theme="1"/>
      <name val="Calibri"/>
      <family val="2"/>
      <scheme val="minor"/>
    </font>
    <font>
      <b/>
      <sz val="24"/>
      <color rgb="FF1B3A57"/>
      <name val="Arial"/>
      <family val="2"/>
    </font>
    <font>
      <sz val="11"/>
      <color rgb="FF444444"/>
      <name val="Arial"/>
      <family val="2"/>
    </font>
    <font>
      <b/>
      <sz val="10"/>
      <color rgb="FF1B3A57"/>
      <name val="Arial"/>
      <family val="2"/>
    </font>
    <font>
      <b/>
      <sz val="11"/>
      <color rgb="FFFFFFFF"/>
      <name val="Arial"/>
      <family val="2"/>
    </font>
    <font>
      <sz val="10"/>
      <color theme="1"/>
      <name val="Arial"/>
      <family val="2"/>
    </font>
    <font>
      <b/>
      <sz val="10"/>
      <color rgb="FF7A3E00"/>
      <name val="Arial"/>
      <family val="2"/>
    </font>
    <font>
      <b/>
      <sz val="10"/>
      <color rgb="FF9C0006"/>
      <name val="Arial"/>
      <family val="2"/>
    </font>
    <font>
      <b/>
      <sz val="10"/>
      <color rgb="FF006100"/>
      <name val="Arial"/>
      <family val="2"/>
    </font>
    <font>
      <b/>
      <sz val="10"/>
      <color rgb="FF595959"/>
      <name val="Arial"/>
      <family val="2"/>
    </font>
    <font>
      <i/>
      <sz val="9"/>
      <color rgb="FF666666"/>
      <name val="Arial"/>
      <family val="2"/>
    </font>
    <font>
      <b/>
      <sz val="10"/>
      <color theme="1"/>
      <name val="Arial"/>
      <family val="2"/>
    </font>
    <font>
      <sz val="9"/>
      <color rgb="FF666666"/>
      <name val="Arial"/>
      <family val="2"/>
    </font>
    <font>
      <i/>
      <sz val="9"/>
      <color rgb="FF444444"/>
      <name val="Arial"/>
      <family val="2"/>
    </font>
    <font>
      <u/>
      <sz val="10"/>
      <color rgb="FF0563C1"/>
      <name val="Arial"/>
      <family val="2"/>
    </font>
    <font>
      <sz val="10"/>
      <color rgb="FF444444"/>
      <name val="Arial"/>
      <family val="2"/>
    </font>
    <font>
      <sz val="10"/>
      <color rgb="FF333333"/>
      <name val="Arial"/>
      <family val="2"/>
    </font>
    <font>
      <sz val="9"/>
      <color rgb="FF595959"/>
      <name val="Arial"/>
      <family val="2"/>
    </font>
    <font>
      <b/>
      <sz val="20"/>
      <color rgb="FF1B3A57"/>
      <name val="Arial"/>
      <family val="2"/>
    </font>
    <font>
      <sz val="9.5"/>
      <color rgb="FF555555"/>
      <name val="Arial"/>
      <family val="2"/>
    </font>
    <font>
      <b/>
      <sz val="9"/>
      <color rgb="FF1B3A57"/>
      <name val="Arial"/>
      <family val="2"/>
    </font>
    <font>
      <b/>
      <sz val="9"/>
      <color rgb="FF9C0006"/>
      <name val="Arial"/>
      <family val="2"/>
    </font>
    <font>
      <b/>
      <sz val="9"/>
      <color rgb="FF7A3E00"/>
      <name val="Arial"/>
      <family val="2"/>
    </font>
    <font>
      <b/>
      <sz val="9"/>
      <color rgb="FF7A5C00"/>
      <name val="Arial"/>
      <family val="2"/>
    </font>
    <font>
      <b/>
      <sz val="9"/>
      <color rgb="FF006100"/>
      <name val="Arial"/>
      <family val="2"/>
    </font>
    <font>
      <b/>
      <sz val="26"/>
      <color rgb="FF1B3A57"/>
      <name val="Arial"/>
      <family val="2"/>
    </font>
    <font>
      <b/>
      <sz val="26"/>
      <color rgb="FF9C0006"/>
      <name val="Arial"/>
      <family val="2"/>
    </font>
    <font>
      <b/>
      <sz val="26"/>
      <color rgb="FF7A3E00"/>
      <name val="Arial"/>
      <family val="2"/>
    </font>
    <font>
      <b/>
      <sz val="26"/>
      <color rgb="FF7A5C00"/>
      <name val="Arial"/>
      <family val="2"/>
    </font>
    <font>
      <b/>
      <sz val="26"/>
      <color rgb="FF006100"/>
      <name val="Arial"/>
      <family val="2"/>
    </font>
    <font>
      <b/>
      <sz val="9"/>
      <color rgb="FF595959"/>
      <name val="Arial"/>
      <family val="2"/>
    </font>
    <font>
      <b/>
      <sz val="9"/>
      <color rgb="FF4A148C"/>
      <name val="Arial"/>
      <family val="2"/>
    </font>
    <font>
      <b/>
      <sz val="9"/>
      <color rgb="FF004D40"/>
      <name val="Arial"/>
      <family val="2"/>
    </font>
    <font>
      <b/>
      <sz val="9"/>
      <color rgb="FF8B0000"/>
      <name val="Arial"/>
      <family val="2"/>
    </font>
    <font>
      <b/>
      <sz val="9"/>
      <color rgb="FF880E4F"/>
      <name val="Arial"/>
      <family val="2"/>
    </font>
    <font>
      <b/>
      <sz val="16"/>
      <color rgb="FF595959"/>
      <name val="Arial"/>
      <family val="2"/>
    </font>
    <font>
      <b/>
      <sz val="16"/>
      <color rgb="FF4A148C"/>
      <name val="Arial"/>
      <family val="2"/>
    </font>
    <font>
      <b/>
      <sz val="16"/>
      <color rgb="FF004D40"/>
      <name val="Arial"/>
      <family val="2"/>
    </font>
    <font>
      <b/>
      <sz val="16"/>
      <color rgb="FF8B0000"/>
      <name val="Arial"/>
      <family val="2"/>
    </font>
    <font>
      <b/>
      <sz val="16"/>
      <color rgb="FF880E4F"/>
      <name val="Arial"/>
      <family val="2"/>
    </font>
    <font>
      <b/>
      <sz val="10"/>
      <color rgb="FFFFFFFF"/>
      <name val="Arial"/>
      <family val="2"/>
    </font>
    <font>
      <b/>
      <sz val="18"/>
      <color rgb="FF1B3A57"/>
      <name val="Arial"/>
      <family val="2"/>
    </font>
    <font>
      <b/>
      <u/>
      <sz val="9"/>
      <color rgb="FF0563C1"/>
      <name val="Arial"/>
      <family val="2"/>
    </font>
    <font>
      <sz val="9"/>
      <color theme="1"/>
      <name val="Arial"/>
      <family val="2"/>
    </font>
    <font>
      <b/>
      <sz val="8.5"/>
      <color rgb="FF1B3A57"/>
      <name val="Arial"/>
      <family val="2"/>
    </font>
    <font>
      <b/>
      <sz val="8.5"/>
      <color rgb="FF006100"/>
      <name val="Arial"/>
      <family val="2"/>
    </font>
    <font>
      <b/>
      <sz val="8.5"/>
      <color rgb="FF7A5C00"/>
      <name val="Arial"/>
      <family val="2"/>
    </font>
    <font>
      <b/>
      <sz val="8.5"/>
      <color rgb="FF9C0006"/>
      <name val="Arial"/>
      <family val="2"/>
    </font>
    <font>
      <b/>
      <sz val="8.5"/>
      <color rgb="FF274E13"/>
      <name val="Arial"/>
      <family val="2"/>
    </font>
    <font>
      <b/>
      <sz val="8.5"/>
      <color rgb="FF004D40"/>
      <name val="Arial"/>
      <family val="2"/>
    </font>
    <font>
      <b/>
      <sz val="18"/>
      <color rgb="FF006100"/>
      <name val="Arial"/>
      <family val="2"/>
    </font>
    <font>
      <b/>
      <sz val="18"/>
      <color rgb="FF7A5C00"/>
      <name val="Arial"/>
      <family val="2"/>
    </font>
    <font>
      <b/>
      <sz val="18"/>
      <color rgb="FF9C0006"/>
      <name val="Arial"/>
      <family val="2"/>
    </font>
    <font>
      <b/>
      <sz val="18"/>
      <color rgb="FF274E13"/>
      <name val="Arial"/>
      <family val="2"/>
    </font>
    <font>
      <b/>
      <sz val="18"/>
      <color rgb="FF004D40"/>
      <name val="Arial"/>
      <family val="2"/>
    </font>
    <font>
      <b/>
      <sz val="9"/>
      <color theme="1"/>
      <name val="Arial"/>
      <family val="2"/>
    </font>
    <font>
      <sz val="8"/>
      <color rgb="FF666666"/>
      <name val="Arial"/>
      <family val="2"/>
    </font>
    <font>
      <b/>
      <sz val="9"/>
      <color rgb="FFFFFFFF"/>
      <name val="Arial"/>
      <family val="2"/>
    </font>
    <font>
      <b/>
      <sz val="10"/>
      <color rgb="FF333333"/>
      <name val="Arial"/>
      <family val="2"/>
    </font>
    <font>
      <sz val="9"/>
      <color rgb="FF333333"/>
      <name val="Arial"/>
      <family val="2"/>
    </font>
    <font>
      <sz val="7"/>
      <color rgb="FF999999"/>
      <name val="Arial"/>
      <family val="2"/>
    </font>
    <font>
      <sz val="9"/>
      <color rgb="FF555555"/>
      <name val="Arial"/>
      <family val="2"/>
    </font>
    <font>
      <sz val="8.5"/>
      <color rgb="FF444444"/>
      <name val="Arial"/>
      <family val="2"/>
    </font>
    <font>
      <u/>
      <sz val="9"/>
      <color rgb="FF0563C1"/>
      <name val="Arial"/>
      <family val="2"/>
    </font>
    <font>
      <sz val="9.5"/>
      <color rgb="FF444444"/>
      <name val="Arial"/>
      <family val="2"/>
    </font>
    <font>
      <b/>
      <sz val="7"/>
      <color rgb="FFFFFFFF"/>
      <name val="Arial"/>
      <family val="2"/>
    </font>
    <font>
      <b/>
      <u/>
      <sz val="10"/>
      <color rgb="FF0563C1"/>
      <name val="Arial"/>
      <family val="2"/>
    </font>
    <font>
      <b/>
      <sz val="11"/>
      <color theme="1"/>
      <name val="Arial"/>
      <family val="2"/>
    </font>
    <font>
      <sz val="9"/>
      <color rgb="FF444444"/>
      <name val="Arial"/>
      <family val="2"/>
    </font>
    <font>
      <b/>
      <sz val="9"/>
      <color rgb="FF333333"/>
      <name val="Arial"/>
      <family val="2"/>
    </font>
    <font>
      <sz val="9"/>
      <color rgb="FF555555"/>
      <name val="Arial"/>
      <family val="2"/>
    </font>
    <font>
      <b/>
      <sz val="9"/>
      <color rgb="FF1F4E79"/>
      <name val="Arial"/>
      <family val="2"/>
    </font>
    <font>
      <u/>
      <sz val="8"/>
      <color rgb="FF0563C1"/>
      <name val="Arial"/>
      <family val="2"/>
    </font>
    <font>
      <b/>
      <sz val="9"/>
      <color rgb="FF000000"/>
      <name val="Arial"/>
      <family val="2"/>
    </font>
    <font>
      <b/>
      <sz val="9"/>
      <color rgb="FF375623"/>
      <name val="Arial"/>
      <family val="2"/>
    </font>
    <font>
      <b/>
      <sz val="9"/>
      <color rgb="FF7F6000"/>
      <name val="Arial"/>
      <family val="2"/>
    </font>
    <font>
      <b/>
      <sz val="9"/>
      <color rgb="FF843C0C"/>
      <name val="Arial"/>
      <family val="2"/>
    </font>
    <font>
      <sz val="10"/>
      <color rgb="FF888888"/>
      <name val="Arial"/>
      <family val="2"/>
    </font>
  </fonts>
  <fills count="28">
    <fill>
      <patternFill patternType="none"/>
    </fill>
    <fill>
      <patternFill patternType="gray125"/>
    </fill>
    <fill>
      <patternFill patternType="solid">
        <fgColor rgb="FFE8EEF4"/>
        <bgColor indexed="64"/>
      </patternFill>
    </fill>
    <fill>
      <patternFill patternType="solid">
        <fgColor rgb="FF1B3A57"/>
        <bgColor indexed="64"/>
      </patternFill>
    </fill>
    <fill>
      <patternFill patternType="solid">
        <fgColor rgb="FFF7F9FB"/>
        <bgColor indexed="64"/>
      </patternFill>
    </fill>
    <fill>
      <patternFill patternType="solid">
        <fgColor rgb="FFFFF1CC"/>
        <bgColor indexed="64"/>
      </patternFill>
    </fill>
    <fill>
      <patternFill patternType="solid">
        <fgColor rgb="FFFFC7CE"/>
        <bgColor indexed="64"/>
      </patternFill>
    </fill>
    <fill>
      <patternFill patternType="solid">
        <fgColor rgb="FFFFD08A"/>
        <bgColor indexed="64"/>
      </patternFill>
    </fill>
    <fill>
      <patternFill patternType="solid">
        <fgColor rgb="FFC6EFCE"/>
        <bgColor indexed="64"/>
      </patternFill>
    </fill>
    <fill>
      <patternFill patternType="solid">
        <fgColor rgb="FFE4E4E4"/>
        <bgColor indexed="64"/>
      </patternFill>
    </fill>
    <fill>
      <patternFill patternType="solid">
        <fgColor rgb="FFFFF9DB"/>
        <bgColor indexed="64"/>
      </patternFill>
    </fill>
    <fill>
      <patternFill patternType="solid">
        <fgColor rgb="FFFFEB9C"/>
        <bgColor indexed="64"/>
      </patternFill>
    </fill>
    <fill>
      <patternFill patternType="solid">
        <fgColor rgb="FFF3E5F5"/>
        <bgColor indexed="64"/>
      </patternFill>
    </fill>
    <fill>
      <patternFill patternType="solid">
        <fgColor rgb="FFE0F2F1"/>
        <bgColor indexed="64"/>
      </patternFill>
    </fill>
    <fill>
      <patternFill patternType="solid">
        <fgColor rgb="FFFDE7E7"/>
        <bgColor indexed="64"/>
      </patternFill>
    </fill>
    <fill>
      <patternFill patternType="solid">
        <fgColor rgb="FFFCE4EC"/>
        <bgColor indexed="64"/>
      </patternFill>
    </fill>
    <fill>
      <patternFill patternType="solid">
        <fgColor rgb="FF4F6D8A"/>
        <bgColor indexed="64"/>
      </patternFill>
    </fill>
    <fill>
      <patternFill patternType="solid">
        <fgColor rgb="FFD9EAD3"/>
        <bgColor indexed="64"/>
      </patternFill>
    </fill>
    <fill>
      <patternFill patternType="solid">
        <fgColor rgb="FFF2F4F7"/>
        <bgColor indexed="64"/>
      </patternFill>
    </fill>
    <fill>
      <patternFill patternType="solid">
        <fgColor rgb="FF6A1B9A"/>
        <bgColor indexed="64"/>
      </patternFill>
    </fill>
    <fill>
      <patternFill patternType="solid">
        <fgColor rgb="FF00695C"/>
        <bgColor indexed="64"/>
      </patternFill>
    </fill>
    <fill>
      <patternFill patternType="solid">
        <fgColor rgb="FFB45F06"/>
        <bgColor indexed="64"/>
      </patternFill>
    </fill>
    <fill>
      <patternFill patternType="solid">
        <fgColor rgb="FFFFF2E0"/>
        <bgColor indexed="64"/>
      </patternFill>
    </fill>
    <fill>
      <patternFill patternType="solid">
        <fgColor rgb="FFDDEBF7"/>
        <bgColor indexed="64"/>
      </patternFill>
    </fill>
    <fill>
      <patternFill patternType="solid">
        <fgColor rgb="FFFFFFFF"/>
        <bgColor indexed="64"/>
      </patternFill>
    </fill>
    <fill>
      <patternFill patternType="solid">
        <fgColor rgb="FFE2F0D9"/>
        <bgColor indexed="64"/>
      </patternFill>
    </fill>
    <fill>
      <patternFill patternType="solid">
        <fgColor rgb="FFFFF2CC"/>
        <bgColor indexed="64"/>
      </patternFill>
    </fill>
    <fill>
      <patternFill patternType="solid">
        <fgColor rgb="FFFCE4D6"/>
        <bgColor indexed="64"/>
      </patternFill>
    </fill>
  </fills>
  <borders count="16">
    <border>
      <left/>
      <right/>
      <top/>
      <bottom/>
      <diagonal/>
    </border>
    <border>
      <left style="thin">
        <color rgb="FFC9D1D9"/>
      </left>
      <right style="thin">
        <color rgb="FFC9D1D9"/>
      </right>
      <top style="thin">
        <color rgb="FFC9D1D9"/>
      </top>
      <bottom style="thin">
        <color rgb="FFC9D1D9"/>
      </bottom>
      <diagonal/>
    </border>
    <border>
      <left style="thin">
        <color rgb="FFE6C170"/>
      </left>
      <right style="thin">
        <color rgb="FFE6C170"/>
      </right>
      <top style="thin">
        <color rgb="FFE6C170"/>
      </top>
      <bottom style="thin">
        <color rgb="FFE6C170"/>
      </bottom>
      <diagonal/>
    </border>
    <border>
      <left style="thin">
        <color rgb="FFFFFFFF"/>
      </left>
      <right style="thin">
        <color rgb="FFFFFFFF"/>
      </right>
      <top style="thin">
        <color rgb="FFFFFFFF"/>
      </top>
      <bottom style="thin">
        <color rgb="FFFFFFFF"/>
      </bottom>
      <diagonal/>
    </border>
    <border>
      <left/>
      <right/>
      <top/>
      <bottom style="thin">
        <color rgb="FFC9D1D9"/>
      </bottom>
      <diagonal/>
    </border>
    <border>
      <left/>
      <right/>
      <top style="medium">
        <color rgb="FF1B3A57"/>
      </top>
      <bottom/>
      <diagonal/>
    </border>
    <border>
      <left/>
      <right/>
      <top style="medium">
        <color rgb="FF9C0006"/>
      </top>
      <bottom/>
      <diagonal/>
    </border>
    <border>
      <left/>
      <right/>
      <top style="medium">
        <color rgb="FF7A3E00"/>
      </top>
      <bottom/>
      <diagonal/>
    </border>
    <border>
      <left/>
      <right/>
      <top style="medium">
        <color rgb="FF7A5C00"/>
      </top>
      <bottom/>
      <diagonal/>
    </border>
    <border>
      <left/>
      <right/>
      <top style="medium">
        <color rgb="FF006100"/>
      </top>
      <bottom/>
      <diagonal/>
    </border>
    <border>
      <left/>
      <right/>
      <top style="medium">
        <color rgb="FF595959"/>
      </top>
      <bottom/>
      <diagonal/>
    </border>
    <border>
      <left/>
      <right/>
      <top style="medium">
        <color rgb="FF4A148C"/>
      </top>
      <bottom/>
      <diagonal/>
    </border>
    <border>
      <left/>
      <right/>
      <top style="medium">
        <color rgb="FF004D40"/>
      </top>
      <bottom/>
      <diagonal/>
    </border>
    <border>
      <left/>
      <right/>
      <top style="medium">
        <color rgb="FF8B0000"/>
      </top>
      <bottom/>
      <diagonal/>
    </border>
    <border>
      <left/>
      <right/>
      <top style="medium">
        <color rgb="FF880E4F"/>
      </top>
      <bottom/>
      <diagonal/>
    </border>
    <border>
      <left/>
      <right/>
      <top style="medium">
        <color rgb="FF274E13"/>
      </top>
      <bottom/>
      <diagonal/>
    </border>
  </borders>
  <cellStyleXfs count="1">
    <xf numFmtId="0" fontId="0" fillId="0" borderId="0"/>
  </cellStyleXfs>
  <cellXfs count="138">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0" xfId="0" applyFont="1" applyFill="1" applyAlignment="1">
      <alignment horizontal="left" vertical="center" indent="1"/>
    </xf>
    <xf numFmtId="0" fontId="4" fillId="3" borderId="0" xfId="0" applyFont="1" applyFill="1" applyAlignment="1">
      <alignment horizontal="left" vertical="center" indent="1"/>
    </xf>
    <xf numFmtId="0" fontId="3" fillId="4" borderId="1" xfId="0" applyFont="1" applyFill="1" applyBorder="1" applyAlignment="1">
      <alignment vertical="center" wrapText="1"/>
    </xf>
    <xf numFmtId="0" fontId="5" fillId="0" borderId="1" xfId="0" applyFont="1" applyBorder="1" applyAlignment="1">
      <alignment vertical="center" wrapText="1"/>
    </xf>
    <xf numFmtId="0" fontId="6" fillId="5" borderId="2" xfId="0" applyFont="1" applyFill="1" applyBorder="1" applyAlignment="1">
      <alignment horizontal="left" vertical="center" indent="1" wrapText="1"/>
    </xf>
    <xf numFmtId="0" fontId="7" fillId="6" borderId="3" xfId="0" applyFont="1" applyFill="1" applyBorder="1" applyAlignment="1">
      <alignment horizontal="left" vertical="center" indent="1"/>
    </xf>
    <xf numFmtId="0" fontId="5" fillId="0" borderId="0" xfId="0" applyFont="1" applyAlignment="1">
      <alignment horizontal="left" vertical="center" indent="1" wrapText="1"/>
    </xf>
    <xf numFmtId="0" fontId="6" fillId="7" borderId="3" xfId="0" applyFont="1" applyFill="1" applyBorder="1" applyAlignment="1">
      <alignment horizontal="left" vertical="center" indent="1"/>
    </xf>
    <xf numFmtId="0" fontId="8" fillId="8" borderId="3" xfId="0" applyFont="1" applyFill="1" applyBorder="1" applyAlignment="1">
      <alignment horizontal="left" vertical="center" indent="1"/>
    </xf>
    <xf numFmtId="0" fontId="9" fillId="9" borderId="3" xfId="0" applyFont="1" applyFill="1" applyBorder="1" applyAlignment="1">
      <alignment horizontal="left" vertical="center" indent="1"/>
    </xf>
    <xf numFmtId="0" fontId="10" fillId="0" borderId="0" xfId="0" applyFont="1" applyAlignment="1">
      <alignment vertical="center"/>
    </xf>
    <xf numFmtId="0" fontId="11" fillId="4" borderId="1" xfId="0" applyFont="1" applyFill="1" applyBorder="1" applyAlignment="1">
      <alignment horizontal="left" vertical="center" indent="1"/>
    </xf>
    <xf numFmtId="0" fontId="5" fillId="10" borderId="2" xfId="0" applyFont="1" applyFill="1" applyBorder="1" applyAlignment="1">
      <alignment horizontal="left" vertical="center" indent="1"/>
    </xf>
    <xf numFmtId="0" fontId="12" fillId="0" borderId="0" xfId="0" applyFont="1" applyAlignment="1">
      <alignment horizontal="left" vertical="center" indent="1"/>
    </xf>
    <xf numFmtId="0" fontId="13" fillId="0" borderId="0" xfId="0" applyFont="1" applyAlignment="1">
      <alignment vertical="center"/>
    </xf>
    <xf numFmtId="0" fontId="11" fillId="0" borderId="0" xfId="0" applyFont="1" applyAlignment="1">
      <alignment horizontal="left" vertical="center" indent="1"/>
    </xf>
    <xf numFmtId="0" fontId="5" fillId="0" borderId="0" xfId="0" applyFont="1" applyAlignment="1">
      <alignment horizontal="left" vertical="center" indent="1"/>
    </xf>
    <xf numFmtId="0" fontId="14" fillId="0" borderId="0" xfId="0" applyFont="1" applyAlignment="1">
      <alignment horizontal="left" vertical="center" indent="1"/>
    </xf>
    <xf numFmtId="0" fontId="11" fillId="0" borderId="1" xfId="0" applyFont="1" applyBorder="1" applyAlignment="1">
      <alignment horizontal="left" vertical="center" indent="1" wrapText="1"/>
    </xf>
    <xf numFmtId="0" fontId="15" fillId="0" borderId="1" xfId="0" applyFont="1" applyBorder="1" applyAlignment="1">
      <alignment horizontal="left" vertical="center" indent="1" wrapText="1"/>
    </xf>
    <xf numFmtId="0" fontId="5" fillId="0" borderId="1" xfId="0" applyFont="1" applyBorder="1" applyAlignment="1">
      <alignment horizontal="left" vertical="center" indent="1" wrapText="1"/>
    </xf>
    <xf numFmtId="0" fontId="16" fillId="0" borderId="0" xfId="0" applyFont="1" applyAlignment="1">
      <alignment horizontal="left" vertical="center" indent="1"/>
    </xf>
    <xf numFmtId="0" fontId="17" fillId="0" borderId="4" xfId="0" applyFont="1" applyBorder="1" applyAlignment="1">
      <alignment vertical="center"/>
    </xf>
    <xf numFmtId="0" fontId="5" fillId="0" borderId="4" xfId="0" applyFont="1" applyBorder="1" applyAlignment="1">
      <alignment vertical="center"/>
    </xf>
    <xf numFmtId="0" fontId="18" fillId="0" borderId="0" xfId="0" applyFont="1" applyAlignment="1">
      <alignment vertical="center"/>
    </xf>
    <xf numFmtId="0" fontId="19" fillId="0" borderId="0" xfId="0" applyFont="1" applyAlignment="1">
      <alignment vertical="center"/>
    </xf>
    <xf numFmtId="0" fontId="20" fillId="2" borderId="5" xfId="0" applyFont="1" applyFill="1" applyBorder="1" applyAlignment="1">
      <alignment horizontal="center" vertical="center"/>
    </xf>
    <xf numFmtId="0" fontId="21" fillId="6" borderId="6" xfId="0" applyFont="1" applyFill="1" applyBorder="1" applyAlignment="1">
      <alignment horizontal="center" vertical="center"/>
    </xf>
    <xf numFmtId="0" fontId="22" fillId="7" borderId="7" xfId="0" applyFont="1" applyFill="1" applyBorder="1" applyAlignment="1">
      <alignment horizontal="center" vertical="center"/>
    </xf>
    <xf numFmtId="0" fontId="23" fillId="11" borderId="8" xfId="0" applyFont="1" applyFill="1" applyBorder="1" applyAlignment="1">
      <alignment horizontal="center" vertical="center"/>
    </xf>
    <xf numFmtId="0" fontId="24" fillId="8" borderId="9" xfId="0" applyFont="1" applyFill="1" applyBorder="1" applyAlignment="1">
      <alignment horizontal="center" vertical="center"/>
    </xf>
    <xf numFmtId="1" fontId="25" fillId="2" borderId="0" xfId="0" applyNumberFormat="1" applyFont="1" applyFill="1" applyAlignment="1">
      <alignment horizontal="center" vertical="center"/>
    </xf>
    <xf numFmtId="1" fontId="26" fillId="6" borderId="0" xfId="0" applyNumberFormat="1" applyFont="1" applyFill="1" applyAlignment="1">
      <alignment horizontal="center" vertical="center"/>
    </xf>
    <xf numFmtId="1" fontId="27" fillId="7" borderId="0" xfId="0" applyNumberFormat="1" applyFont="1" applyFill="1" applyAlignment="1">
      <alignment horizontal="center" vertical="center"/>
    </xf>
    <xf numFmtId="1" fontId="28" fillId="11" borderId="0" xfId="0" applyNumberFormat="1" applyFont="1" applyFill="1" applyAlignment="1">
      <alignment horizontal="center" vertical="center"/>
    </xf>
    <xf numFmtId="1" fontId="29" fillId="8" borderId="0" xfId="0" applyNumberFormat="1" applyFont="1" applyFill="1" applyAlignment="1">
      <alignment horizontal="center" vertical="center"/>
    </xf>
    <xf numFmtId="0" fontId="30" fillId="9" borderId="10" xfId="0" applyFont="1" applyFill="1" applyBorder="1" applyAlignment="1">
      <alignment horizontal="center" vertical="center"/>
    </xf>
    <xf numFmtId="0" fontId="31" fillId="12" borderId="11" xfId="0" applyFont="1" applyFill="1" applyBorder="1" applyAlignment="1">
      <alignment horizontal="center" vertical="center"/>
    </xf>
    <xf numFmtId="0" fontId="32" fillId="13" borderId="12" xfId="0" applyFont="1" applyFill="1" applyBorder="1" applyAlignment="1">
      <alignment horizontal="center" vertical="center"/>
    </xf>
    <xf numFmtId="0" fontId="33" fillId="14" borderId="13" xfId="0" applyFont="1" applyFill="1" applyBorder="1" applyAlignment="1">
      <alignment horizontal="center" vertical="center"/>
    </xf>
    <xf numFmtId="0" fontId="34" fillId="15" borderId="14" xfId="0" applyFont="1" applyFill="1" applyBorder="1" applyAlignment="1">
      <alignment horizontal="center" vertical="center"/>
    </xf>
    <xf numFmtId="1" fontId="35" fillId="9" borderId="0" xfId="0" applyNumberFormat="1" applyFont="1" applyFill="1" applyAlignment="1">
      <alignment horizontal="center" vertical="center"/>
    </xf>
    <xf numFmtId="1" fontId="36" fillId="12" borderId="0" xfId="0" applyNumberFormat="1" applyFont="1" applyFill="1" applyAlignment="1">
      <alignment horizontal="center" vertical="center"/>
    </xf>
    <xf numFmtId="1" fontId="37" fillId="13" borderId="0" xfId="0" applyNumberFormat="1" applyFont="1" applyFill="1" applyAlignment="1">
      <alignment horizontal="center" vertical="center"/>
    </xf>
    <xf numFmtId="1" fontId="38" fillId="14" borderId="0" xfId="0" applyNumberFormat="1" applyFont="1" applyFill="1" applyAlignment="1">
      <alignment horizontal="center" vertical="center"/>
    </xf>
    <xf numFmtId="1" fontId="39" fillId="15" borderId="0" xfId="0" applyNumberFormat="1" applyFont="1" applyFill="1" applyAlignment="1">
      <alignment horizontal="center" vertical="center"/>
    </xf>
    <xf numFmtId="164" fontId="39" fillId="15" borderId="0" xfId="0" applyNumberFormat="1" applyFont="1" applyFill="1" applyAlignment="1">
      <alignment horizontal="center" vertical="center"/>
    </xf>
    <xf numFmtId="0" fontId="40" fillId="16" borderId="3" xfId="0" applyFont="1" applyFill="1" applyBorder="1" applyAlignment="1">
      <alignment horizontal="center" vertical="center" wrapText="1"/>
    </xf>
    <xf numFmtId="0" fontId="5" fillId="0" borderId="1" xfId="0" applyFont="1" applyBorder="1" applyAlignment="1">
      <alignment horizontal="center" vertical="center"/>
    </xf>
    <xf numFmtId="164" fontId="5" fillId="0" borderId="1" xfId="0" applyNumberFormat="1" applyFont="1" applyBorder="1" applyAlignment="1">
      <alignment horizontal="center" vertical="center"/>
    </xf>
    <xf numFmtId="1" fontId="5" fillId="0" borderId="1" xfId="0" applyNumberFormat="1" applyFont="1" applyBorder="1" applyAlignment="1">
      <alignment horizontal="center" vertical="center"/>
    </xf>
    <xf numFmtId="0" fontId="5" fillId="0" borderId="1" xfId="0" applyFont="1" applyBorder="1" applyAlignment="1">
      <alignment horizontal="left" vertical="center" indent="1"/>
    </xf>
    <xf numFmtId="0" fontId="41" fillId="0" borderId="0" xfId="0" applyFont="1" applyAlignment="1">
      <alignment vertical="center"/>
    </xf>
    <xf numFmtId="0" fontId="42" fillId="0" borderId="0" xfId="0" applyFont="1" applyAlignment="1">
      <alignment horizontal="right" vertical="center"/>
    </xf>
    <xf numFmtId="0" fontId="43" fillId="0" borderId="0" xfId="0" applyFont="1" applyAlignment="1">
      <alignment horizontal="right" vertical="center"/>
    </xf>
    <xf numFmtId="0" fontId="22" fillId="5" borderId="2" xfId="0" applyFont="1" applyFill="1" applyBorder="1" applyAlignment="1">
      <alignment horizontal="left" vertical="center" indent="1" wrapText="1"/>
    </xf>
    <xf numFmtId="0" fontId="44" fillId="2" borderId="5" xfId="0" applyFont="1" applyFill="1" applyBorder="1" applyAlignment="1">
      <alignment horizontal="center" vertical="center"/>
    </xf>
    <xf numFmtId="0" fontId="45" fillId="8" borderId="9" xfId="0" applyFont="1" applyFill="1" applyBorder="1" applyAlignment="1">
      <alignment horizontal="center" vertical="center"/>
    </xf>
    <xf numFmtId="0" fontId="46" fillId="11" borderId="8" xfId="0" applyFont="1" applyFill="1" applyBorder="1" applyAlignment="1">
      <alignment horizontal="center" vertical="center"/>
    </xf>
    <xf numFmtId="0" fontId="47" fillId="6" borderId="6" xfId="0" applyFont="1" applyFill="1" applyBorder="1" applyAlignment="1">
      <alignment horizontal="center" vertical="center"/>
    </xf>
    <xf numFmtId="0" fontId="48" fillId="17" borderId="15" xfId="0" applyFont="1" applyFill="1" applyBorder="1" applyAlignment="1">
      <alignment horizontal="center" vertical="center"/>
    </xf>
    <xf numFmtId="0" fontId="49" fillId="13" borderId="12" xfId="0" applyFont="1" applyFill="1" applyBorder="1" applyAlignment="1">
      <alignment horizontal="center" vertical="center"/>
    </xf>
    <xf numFmtId="1" fontId="41" fillId="2" borderId="0" xfId="0" applyNumberFormat="1" applyFont="1" applyFill="1" applyAlignment="1">
      <alignment horizontal="center" vertical="center"/>
    </xf>
    <xf numFmtId="1" fontId="50" fillId="8" borderId="0" xfId="0" applyNumberFormat="1" applyFont="1" applyFill="1" applyAlignment="1">
      <alignment horizontal="center" vertical="center"/>
    </xf>
    <xf numFmtId="1" fontId="51" fillId="11" borderId="0" xfId="0" applyNumberFormat="1" applyFont="1" applyFill="1" applyAlignment="1">
      <alignment horizontal="center" vertical="center"/>
    </xf>
    <xf numFmtId="1" fontId="52" fillId="6" borderId="0" xfId="0" applyNumberFormat="1" applyFont="1" applyFill="1" applyAlignment="1">
      <alignment horizontal="center" vertical="center"/>
    </xf>
    <xf numFmtId="1" fontId="53" fillId="17" borderId="0" xfId="0" applyNumberFormat="1" applyFont="1" applyFill="1" applyAlignment="1">
      <alignment horizontal="center" vertical="center"/>
    </xf>
    <xf numFmtId="164" fontId="54" fillId="13" borderId="0" xfId="0" applyNumberFormat="1" applyFont="1" applyFill="1" applyAlignment="1">
      <alignment horizontal="center" vertical="center"/>
    </xf>
    <xf numFmtId="0" fontId="55" fillId="0" borderId="0" xfId="0" applyFont="1" applyAlignment="1">
      <alignment horizontal="right" vertical="center"/>
    </xf>
    <xf numFmtId="165" fontId="11" fillId="10" borderId="2" xfId="0" applyNumberFormat="1" applyFont="1" applyFill="1" applyBorder="1" applyAlignment="1">
      <alignment horizontal="center" vertical="center"/>
    </xf>
    <xf numFmtId="166" fontId="11" fillId="18" borderId="1" xfId="0" applyNumberFormat="1" applyFont="1" applyFill="1" applyBorder="1" applyAlignment="1">
      <alignment horizontal="center" vertical="center"/>
    </xf>
    <xf numFmtId="0" fontId="56" fillId="0" borderId="0" xfId="0" applyFont="1" applyAlignment="1">
      <alignment vertical="top" wrapText="1"/>
    </xf>
    <xf numFmtId="0" fontId="57" fillId="3" borderId="0" xfId="0" applyFont="1" applyFill="1" applyAlignment="1">
      <alignment horizontal="left" vertical="center" indent="1"/>
    </xf>
    <xf numFmtId="0" fontId="57" fillId="19" borderId="0" xfId="0" applyFont="1" applyFill="1" applyAlignment="1">
      <alignment horizontal="center" vertical="center"/>
    </xf>
    <xf numFmtId="0" fontId="57" fillId="20" borderId="0" xfId="0" applyFont="1" applyFill="1" applyAlignment="1">
      <alignment horizontal="center" vertical="center"/>
    </xf>
    <xf numFmtId="0" fontId="57" fillId="3" borderId="0" xfId="0" applyFont="1" applyFill="1" applyAlignment="1">
      <alignment horizontal="center" vertical="center"/>
    </xf>
    <xf numFmtId="0" fontId="57" fillId="3" borderId="3" xfId="0" applyFont="1" applyFill="1" applyBorder="1" applyAlignment="1">
      <alignment horizontal="center" vertical="center" wrapText="1"/>
    </xf>
    <xf numFmtId="0" fontId="57" fillId="16" borderId="3" xfId="0" applyFont="1" applyFill="1" applyBorder="1" applyAlignment="1">
      <alignment horizontal="center" vertical="center" wrapText="1"/>
    </xf>
    <xf numFmtId="0" fontId="5" fillId="0" borderId="1" xfId="0" applyFont="1" applyBorder="1" applyAlignment="1">
      <alignment vertical="center"/>
    </xf>
    <xf numFmtId="164" fontId="16" fillId="18" borderId="1" xfId="0" applyNumberFormat="1" applyFont="1" applyFill="1" applyBorder="1" applyAlignment="1">
      <alignment horizontal="center" vertical="center"/>
    </xf>
    <xf numFmtId="1" fontId="16" fillId="18" borderId="1" xfId="0" applyNumberFormat="1" applyFont="1" applyFill="1" applyBorder="1" applyAlignment="1">
      <alignment horizontal="center" vertical="center"/>
    </xf>
    <xf numFmtId="167" fontId="16" fillId="18" borderId="1" xfId="0" applyNumberFormat="1" applyFont="1" applyFill="1" applyBorder="1" applyAlignment="1">
      <alignment horizontal="center" vertical="center"/>
    </xf>
    <xf numFmtId="0" fontId="58" fillId="18" borderId="1" xfId="0" applyFont="1" applyFill="1" applyBorder="1" applyAlignment="1">
      <alignment horizontal="center" vertical="center"/>
    </xf>
    <xf numFmtId="0" fontId="59" fillId="18" borderId="1" xfId="0" applyFont="1" applyFill="1" applyBorder="1" applyAlignment="1">
      <alignment horizontal="center" vertical="center"/>
    </xf>
    <xf numFmtId="164" fontId="60" fillId="0" borderId="0" xfId="0" applyNumberFormat="1" applyFont="1" applyAlignment="1">
      <alignment vertical="center"/>
    </xf>
    <xf numFmtId="0" fontId="57" fillId="16" borderId="3" xfId="0" applyFont="1" applyFill="1" applyBorder="1" applyAlignment="1">
      <alignment horizontal="center" vertical="center"/>
    </xf>
    <xf numFmtId="0" fontId="11" fillId="0" borderId="1" xfId="0" applyFont="1" applyBorder="1" applyAlignment="1">
      <alignment horizontal="left" vertical="center" indent="1"/>
    </xf>
    <xf numFmtId="164" fontId="5" fillId="10" borderId="1" xfId="0" applyNumberFormat="1" applyFont="1" applyFill="1" applyBorder="1" applyAlignment="1">
      <alignment horizontal="center" vertical="center"/>
    </xf>
    <xf numFmtId="0" fontId="61" fillId="0" borderId="1" xfId="0" applyFont="1" applyBorder="1" applyAlignment="1">
      <alignment horizontal="left" vertical="center" indent="1"/>
    </xf>
    <xf numFmtId="0" fontId="62" fillId="0" borderId="1" xfId="0" applyFont="1" applyBorder="1" applyAlignment="1">
      <alignment vertical="top" indent="1" wrapText="1"/>
    </xf>
    <xf numFmtId="0" fontId="63" fillId="0" borderId="0" xfId="0" applyFont="1" applyAlignment="1">
      <alignment horizontal="left" vertical="center" indent="1"/>
    </xf>
    <xf numFmtId="0" fontId="11" fillId="0" borderId="1" xfId="0" applyFont="1" applyBorder="1" applyAlignment="1">
      <alignment horizontal="center" vertical="center"/>
    </xf>
    <xf numFmtId="0" fontId="64" fillId="0" borderId="0" xfId="0" applyFont="1" applyAlignment="1">
      <alignment vertical="top" wrapText="1"/>
    </xf>
    <xf numFmtId="0" fontId="40" fillId="3" borderId="3" xfId="0" applyFont="1" applyFill="1" applyBorder="1" applyAlignment="1">
      <alignment horizontal="center" vertical="center" wrapText="1"/>
    </xf>
    <xf numFmtId="0" fontId="16" fillId="18" borderId="1" xfId="0" applyFont="1" applyFill="1" applyBorder="1" applyAlignment="1">
      <alignment horizontal="center" vertical="center"/>
    </xf>
    <xf numFmtId="0" fontId="61" fillId="0" borderId="0" xfId="0" applyFont="1" applyAlignment="1">
      <alignment horizontal="right" vertical="center"/>
    </xf>
    <xf numFmtId="0" fontId="21" fillId="6" borderId="3" xfId="0" applyFont="1" applyFill="1" applyBorder="1" applyAlignment="1">
      <alignment horizontal="center" vertical="center"/>
    </xf>
    <xf numFmtId="0" fontId="22" fillId="7" borderId="3" xfId="0" applyFont="1" applyFill="1" applyBorder="1" applyAlignment="1">
      <alignment horizontal="center" vertical="center"/>
    </xf>
    <xf numFmtId="0" fontId="23" fillId="11" borderId="3" xfId="0" applyFont="1" applyFill="1" applyBorder="1" applyAlignment="1">
      <alignment horizontal="center" vertical="center"/>
    </xf>
    <xf numFmtId="0" fontId="24" fillId="8" borderId="3" xfId="0" applyFont="1" applyFill="1" applyBorder="1" applyAlignment="1">
      <alignment horizontal="center" vertical="center"/>
    </xf>
    <xf numFmtId="0" fontId="30" fillId="9" borderId="3" xfId="0" applyFont="1" applyFill="1" applyBorder="1" applyAlignment="1">
      <alignment horizontal="center" vertical="center"/>
    </xf>
    <xf numFmtId="0" fontId="65" fillId="16" borderId="3" xfId="0" applyFont="1" applyFill="1" applyBorder="1" applyAlignment="1">
      <alignment horizontal="center" vertical="center" wrapText="1"/>
    </xf>
    <xf numFmtId="168" fontId="60" fillId="0" borderId="0" xfId="0" applyNumberFormat="1" applyFont="1" applyAlignment="1">
      <alignment vertical="center"/>
    </xf>
    <xf numFmtId="0" fontId="66" fillId="0" borderId="0" xfId="0" applyFont="1" applyAlignment="1">
      <alignment vertical="center"/>
    </xf>
    <xf numFmtId="0" fontId="4" fillId="3" borderId="0" xfId="0" applyFont="1" applyFill="1" applyAlignment="1">
      <alignment horizontal="center" vertical="center"/>
    </xf>
    <xf numFmtId="0" fontId="67" fillId="10" borderId="2" xfId="0" applyFont="1" applyFill="1" applyBorder="1" applyAlignment="1">
      <alignment horizontal="left" vertical="center" indent="1"/>
    </xf>
    <xf numFmtId="0" fontId="59" fillId="18" borderId="1" xfId="0" applyFont="1" applyFill="1" applyBorder="1" applyAlignment="1">
      <alignment horizontal="left" vertical="center" indent="1"/>
    </xf>
    <xf numFmtId="0" fontId="59" fillId="18" borderId="1" xfId="0" applyFont="1" applyFill="1" applyBorder="1" applyAlignment="1">
      <alignment vertical="center"/>
    </xf>
    <xf numFmtId="0" fontId="68" fillId="0" borderId="1" xfId="0" applyFont="1" applyBorder="1" applyAlignment="1">
      <alignment vertical="top" indent="1" wrapText="1"/>
    </xf>
    <xf numFmtId="0" fontId="61" fillId="0" borderId="1" xfId="0" applyFont="1" applyBorder="1" applyAlignment="1">
      <alignment horizontal="center" vertical="center"/>
    </xf>
    <xf numFmtId="0" fontId="20" fillId="0" borderId="1" xfId="0" applyFont="1" applyBorder="1" applyAlignment="1">
      <alignment horizontal="center" vertical="center" wrapText="1"/>
    </xf>
    <xf numFmtId="0" fontId="68" fillId="0" borderId="1" xfId="0" applyFont="1" applyBorder="1" applyAlignment="1">
      <alignment vertical="center" wrapText="1"/>
    </xf>
    <xf numFmtId="0" fontId="43" fillId="0" borderId="1" xfId="0" applyFont="1" applyBorder="1" applyAlignment="1">
      <alignment horizontal="left" vertical="center" indent="1"/>
    </xf>
    <xf numFmtId="169" fontId="5" fillId="0" borderId="1" xfId="0" applyNumberFormat="1" applyFont="1" applyBorder="1" applyAlignment="1">
      <alignment horizontal="center" vertical="center"/>
    </xf>
    <xf numFmtId="169" fontId="16" fillId="18" borderId="1" xfId="0" applyNumberFormat="1" applyFont="1" applyFill="1" applyBorder="1" applyAlignment="1">
      <alignment horizontal="center" vertical="center"/>
    </xf>
    <xf numFmtId="0" fontId="69" fillId="18" borderId="1" xfId="0" applyFont="1" applyFill="1" applyBorder="1" applyAlignment="1">
      <alignment horizontal="center" vertical="center" wrapText="1"/>
    </xf>
    <xf numFmtId="0" fontId="70" fillId="0" borderId="1" xfId="0" applyFont="1" applyBorder="1" applyAlignment="1">
      <alignment horizontal="center" vertical="center" wrapText="1"/>
    </xf>
    <xf numFmtId="165" fontId="5" fillId="0" borderId="1" xfId="0" applyNumberFormat="1" applyFont="1" applyBorder="1" applyAlignment="1">
      <alignment vertical="center"/>
    </xf>
    <xf numFmtId="0" fontId="59" fillId="18" borderId="1" xfId="0" applyFont="1" applyFill="1" applyBorder="1" applyAlignment="1">
      <alignment vertical="center" wrapText="1"/>
    </xf>
    <xf numFmtId="0" fontId="59" fillId="18" borderId="1" xfId="0" applyFont="1" applyFill="1" applyBorder="1" applyAlignment="1">
      <alignment horizontal="center" vertical="center" wrapText="1"/>
    </xf>
    <xf numFmtId="0" fontId="40" fillId="21" borderId="3" xfId="0" applyFont="1" applyFill="1" applyBorder="1" applyAlignment="1">
      <alignment horizontal="center" vertical="center" wrapText="1"/>
    </xf>
    <xf numFmtId="0" fontId="11" fillId="0" borderId="1" xfId="0" applyFont="1" applyBorder="1" applyAlignment="1">
      <alignment vertical="top" indent="1" wrapText="1"/>
    </xf>
    <xf numFmtId="0" fontId="43" fillId="0" borderId="1" xfId="0" applyFont="1" applyBorder="1" applyAlignment="1">
      <alignment vertical="top" wrapText="1"/>
    </xf>
    <xf numFmtId="1" fontId="11" fillId="22" borderId="1" xfId="0" applyNumberFormat="1" applyFont="1" applyFill="1" applyBorder="1" applyAlignment="1">
      <alignment horizontal="center" vertical="top"/>
    </xf>
    <xf numFmtId="0" fontId="71" fillId="23" borderId="1" xfId="0" applyFont="1" applyFill="1" applyBorder="1" applyAlignment="1">
      <alignment horizontal="center" vertical="top" wrapText="1"/>
    </xf>
    <xf numFmtId="0" fontId="72" fillId="0" borderId="1" xfId="0" applyFont="1" applyBorder="1" applyAlignment="1">
      <alignment vertical="top" wrapText="1"/>
    </xf>
    <xf numFmtId="0" fontId="43" fillId="0" borderId="1" xfId="0" applyFont="1" applyBorder="1" applyAlignment="1">
      <alignment horizontal="center" vertical="top"/>
    </xf>
    <xf numFmtId="0" fontId="73" fillId="24" borderId="1" xfId="0" applyFont="1" applyFill="1" applyBorder="1" applyAlignment="1">
      <alignment horizontal="center" vertical="top" wrapText="1"/>
    </xf>
    <xf numFmtId="0" fontId="74" fillId="25" borderId="1" xfId="0" applyFont="1" applyFill="1" applyBorder="1" applyAlignment="1">
      <alignment horizontal="center" vertical="top" wrapText="1"/>
    </xf>
    <xf numFmtId="0" fontId="75" fillId="26" borderId="1" xfId="0" applyFont="1" applyFill="1" applyBorder="1" applyAlignment="1">
      <alignment horizontal="center" vertical="top" wrapText="1"/>
    </xf>
    <xf numFmtId="0" fontId="76" fillId="27" borderId="1" xfId="0" applyFont="1" applyFill="1" applyBorder="1" applyAlignment="1">
      <alignment horizontal="center" vertical="top" wrapText="1"/>
    </xf>
    <xf numFmtId="0" fontId="5" fillId="10" borderId="1" xfId="0" applyFont="1" applyFill="1" applyBorder="1" applyAlignment="1">
      <alignment horizontal="left" vertical="center" indent="1"/>
    </xf>
    <xf numFmtId="0" fontId="5" fillId="10" borderId="1" xfId="0" applyFont="1" applyFill="1" applyBorder="1" applyAlignment="1">
      <alignment vertical="center"/>
    </xf>
    <xf numFmtId="1" fontId="5" fillId="10" borderId="1" xfId="0" applyNumberFormat="1" applyFont="1" applyFill="1" applyBorder="1" applyAlignment="1">
      <alignment horizontal="center" vertical="center"/>
    </xf>
    <xf numFmtId="0" fontId="77" fillId="0" borderId="1" xfId="0" applyFont="1" applyBorder="1" applyAlignment="1">
      <alignment horizontal="center" vertical="top"/>
    </xf>
  </cellXfs>
  <cellStyles count="1">
    <cellStyle name="Normal" xfId="0" builtinId="0"/>
  </cellStyles>
  <dxfs count="8">
    <dxf>
      <font>
        <b/>
        <color rgb="FF9C0006"/>
      </font>
      <fill>
        <patternFill>
          <bgColor rgb="FFFFC7CE"/>
        </patternFill>
      </fill>
    </dxf>
    <dxf>
      <font>
        <b/>
        <color rgb="FF7A3E00"/>
      </font>
      <fill>
        <patternFill>
          <bgColor rgb="FFFFD08A"/>
        </patternFill>
      </fill>
    </dxf>
    <dxf>
      <font>
        <b/>
        <color rgb="FF7A5C00"/>
      </font>
      <fill>
        <patternFill>
          <bgColor rgb="FFFFEB9C"/>
        </patternFill>
      </fill>
    </dxf>
    <dxf>
      <font>
        <b/>
        <color rgb="FF006100"/>
      </font>
      <fill>
        <patternFill>
          <bgColor rgb="FFC6EFCE"/>
        </patternFill>
      </fill>
    </dxf>
    <dxf>
      <font>
        <color rgb="FF595959"/>
      </font>
      <fill>
        <patternFill>
          <bgColor rgb="FFE4E4E4"/>
        </patternFill>
      </fill>
    </dxf>
    <dxf>
      <font>
        <color rgb="FF8B0000"/>
      </font>
      <fill>
        <patternFill>
          <bgColor rgb="FFF4B6B6"/>
        </patternFill>
      </fill>
    </dxf>
    <dxf>
      <font>
        <color rgb="FF7A3E00"/>
      </font>
      <fill>
        <patternFill>
          <bgColor rgb="FFFFD966"/>
        </patternFill>
      </fill>
    </dxf>
    <dxf>
      <font>
        <b/>
        <color rgb="FF274E13"/>
      </font>
      <fill>
        <patternFill>
          <bgColor rgb="FFD9EA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hello@innovateuk.u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legislation.gov.uk/ukdsi/2026/978034828686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egislation.gov.uk/uksi/1998/2451/regulation/36" TargetMode="External"/><Relationship Id="rId2" Type="http://schemas.openxmlformats.org/officeDocument/2006/relationships/hyperlink" Target="https://www.legislation.gov.uk/uksi/2020/312/regulation/3" TargetMode="External"/><Relationship Id="rId3" Type="http://schemas.openxmlformats.org/officeDocument/2006/relationships/hyperlink" Target="https://www.gov.uk/guidance/domestic-private-rented-property-minimum-energy-efficiency-standard-landlord-guidance" TargetMode="External"/><Relationship Id="rId4" Type="http://schemas.openxmlformats.org/officeDocument/2006/relationships/hyperlink" Target="https://www.legislation.gov.uk/uksi/2005/1541/article/9" TargetMode="External"/><Relationship Id="rId5" Type="http://schemas.openxmlformats.org/officeDocument/2006/relationships/hyperlink" Target="https://www.gov.uk/government/publications/fire-safety-risk-assessment-sleeping-accommodation/fire-safety-risk-assessment-sleeping-accommodation-accessible" TargetMode="External"/><Relationship Id="rId6" Type="http://schemas.openxmlformats.org/officeDocument/2006/relationships/hyperlink" Target="https://www.gov.uk/government/publications/fire-safety-risk-assessment-sleeping-accommodation/fire-safety-risk-assessment-sleeping-accommodation-accessible" TargetMode="External"/><Relationship Id="rId7" Type="http://schemas.openxmlformats.org/officeDocument/2006/relationships/hyperlink" Target="https://www.gov.uk/government/publications/fire-safety-risk-assessment-sleeping-accommodation/fire-safety-risk-assessment-sleeping-accommodation-accessible" TargetMode="External"/><Relationship Id="rId8" Type="http://schemas.openxmlformats.org/officeDocument/2006/relationships/hyperlink" Target="https://www.gov.uk/government/publications/fire-safety-risk-assessment-sleeping-accommodation/fire-safety-risk-assessment-sleeping-accommodation-accessible" TargetMode="External"/><Relationship Id="rId9" Type="http://schemas.openxmlformats.org/officeDocument/2006/relationships/hyperlink" Target="https://www.gov.uk/government/publications/fire-safety-risk-assessment-sleeping-accommodation/fire-safety-risk-assessment-sleeping-accommodation-accessible" TargetMode="External"/><Relationship Id="rId10" Type="http://schemas.openxmlformats.org/officeDocument/2006/relationships/hyperlink" Target="https://www.legislation.gov.uk/uksi/2015/1693/regulation/4" TargetMode="External"/><Relationship Id="rId11" Type="http://schemas.openxmlformats.org/officeDocument/2006/relationships/hyperlink" Target="https://www.hse.gov.uk/electricity/faq-portable-appliance-testing.htm" TargetMode="External"/><Relationship Id="rId12" Type="http://schemas.openxmlformats.org/officeDocument/2006/relationships/hyperlink" Target="https://www.hse.gov.uk/legionnaires/legionella-landlords-responsibilities.htm" TargetMode="External"/><Relationship Id="rId13" Type="http://schemas.openxmlformats.org/officeDocument/2006/relationships/hyperlink" Target="https://www.legislation.gov.uk/ukpga/2004/34/section/68" TargetMode="External"/><Relationship Id="rId14" Type="http://schemas.openxmlformats.org/officeDocument/2006/relationships/hyperlink" Target="https://www.legislation.gov.uk/ukpga/2004/34/schedule/4" TargetMode="External"/><Relationship Id="rId15" Type="http://schemas.openxmlformats.org/officeDocument/2006/relationships/hyperlink" Target="https://ico.org.uk/for-organisations/data-protection-fee/" TargetMode="External"/><Relationship Id="rId16" Type="http://schemas.openxmlformats.org/officeDocument/2006/relationships/hyperlink" Target="https://www.legislation.gov.uk/uksi/2006/372/contents" TargetMode="External"/><Relationship Id="rId17" Type="http://schemas.openxmlformats.org/officeDocument/2006/relationships/hyperlink" Target="https://www.legislation.gov.uk/uksi/2006/372/contents" TargetMode="External"/><Relationship Id="rId18" Type="http://schemas.openxmlformats.org/officeDocument/2006/relationships/hyperlink" Target="https://www.legislation.gov.uk/ukpga/2004/34/schedule/4" TargetMode="External"/><Relationship Id="rId19" Type="http://schemas.openxmlformats.org/officeDocument/2006/relationships/hyperlink" Target="https://www.legislation.gov.uk/ukpga/2004/34/schedule/4" TargetMode="External"/><Relationship Id="rId20" Type="http://schemas.openxmlformats.org/officeDocument/2006/relationships/hyperlink" Target="https://www.legislation.gov.uk/uksi/2018/221/article/4" TargetMode="External"/><Relationship Id="rId21" Type="http://schemas.openxmlformats.org/officeDocument/2006/relationships/hyperlink" Target="https://www.legislation.gov.uk/ukpga/2004/34/section/213" TargetMode="External"/><Relationship Id="rId22" Type="http://schemas.openxmlformats.org/officeDocument/2006/relationships/hyperlink" Target="https://www.gov.uk/government/publications/landlords-guide-to-right-to-rent-checks" TargetMode="External"/><Relationship Id="rId23" Type="http://schemas.openxmlformats.org/officeDocument/2006/relationships/hyperlink" Target="https://www.gov.uk/guidance/renters-rights-act-an-overview-for-landlords" TargetMode="External"/><Relationship Id="rId24" Type="http://schemas.openxmlformats.org/officeDocument/2006/relationships/hyperlink" Target="https://www.legislation.gov.uk/ukpga/1988/50/section/13" TargetMode="External"/><Relationship Id="rId25" Type="http://schemas.openxmlformats.org/officeDocument/2006/relationships/hyperlink" Target="https://www.legislation.gov.uk/ukpga/2025/26/section/11" TargetMode="External"/><Relationship Id="rId26" Type="http://schemas.openxmlformats.org/officeDocument/2006/relationships/hyperlink" Target="https://www.gov.uk/government/news/stronger-protections-and-greater-confidence-for-renters" TargetMode="External"/><Relationship Id="rId27" Type="http://schemas.openxmlformats.org/officeDocument/2006/relationships/hyperlink" Target="https://www.legislation.gov.uk/ukdsi/2026/9780348286861" TargetMode="External"/><Relationship Id="rId28" Type="http://schemas.openxmlformats.org/officeDocument/2006/relationships/hyperlink" Target="https://www.nrla.org.uk/resources/renters-rights/landlord-database-register-your-rental-property-service" TargetMode="External"/><Relationship Id="rId29" Type="http://schemas.openxmlformats.org/officeDocument/2006/relationships/hyperlink" Target="https://www.gov.uk/government/publications/renters-rights-act-2025-implementation-roadmap/implementing-the-renters-rights-act-2025-our-roadmap-for-reforming-the-private-rented-sector" TargetMode="External"/><Relationship Id="rId30" Type="http://schemas.openxmlformats.org/officeDocument/2006/relationships/hyperlink" Target="https://www.legislation.gov.uk/ukpga/2004/34/section/249A" TargetMode="External"/><Relationship Id="rId31" Type="http://schemas.openxmlformats.org/officeDocument/2006/relationships/hyperlink" Target="https://www.gov.uk/government/publications/renters-rights-act-2025-implementation-roadmap/implementing-the-renters-rights-act-2025-our-roadmap-for-reforming-the-private-rented-sector" TargetMode="External"/></Relationships>
</file>

<file path=xl/worksheets/sheet1.xml><?xml version="1.0" encoding="utf-8"?>
<worksheet xmlns="http://schemas.openxmlformats.org/spreadsheetml/2006/main" xmlns:r="http://schemas.openxmlformats.org/officeDocument/2006/relationships">
  <sheetPr>
    <tabColor rgb="FF1B3A57"/>
    <pageSetUpPr fitToPage="1"/>
  </sheetPr>
  <dimension ref="A1:E48"/>
  <sheetViews>
    <sheetView showGridLines="0" tabSelected="1" workbookViewId="0"/>
  </sheetViews>
  <sheetFormatPr defaultRowHeight="15"/>
  <cols>
    <col min="1" max="1" width="2.7109375" customWidth="1"/>
    <col min="2" max="2" width="24.7109375" customWidth="1"/>
    <col min="3" max="4" width="42.7109375" customWidth="1"/>
    <col min="5" max="5" width="16.7109375" customWidth="1"/>
  </cols>
  <sheetData>
    <row r="1" spans="2:5" ht="38" customHeight="1">
      <c r="B1" s="1" t="str">
        <f>IF(TRIM($C$20)="","HMO Compliance Tracker 2026",TRIM($C$20))</f>
        <v>HMO Compliance Tracker 2026</v>
      </c>
    </row>
    <row r="2" spans="2:5">
      <c r="B2" s="2" t="s">
        <v>0</v>
      </c>
    </row>
    <row r="3" spans="2:5" ht="22" customHeight="1">
      <c r="B3" s="3" t="s">
        <v>1</v>
      </c>
      <c r="C3" s="3"/>
    </row>
    <row r="5" spans="2:5" ht="22" customHeight="1">
      <c r="B5" s="4" t="s">
        <v>2</v>
      </c>
      <c r="C5" s="4"/>
      <c r="D5" s="4"/>
      <c r="E5" s="4"/>
    </row>
    <row r="6" spans="2:5" ht="34" customHeight="1">
      <c r="B6" s="5" t="s">
        <v>3</v>
      </c>
      <c r="C6" s="6" t="s">
        <v>4</v>
      </c>
      <c r="D6" s="6"/>
      <c r="E6" s="6"/>
    </row>
    <row r="7" spans="2:5" ht="42.8" customHeight="1">
      <c r="B7" s="5" t="s">
        <v>5</v>
      </c>
      <c r="C7" s="6" t="s">
        <v>6</v>
      </c>
      <c r="D7" s="6"/>
      <c r="E7" s="6"/>
    </row>
    <row r="8" spans="2:5" ht="55.4" customHeight="1">
      <c r="B8" s="5" t="s">
        <v>7</v>
      </c>
      <c r="C8" s="6" t="s">
        <v>8</v>
      </c>
      <c r="D8" s="6"/>
      <c r="E8" s="6"/>
    </row>
    <row r="9" spans="2:5" ht="34" customHeight="1">
      <c r="B9" s="5" t="s">
        <v>9</v>
      </c>
      <c r="C9" s="6" t="s">
        <v>10</v>
      </c>
      <c r="D9" s="6"/>
      <c r="E9" s="6"/>
    </row>
    <row r="10" spans="2:5" ht="34" customHeight="1">
      <c r="B10" s="5" t="s">
        <v>11</v>
      </c>
      <c r="C10" s="6" t="s">
        <v>12</v>
      </c>
      <c r="D10" s="6"/>
      <c r="E10" s="6"/>
    </row>
    <row r="11" spans="2:5" ht="34" customHeight="1">
      <c r="B11" s="7" t="s">
        <v>13</v>
      </c>
      <c r="C11" s="7"/>
      <c r="D11" s="7"/>
      <c r="E11" s="7"/>
    </row>
    <row r="13" spans="2:5" ht="22" customHeight="1">
      <c r="B13" s="4" t="s">
        <v>14</v>
      </c>
      <c r="C13" s="4"/>
      <c r="D13" s="4"/>
      <c r="E13" s="4"/>
    </row>
    <row r="14" spans="2:5" ht="22" customHeight="1">
      <c r="B14" s="8" t="s">
        <v>15</v>
      </c>
      <c r="C14" s="9" t="s">
        <v>16</v>
      </c>
      <c r="D14" s="9"/>
      <c r="E14" s="9"/>
    </row>
    <row r="15" spans="2:5" ht="22" customHeight="1">
      <c r="B15" s="10" t="s">
        <v>17</v>
      </c>
      <c r="C15" s="9" t="s">
        <v>18</v>
      </c>
      <c r="D15" s="9"/>
      <c r="E15" s="9"/>
    </row>
    <row r="16" spans="2:5" ht="22" customHeight="1">
      <c r="B16" s="11" t="s">
        <v>19</v>
      </c>
      <c r="C16" s="9" t="s">
        <v>20</v>
      </c>
      <c r="D16" s="9"/>
      <c r="E16" s="9"/>
    </row>
    <row r="17" spans="2:5" ht="22" customHeight="1">
      <c r="B17" s="12" t="s">
        <v>21</v>
      </c>
      <c r="C17" s="9" t="s">
        <v>22</v>
      </c>
      <c r="D17" s="9"/>
      <c r="E17" s="9"/>
    </row>
    <row r="18" spans="2:5">
      <c r="B18" s="13" t="s">
        <v>23</v>
      </c>
    </row>
    <row r="19" spans="2:5" ht="22" customHeight="1">
      <c r="B19" s="4" t="s">
        <v>24</v>
      </c>
      <c r="C19" s="4"/>
      <c r="D19" s="4"/>
      <c r="E19" s="4"/>
    </row>
    <row r="20" spans="2:5" ht="22" customHeight="1">
      <c r="B20" s="14" t="s">
        <v>25</v>
      </c>
      <c r="C20" s="15" t="s">
        <v>26</v>
      </c>
      <c r="D20" s="16" t="s">
        <v>27</v>
      </c>
      <c r="E20" s="16"/>
    </row>
    <row r="21" spans="2:5" ht="22" customHeight="1">
      <c r="B21" s="14" t="s">
        <v>28</v>
      </c>
      <c r="C21" s="15"/>
      <c r="D21" s="16" t="s">
        <v>29</v>
      </c>
      <c r="E21" s="16"/>
    </row>
    <row r="22" spans="2:5" ht="22" customHeight="1">
      <c r="B22" s="14" t="s">
        <v>30</v>
      </c>
      <c r="C22" s="15"/>
      <c r="D22" s="16" t="s">
        <v>29</v>
      </c>
      <c r="E22" s="16"/>
    </row>
    <row r="23" spans="2:5" ht="22" customHeight="1">
      <c r="B23" s="14" t="s">
        <v>31</v>
      </c>
      <c r="C23" s="15"/>
      <c r="D23" s="16" t="s">
        <v>29</v>
      </c>
      <c r="E23" s="16"/>
    </row>
    <row r="24" spans="2:5" ht="22" customHeight="1">
      <c r="B24" s="16" t="s">
        <v>32</v>
      </c>
      <c r="C24" s="17" t="str">
        <f>IF(TRIM('Start Here'!$C$20)="","HMO Compliance Tracker 2026",TRIM('Start Here'!$C$20))&amp;IF(TRIM('Start Here'!$C$21)="","","  |  "&amp;TRIM('Start Here'!$C$21))&amp;IF(TRIM('Start Here'!$C$22)="","","  |  "&amp;TRIM('Start Here'!$C$22))&amp;IF(TRIM('Start Here'!$C$23)="","","  |  "&amp;TRIM('Start Here'!$C$23))</f>
        <v>HMO Compliance Tracker 2026</v>
      </c>
      <c r="D24" s="17"/>
      <c r="E24" s="17"/>
    </row>
    <row r="26" spans="2:5" ht="22" customHeight="1">
      <c r="B26" s="4" t="s">
        <v>33</v>
      </c>
      <c r="C26" s="4"/>
      <c r="D26" s="4"/>
      <c r="E26" s="4"/>
    </row>
    <row r="27" spans="2:5" ht="20" customHeight="1">
      <c r="B27" s="18" t="s">
        <v>34</v>
      </c>
      <c r="C27" s="19" t="s">
        <v>35</v>
      </c>
      <c r="D27" s="19"/>
      <c r="E27" s="19"/>
    </row>
    <row r="28" spans="2:5" ht="20" customHeight="1">
      <c r="B28" s="18" t="s">
        <v>36</v>
      </c>
      <c r="C28" s="19" t="s">
        <v>37</v>
      </c>
      <c r="D28" s="19"/>
      <c r="E28" s="19"/>
    </row>
    <row r="29" spans="2:5" ht="20" customHeight="1">
      <c r="B29" s="18" t="s">
        <v>38</v>
      </c>
      <c r="C29" s="19" t="s">
        <v>39</v>
      </c>
      <c r="D29" s="19"/>
      <c r="E29" s="19"/>
    </row>
    <row r="30" spans="2:5" ht="20" customHeight="1">
      <c r="B30" s="18" t="s">
        <v>40</v>
      </c>
      <c r="C30" s="20" t="s">
        <v>41</v>
      </c>
      <c r="D30" s="19"/>
      <c r="E30" s="19"/>
    </row>
    <row r="32" spans="2:5" ht="22" customHeight="1">
      <c r="B32" s="4" t="s">
        <v>42</v>
      </c>
      <c r="C32" s="4"/>
      <c r="D32" s="4"/>
      <c r="E32" s="4"/>
    </row>
    <row r="33" spans="2:5" ht="34" customHeight="1">
      <c r="B33" s="21" t="s">
        <v>43</v>
      </c>
      <c r="C33" s="21"/>
      <c r="D33" s="21"/>
      <c r="E33" s="21"/>
    </row>
    <row r="34" spans="2:5" ht="34" customHeight="1">
      <c r="B34" s="22" t="s">
        <v>44</v>
      </c>
      <c r="C34" s="22"/>
      <c r="D34" s="22"/>
      <c r="E34" s="22"/>
    </row>
    <row r="36" spans="2:5" ht="22" customHeight="1">
      <c r="B36" s="4" t="s">
        <v>45</v>
      </c>
      <c r="C36" s="4"/>
      <c r="D36" s="4"/>
      <c r="E36" s="4"/>
    </row>
    <row r="37" spans="2:5" ht="48" customHeight="1">
      <c r="B37" s="23" t="s">
        <v>46</v>
      </c>
      <c r="C37" s="23"/>
      <c r="D37" s="23"/>
      <c r="E37" s="23"/>
    </row>
    <row r="39" spans="2:5" ht="22" customHeight="1">
      <c r="B39" s="4" t="s">
        <v>47</v>
      </c>
      <c r="C39" s="4"/>
      <c r="D39" s="4"/>
      <c r="E39" s="4"/>
    </row>
    <row r="40" spans="2:5" ht="20" customHeight="1">
      <c r="B40" s="20" t="s">
        <v>48</v>
      </c>
      <c r="C40" s="24" t="s">
        <v>49</v>
      </c>
      <c r="D40" s="24"/>
      <c r="E40" s="24"/>
    </row>
    <row r="41" spans="2:5" ht="20" customHeight="1">
      <c r="B41" s="20" t="s">
        <v>50</v>
      </c>
      <c r="C41" s="24" t="s">
        <v>51</v>
      </c>
      <c r="D41" s="24"/>
      <c r="E41" s="24"/>
    </row>
    <row r="42" spans="2:5" ht="20" customHeight="1">
      <c r="B42" s="20" t="s">
        <v>52</v>
      </c>
      <c r="C42" s="24" t="s">
        <v>53</v>
      </c>
      <c r="D42" s="24"/>
      <c r="E42" s="24"/>
    </row>
    <row r="43" spans="2:5" ht="20" customHeight="1">
      <c r="B43" s="20" t="s">
        <v>54</v>
      </c>
      <c r="C43" s="24" t="s">
        <v>55</v>
      </c>
      <c r="D43" s="24"/>
      <c r="E43" s="24"/>
    </row>
    <row r="44" spans="2:5" ht="20" customHeight="1">
      <c r="B44" s="20" t="s">
        <v>56</v>
      </c>
      <c r="C44" s="24" t="s">
        <v>57</v>
      </c>
      <c r="D44" s="24"/>
      <c r="E44" s="24"/>
    </row>
    <row r="45" spans="2:5" ht="20" customHeight="1">
      <c r="B45" s="20" t="s">
        <v>58</v>
      </c>
      <c r="C45" s="24" t="s">
        <v>59</v>
      </c>
      <c r="D45" s="24"/>
      <c r="E45" s="24"/>
    </row>
    <row r="46" spans="2:5" ht="20" customHeight="1">
      <c r="B46" s="20" t="s">
        <v>60</v>
      </c>
      <c r="C46" s="24" t="s">
        <v>61</v>
      </c>
      <c r="D46" s="24"/>
      <c r="E46" s="24"/>
    </row>
    <row r="47" spans="2:5" ht="20" customHeight="1">
      <c r="B47" s="20" t="s">
        <v>62</v>
      </c>
      <c r="C47" s="24" t="s">
        <v>63</v>
      </c>
      <c r="D47" s="24"/>
      <c r="E47" s="24"/>
    </row>
    <row r="48" spans="2:5" ht="20" customHeight="1">
      <c r="B48" s="20" t="s">
        <v>64</v>
      </c>
      <c r="C48" s="24" t="s">
        <v>65</v>
      </c>
      <c r="D48" s="24"/>
      <c r="E48" s="24"/>
    </row>
  </sheetData>
  <mergeCells count="39">
    <mergeCell ref="B3:C3"/>
    <mergeCell ref="B5:E5"/>
    <mergeCell ref="C6:E6"/>
    <mergeCell ref="C7:E7"/>
    <mergeCell ref="C8:E8"/>
    <mergeCell ref="C9:E9"/>
    <mergeCell ref="C10:E10"/>
    <mergeCell ref="B11:E11"/>
    <mergeCell ref="B13:E13"/>
    <mergeCell ref="C14:E14"/>
    <mergeCell ref="C15:E15"/>
    <mergeCell ref="C16:E16"/>
    <mergeCell ref="C17:E17"/>
    <mergeCell ref="B19:E19"/>
    <mergeCell ref="D20:E20"/>
    <mergeCell ref="D21:E21"/>
    <mergeCell ref="D22:E22"/>
    <mergeCell ref="D23:E23"/>
    <mergeCell ref="C24:E24"/>
    <mergeCell ref="B26:E26"/>
    <mergeCell ref="C27:E27"/>
    <mergeCell ref="C28:E28"/>
    <mergeCell ref="C29:E29"/>
    <mergeCell ref="C30:E30"/>
    <mergeCell ref="B32:E32"/>
    <mergeCell ref="B33:E33"/>
    <mergeCell ref="B34:E34"/>
    <mergeCell ref="B36:E36"/>
    <mergeCell ref="B37:E37"/>
    <mergeCell ref="B39:E39"/>
    <mergeCell ref="C40:E40"/>
    <mergeCell ref="C41:E41"/>
    <mergeCell ref="C42:E42"/>
    <mergeCell ref="C43:E43"/>
    <mergeCell ref="C44:E44"/>
    <mergeCell ref="C45:E45"/>
    <mergeCell ref="C46:E46"/>
    <mergeCell ref="C47:E47"/>
    <mergeCell ref="C48:E48"/>
  </mergeCells>
  <hyperlinks>
    <hyperlink ref="C30" r:id="rId1"/>
    <hyperlink ref="B40" location="'Dashboard'!A1" display="Dashboard"/>
    <hyperlink ref="B41" location="'PRS Database Readiness'!A1" display="PRS Database Readiness"/>
    <hyperlink ref="B42" location="'Properties'!A1" display="Properties"/>
    <hyperlink ref="B43" location="'Compliance Log'!A1" display="Compliance Log"/>
    <hyperlink ref="B44" location="'Fire Safety Log'!A1" display="Fire Safety Log"/>
    <hyperlink ref="B45" location="'Licence Conditions'!A1" display="Licence Conditions"/>
    <hyperlink ref="B46" location="'Tenancies &amp; Renters Rights'!A1" display="Tenancies &amp; Renters Rights"/>
    <hyperlink ref="B47" location="'Contractors'!A1" display="Contractors"/>
    <hyperlink ref="B48" location="'Reference'!A1" display="Reference"/>
  </hyperlinks>
  <pageMargins left="0.4" right="0.4" top="0.5" bottom="0.55" header="0.3" footer="0.3"/>
  <pageSetup paperSize="9" orientation="portrait"/>
  <headerFooter>
    <oddFooter>&amp;L&amp;8&amp;A&amp;C&amp;8Page &amp;P of &amp;N&amp;R&amp;8Printed &amp;D</oddFooter>
  </headerFooter>
  <ignoredErrors>
    <ignoredError sqref="A1:Z2000" numberStoredAsText="1"/>
    <ignoredError sqref="A1:Z2000" formula="1"/>
  </ignoredErrors>
</worksheet>
</file>

<file path=xl/worksheets/sheet2.xml><?xml version="1.0" encoding="utf-8"?>
<worksheet xmlns="http://schemas.openxmlformats.org/spreadsheetml/2006/main" xmlns:r="http://schemas.openxmlformats.org/officeDocument/2006/relationships">
  <sheetPr>
    <tabColor rgb="FF2E7D32"/>
    <pageSetUpPr fitToPage="1"/>
  </sheetPr>
  <dimension ref="A1:P130"/>
  <sheetViews>
    <sheetView showGridLines="0" workbookViewId="0">
      <pane ySplit="3" topLeftCell="A4" activePane="bottomLeft" state="frozen"/>
      <selection pane="bottomLeft"/>
    </sheetView>
  </sheetViews>
  <sheetFormatPr defaultRowHeight="15"/>
  <cols>
    <col min="1" max="1" width="2.7109375" customWidth="1"/>
    <col min="2" max="13" width="15.28515625" customWidth="1"/>
    <col min="14" max="14" width="2.7109375" customWidth="1"/>
    <col min="16" max="16" width="6.7109375" hidden="1" customWidth="1"/>
  </cols>
  <sheetData>
    <row r="1" spans="1:16" ht="17" customHeight="1">
      <c r="A1" s="25" t="str">
        <f>IF(TRIM('Start Here'!$C$20)="","HMO Compliance Tracker 2026",TRIM('Start Here'!$C$20))&amp;IF(TRIM('Start Here'!$C$21)="","","  |  "&amp;TRIM('Start Here'!$C$21))&amp;IF(TRIM('Start Here'!$C$22)="","","  |  "&amp;TRIM('Start Here'!$C$22))&amp;IF(TRIM('Start Here'!$C$23)="","","  |  "&amp;TRIM('Start Here'!$C$23))</f>
        <v>HMO Compliance Tracker 2026</v>
      </c>
      <c r="B1" s="26"/>
      <c r="C1" s="26"/>
      <c r="D1" s="26"/>
      <c r="E1" s="26"/>
      <c r="F1" s="26"/>
      <c r="G1" s="26"/>
      <c r="H1" s="26"/>
      <c r="I1" s="26"/>
      <c r="J1" s="26"/>
      <c r="K1" s="26"/>
      <c r="L1" s="26"/>
      <c r="M1" s="26"/>
    </row>
    <row r="2" spans="1:16" ht="30" customHeight="1">
      <c r="B2" s="27" t="s">
        <v>48</v>
      </c>
    </row>
    <row r="3" spans="1:16">
      <c r="B3" s="28" t="str">
        <f>"Updates automatically from the Compliance Log, Properties and Fire Safety Log.   As at "&amp;TEXT(TODAY(),"dd/mm/yyyy")</f>
        <v>Updates automatically from the Compliance Log, Properties and Fire Safety Log.   As at 02/10/2026</v>
      </c>
      <c r="C3" s="28"/>
      <c r="D3" s="28"/>
      <c r="E3" s="28"/>
      <c r="F3" s="28"/>
      <c r="G3" s="28"/>
      <c r="H3" s="28"/>
      <c r="I3" s="28"/>
      <c r="J3" s="28"/>
      <c r="K3" s="28"/>
      <c r="L3" s="28"/>
      <c r="M3" s="28"/>
    </row>
    <row r="4" spans="1:16" ht="8" customHeight="1"/>
    <row r="5" spans="1:16" ht="18" customHeight="1">
      <c r="B5" s="29" t="s">
        <v>66</v>
      </c>
      <c r="C5" s="29"/>
      <c r="D5" s="29" t="s">
        <v>67</v>
      </c>
      <c r="E5" s="29"/>
      <c r="F5" s="30" t="s">
        <v>68</v>
      </c>
      <c r="G5" s="30"/>
      <c r="H5" s="31" t="s">
        <v>69</v>
      </c>
      <c r="I5" s="31"/>
      <c r="J5" s="32" t="s">
        <v>70</v>
      </c>
      <c r="K5" s="32"/>
      <c r="L5" s="33" t="s">
        <v>71</v>
      </c>
      <c r="M5" s="33"/>
    </row>
    <row r="6" spans="1:16" ht="42" customHeight="1">
      <c r="B6" s="34">
        <f>COUNTA(Properties!$A$6:$A$105)</f>
        <v>2</v>
      </c>
      <c r="C6" s="34"/>
      <c r="D6" s="34">
        <f>SUMPRODUCT(--('Compliance Log'!$H$6:$H$1005&lt;&gt;""))</f>
        <v>15</v>
      </c>
      <c r="E6" s="34"/>
      <c r="F6" s="35">
        <f>SUMPRODUCT(--('Compliance Log'!$H$6:$H$1005="Overdue"))</f>
        <v>3</v>
      </c>
      <c r="G6" s="35"/>
      <c r="H6" s="36">
        <f>SUMPRODUCT(--('Compliance Log'!$H$6:$H$1005="Due &lt;=30"))</f>
        <v>2</v>
      </c>
      <c r="I6" s="36"/>
      <c r="J6" s="37">
        <f>SUMPRODUCT(--('Compliance Log'!$H$6:$H$1005="Due 31-60"))</f>
        <v>3</v>
      </c>
      <c r="K6" s="37"/>
      <c r="L6" s="38">
        <f>SUMPRODUCT(--('Compliance Log'!$H$6:$H$1005="OK"))</f>
        <v>6</v>
      </c>
      <c r="M6" s="38"/>
    </row>
    <row r="7" spans="1:16" ht="6" customHeight="1"/>
    <row r="8" spans="1:16" ht="16" customHeight="1">
      <c r="B8" s="39" t="s">
        <v>72</v>
      </c>
      <c r="C8" s="39"/>
      <c r="D8" s="40" t="s">
        <v>73</v>
      </c>
      <c r="E8" s="40"/>
      <c r="F8" s="41" t="s">
        <v>74</v>
      </c>
      <c r="G8" s="41"/>
      <c r="H8" s="42" t="s">
        <v>75</v>
      </c>
      <c r="I8" s="42"/>
      <c r="J8" s="43" t="s">
        <v>76</v>
      </c>
      <c r="K8" s="43"/>
      <c r="L8" s="43" t="s">
        <v>77</v>
      </c>
      <c r="M8" s="43"/>
    </row>
    <row r="9" spans="1:16" ht="26" customHeight="1">
      <c r="B9" s="44">
        <f>SUMPRODUCT(--('Compliance Log'!$H$6:$H$1005="No date"))</f>
        <v>1</v>
      </c>
      <c r="C9" s="44"/>
      <c r="D9" s="45">
        <f>SUMPRODUCT(--('Fire Safety Log'!$J$6:$J$1005="OPEN"))</f>
        <v>1</v>
      </c>
      <c r="E9" s="45"/>
      <c r="F9" s="46">
        <f>SUMPRODUCT((Properties!$H$6:$H$105="Expired")+(Properties!$H$6:$H$105="Expires &lt;=30")+(Properties!$H$6:$H$105="Expires 31-60"))</f>
        <v>1</v>
      </c>
      <c r="G9" s="46"/>
      <c r="H9" s="47">
        <f>SUMPRODUCT(--(Properties!$K$6:$K$105="OVER"))</f>
        <v>1</v>
      </c>
      <c r="I9" s="47"/>
      <c r="J9" s="48">
        <f>SUMPRODUCT(('PRS Database Readiness'!$I$9:$I$108="Nearly")+('PRS Database Readiness'!$I$9:$I$108="Not ready"))</f>
        <v>2</v>
      </c>
      <c r="K9" s="48"/>
      <c r="L9" s="49">
        <f>IF(COUNT('PRS Database Readiness'!$AJ$9:$AJ$108)=0,"n/a",MIN('PRS Database Readiness'!$AJ$9:$AJ$108))</f>
        <v>46460.0</v>
      </c>
      <c r="M9" s="49"/>
    </row>
    <row r="11" spans="1:16" ht="22" customHeight="1">
      <c r="B11" s="4" t="s">
        <v>78</v>
      </c>
      <c r="C11" s="4"/>
      <c r="D11" s="4"/>
      <c r="E11" s="4"/>
      <c r="F11" s="4"/>
      <c r="G11" s="4"/>
      <c r="H11" s="4"/>
      <c r="I11" s="4"/>
      <c r="J11" s="4"/>
      <c r="K11" s="4"/>
      <c r="L11" s="4"/>
      <c r="M11" s="4"/>
    </row>
    <row r="12" spans="1:16" ht="20" customHeight="1">
      <c r="B12" s="50" t="s">
        <v>79</v>
      </c>
      <c r="C12" s="50" t="s">
        <v>80</v>
      </c>
      <c r="D12" s="50" t="s">
        <v>81</v>
      </c>
      <c r="E12" s="50" t="s">
        <v>82</v>
      </c>
      <c r="F12" s="50"/>
      <c r="G12" s="50"/>
      <c r="H12" s="50" t="s">
        <v>83</v>
      </c>
      <c r="I12" s="50"/>
      <c r="J12" s="50"/>
      <c r="K12" s="50"/>
      <c r="L12" s="50" t="s">
        <v>84</v>
      </c>
      <c r="M12" s="50"/>
    </row>
    <row r="13" spans="1:16" ht="18" customHeight="1">
      <c r="B13" s="51">
        <f>IF($P13="","",ROW()-ROW($B$12))</f>
        <v>1</v>
      </c>
      <c r="C13" s="52">
        <f>IF($P13="","",INDEX('Compliance Log'!$F$6:$F$1005,$P13))</f>
        <v>45962.0</v>
      </c>
      <c r="D13" s="53">
        <f>IF($P13="","",INDEX('Compliance Log'!$G$6:$G$1005,$P13))</f>
        <v>-335</v>
      </c>
      <c r="E13" s="54" t="str">
        <f>IF($P13="","",INDEX('Compliance Log'!$A$6:$A$1005,$P13))</f>
        <v>SAMPLE - 12 Acacia Road, Exampleton</v>
      </c>
      <c r="F13" s="54"/>
      <c r="G13" s="54"/>
      <c r="H13" s="54" t="str">
        <f>IF($P13="","",INDEX('Compliance Log'!$B$6:$B$1005,$P13))</f>
        <v>Portable appliance testing (PAT)</v>
      </c>
      <c r="I13" s="54"/>
      <c r="J13" s="54"/>
      <c r="K13" s="54"/>
      <c r="L13" s="51" t="str">
        <f>IF($P13="","",INDEX('Compliance Log'!$H$6:$H$1005,$P13))</f>
        <v>Overdue</v>
      </c>
      <c r="M13" s="51"/>
      <c r="P13">
        <f>IFERROR(MATCH(SMALL('Compliance Log'!$M$6:$M$1005,ROW()-ROW($P$12)),'Compliance Log'!$M$6:$M$1005,0),"")</f>
        <v>7</v>
      </c>
    </row>
    <row r="14" spans="1:16" ht="18" customHeight="1">
      <c r="B14" s="51">
        <f>IF($P14="","",ROW()-ROW($B$12))</f>
        <v>2</v>
      </c>
      <c r="C14" s="52">
        <f>IF($P14="","",INDEX('Compliance Log'!$F$6:$F$1005,$P14))</f>
        <v>46242.0</v>
      </c>
      <c r="D14" s="53">
        <f>IF($P14="","",INDEX('Compliance Log'!$G$6:$G$1005,$P14))</f>
        <v>-55</v>
      </c>
      <c r="E14" s="54" t="str">
        <f>IF($P14="","",INDEX('Compliance Log'!$A$6:$A$1005,$P14))</f>
        <v>SAMPLE - Flat 3, 8 Demo Street, Sampleford</v>
      </c>
      <c r="F14" s="54"/>
      <c r="G14" s="54"/>
      <c r="H14" s="54" t="str">
        <f>IF($P14="","",INDEX('Compliance Log'!$B$6:$B$1005,$P14))</f>
        <v>Smoke &amp; CO alarms - check</v>
      </c>
      <c r="I14" s="54"/>
      <c r="J14" s="54"/>
      <c r="K14" s="54"/>
      <c r="L14" s="51" t="str">
        <f>IF($P14="","",INDEX('Compliance Log'!$H$6:$H$1005,$P14))</f>
        <v>Overdue</v>
      </c>
      <c r="M14" s="51"/>
      <c r="P14">
        <f>IFERROR(MATCH(SMALL('Compliance Log'!$M$6:$M$1005,ROW()-ROW($P$12)),'Compliance Log'!$M$6:$M$1005,0),"")</f>
        <v>13</v>
      </c>
    </row>
    <row r="15" spans="1:16" ht="18" customHeight="1">
      <c r="B15" s="51">
        <f>IF($P15="","",ROW()-ROW($B$12))</f>
        <v>3</v>
      </c>
      <c r="C15" s="52">
        <f>IF($P15="","",INDEX('Compliance Log'!$F$6:$F$1005,$P15))</f>
        <v>46272.0</v>
      </c>
      <c r="D15" s="53">
        <f>IF($P15="","",INDEX('Compliance Log'!$G$6:$G$1005,$P15))</f>
        <v>-25</v>
      </c>
      <c r="E15" s="54" t="str">
        <f>IF($P15="","",INDEX('Compliance Log'!$A$6:$A$1005,$P15))</f>
        <v>SAMPLE - 12 Acacia Road, Exampleton</v>
      </c>
      <c r="F15" s="54"/>
      <c r="G15" s="54"/>
      <c r="H15" s="54" t="str">
        <f>IF($P15="","",INDEX('Compliance Log'!$B$6:$B$1005,$P15))</f>
        <v>Gas Safety Certificate (CP12)</v>
      </c>
      <c r="I15" s="54"/>
      <c r="J15" s="54"/>
      <c r="K15" s="54"/>
      <c r="L15" s="51" t="str">
        <f>IF($P15="","",INDEX('Compliance Log'!$H$6:$H$1005,$P15))</f>
        <v>Overdue</v>
      </c>
      <c r="M15" s="51"/>
      <c r="P15">
        <f>IFERROR(MATCH(SMALL('Compliance Log'!$M$6:$M$1005,ROW()-ROW($P$12)),'Compliance Log'!$M$6:$M$1005,0),"")</f>
        <v>1</v>
      </c>
    </row>
    <row r="16" spans="1:16" ht="18" customHeight="1">
      <c r="B16" s="51">
        <f>IF($P16="","",ROW()-ROW($B$12))</f>
        <v>4</v>
      </c>
      <c r="C16" s="52">
        <f>IF($P16="","",INDEX('Compliance Log'!$F$6:$F$1005,$P16))</f>
        <v>46312.0</v>
      </c>
      <c r="D16" s="53">
        <f>IF($P16="","",INDEX('Compliance Log'!$G$6:$G$1005,$P16))</f>
        <v>15</v>
      </c>
      <c r="E16" s="54" t="str">
        <f>IF($P16="","",INDEX('Compliance Log'!$A$6:$A$1005,$P16))</f>
        <v>SAMPLE - 12 Acacia Road, Exampleton</v>
      </c>
      <c r="F16" s="54"/>
      <c r="G16" s="54"/>
      <c r="H16" s="54" t="str">
        <f>IF($P16="","",INDEX('Compliance Log'!$B$6:$B$1005,$P16))</f>
        <v>Emergency lighting - annual full-discharge test</v>
      </c>
      <c r="I16" s="54"/>
      <c r="J16" s="54"/>
      <c r="K16" s="54"/>
      <c r="L16" s="51" t="str">
        <f>IF($P16="","",INDEX('Compliance Log'!$H$6:$H$1005,$P16))</f>
        <v>Due &lt;=30</v>
      </c>
      <c r="M16" s="51"/>
      <c r="P16">
        <f>IFERROR(MATCH(SMALL('Compliance Log'!$M$6:$M$1005,ROW()-ROW($P$12)),'Compliance Log'!$M$6:$M$1005,0),"")</f>
        <v>5</v>
      </c>
    </row>
    <row r="17" spans="2:16" ht="18" customHeight="1">
      <c r="B17" s="51">
        <f>IF($P17="","",ROW()-ROW($B$12))</f>
        <v>5</v>
      </c>
      <c r="C17" s="52">
        <f>IF($P17="","",INDEX('Compliance Log'!$F$6:$F$1005,$P17))</f>
        <v>46317.0</v>
      </c>
      <c r="D17" s="53">
        <f>IF($P17="","",INDEX('Compliance Log'!$G$6:$G$1005,$P17))</f>
        <v>20</v>
      </c>
      <c r="E17" s="54" t="str">
        <f>IF($P17="","",INDEX('Compliance Log'!$A$6:$A$1005,$P17))</f>
        <v>SAMPLE - Flat 3, 8 Demo Street, Sampleford</v>
      </c>
      <c r="F17" s="54"/>
      <c r="G17" s="54"/>
      <c r="H17" s="54" t="str">
        <f>IF($P17="","",INDEX('Compliance Log'!$B$6:$B$1005,$P17))</f>
        <v>Fire extinguishers - service</v>
      </c>
      <c r="I17" s="54"/>
      <c r="J17" s="54"/>
      <c r="K17" s="54"/>
      <c r="L17" s="51" t="str">
        <f>IF($P17="","",INDEX('Compliance Log'!$H$6:$H$1005,$P17))</f>
        <v>Due &lt;=30</v>
      </c>
      <c r="M17" s="51"/>
      <c r="P17">
        <f>IFERROR(MATCH(SMALL('Compliance Log'!$M$6:$M$1005,ROW()-ROW($P$12)),'Compliance Log'!$M$6:$M$1005,0),"")</f>
        <v>14</v>
      </c>
    </row>
    <row r="18" spans="2:16" ht="18" customHeight="1">
      <c r="B18" s="51">
        <f>IF($P18="","",ROW()-ROW($B$12))</f>
        <v>6</v>
      </c>
      <c r="C18" s="52">
        <f>IF($P18="","",INDEX('Compliance Log'!$F$6:$F$1005,$P18))</f>
        <v>46333.0</v>
      </c>
      <c r="D18" s="53">
        <f>IF($P18="","",INDEX('Compliance Log'!$G$6:$G$1005,$P18))</f>
        <v>36</v>
      </c>
      <c r="E18" s="54" t="str">
        <f>IF($P18="","",INDEX('Compliance Log'!$A$6:$A$1005,$P18))</f>
        <v>SAMPLE - Flat 3, 8 Demo Street, Sampleford</v>
      </c>
      <c r="F18" s="54"/>
      <c r="G18" s="54"/>
      <c r="H18" s="54" t="str">
        <f>IF($P18="","",INDEX('Compliance Log'!$B$6:$B$1005,$P18))</f>
        <v>Electrical Installation Condition Report (EICR)</v>
      </c>
      <c r="I18" s="54"/>
      <c r="J18" s="54"/>
      <c r="K18" s="54"/>
      <c r="L18" s="51" t="str">
        <f>IF($P18="","",INDEX('Compliance Log'!$H$6:$H$1005,$P18))</f>
        <v>Due 31-60</v>
      </c>
      <c r="M18" s="51"/>
      <c r="P18">
        <f>IFERROR(MATCH(SMALL('Compliance Log'!$M$6:$M$1005,ROW()-ROW($P$12)),'Compliance Log'!$M$6:$M$1005,0),"")</f>
        <v>10</v>
      </c>
    </row>
    <row r="19" spans="2:16" ht="18" customHeight="1">
      <c r="B19" s="51">
        <f>IF($P19="","",ROW()-ROW($B$12))</f>
        <v>7</v>
      </c>
      <c r="C19" s="52">
        <f>IF($P19="","",INDEX('Compliance Log'!$F$6:$F$1005,$P19))</f>
        <v>46337.0</v>
      </c>
      <c r="D19" s="53">
        <f>IF($P19="","",INDEX('Compliance Log'!$G$6:$G$1005,$P19))</f>
        <v>40</v>
      </c>
      <c r="E19" s="54" t="str">
        <f>IF($P19="","",INDEX('Compliance Log'!$A$6:$A$1005,$P19))</f>
        <v>SAMPLE - Flat 3, 8 Demo Street, Sampleford</v>
      </c>
      <c r="F19" s="54"/>
      <c r="G19" s="54"/>
      <c r="H19" s="54" t="str">
        <f>IF($P19="","",INDEX('Compliance Log'!$B$6:$B$1005,$P19))</f>
        <v>HMO licence renewal</v>
      </c>
      <c r="I19" s="54"/>
      <c r="J19" s="54"/>
      <c r="K19" s="54"/>
      <c r="L19" s="51" t="str">
        <f>IF($P19="","",INDEX('Compliance Log'!$H$6:$H$1005,$P19))</f>
        <v>Due 31-60</v>
      </c>
      <c r="M19" s="51"/>
      <c r="P19">
        <f>IFERROR(MATCH(SMALL('Compliance Log'!$M$6:$M$1005,ROW()-ROW($P$12)),'Compliance Log'!$M$6:$M$1005,0),"")</f>
        <v>15</v>
      </c>
    </row>
    <row r="20" spans="2:16" ht="18" customHeight="1">
      <c r="B20" s="51">
        <f>IF($P20="","",ROW()-ROW($B$12))</f>
        <v>8</v>
      </c>
      <c r="C20" s="52">
        <f>IF($P20="","",INDEX('Compliance Log'!$F$6:$F$1005,$P20))</f>
        <v>46342.0</v>
      </c>
      <c r="D20" s="53">
        <f>IF($P20="","",INDEX('Compliance Log'!$G$6:$G$1005,$P20))</f>
        <v>45</v>
      </c>
      <c r="E20" s="54" t="str">
        <f>IF($P20="","",INDEX('Compliance Log'!$A$6:$A$1005,$P20))</f>
        <v>SAMPLE - 12 Acacia Road, Exampleton</v>
      </c>
      <c r="F20" s="54"/>
      <c r="G20" s="54"/>
      <c r="H20" s="54" t="str">
        <f>IF($P20="","",INDEX('Compliance Log'!$B$6:$B$1005,$P20))</f>
        <v>Fire Risk Assessment - review</v>
      </c>
      <c r="I20" s="54"/>
      <c r="J20" s="54"/>
      <c r="K20" s="54"/>
      <c r="L20" s="51" t="str">
        <f>IF($P20="","",INDEX('Compliance Log'!$H$6:$H$1005,$P20))</f>
        <v>Due 31-60</v>
      </c>
      <c r="M20" s="51"/>
      <c r="P20">
        <f>IFERROR(MATCH(SMALL('Compliance Log'!$M$6:$M$1005,ROW()-ROW($P$12)),'Compliance Log'!$M$6:$M$1005,0),"")</f>
        <v>3</v>
      </c>
    </row>
    <row r="21" spans="2:16" ht="18" customHeight="1">
      <c r="B21" s="51">
        <f>IF($P21="","",ROW()-ROW($B$12))</f>
        <v>9</v>
      </c>
      <c r="C21" s="52">
        <f>IF($P21="","",INDEX('Compliance Log'!$F$6:$F$1005,$P21))</f>
        <v>46421.0</v>
      </c>
      <c r="D21" s="53">
        <f>IF($P21="","",INDEX('Compliance Log'!$G$6:$G$1005,$P21))</f>
        <v>124</v>
      </c>
      <c r="E21" s="54" t="str">
        <f>IF($P21="","",INDEX('Compliance Log'!$A$6:$A$1005,$P21))</f>
        <v>SAMPLE - 12 Acacia Road, Exampleton</v>
      </c>
      <c r="F21" s="54"/>
      <c r="G21" s="54"/>
      <c r="H21" s="54" t="str">
        <f>IF($P21="","",INDEX('Compliance Log'!$B$6:$B$1005,$P21))</f>
        <v>Fire alarm system - service</v>
      </c>
      <c r="I21" s="54"/>
      <c r="J21" s="54"/>
      <c r="K21" s="54"/>
      <c r="L21" s="51" t="str">
        <f>IF($P21="","",INDEX('Compliance Log'!$H$6:$H$1005,$P21))</f>
        <v>OK</v>
      </c>
      <c r="M21" s="51"/>
      <c r="P21">
        <f>IFERROR(MATCH(SMALL('Compliance Log'!$M$6:$M$1005,ROW()-ROW($P$12)),'Compliance Log'!$M$6:$M$1005,0),"")</f>
        <v>4</v>
      </c>
    </row>
    <row r="22" spans="2:16" ht="18" customHeight="1">
      <c r="B22" s="51">
        <f>IF($P22="","",ROW()-ROW($B$12))</f>
        <v>10</v>
      </c>
      <c r="C22" s="52">
        <f>IF($P22="","",INDEX('Compliance Log'!$F$6:$F$1005,$P22))</f>
        <v>46423.0</v>
      </c>
      <c r="D22" s="53">
        <f>IF($P22="","",INDEX('Compliance Log'!$G$6:$G$1005,$P22))</f>
        <v>126</v>
      </c>
      <c r="E22" s="54" t="str">
        <f>IF($P22="","",INDEX('Compliance Log'!$A$6:$A$1005,$P22))</f>
        <v>SAMPLE - 12 Acacia Road, Exampleton</v>
      </c>
      <c r="F22" s="54"/>
      <c r="G22" s="54"/>
      <c r="H22" s="54" t="str">
        <f>IF($P22="","",INDEX('Compliance Log'!$B$6:$B$1005,$P22))</f>
        <v>HMO licence renewal</v>
      </c>
      <c r="I22" s="54"/>
      <c r="J22" s="54"/>
      <c r="K22" s="54"/>
      <c r="L22" s="51" t="str">
        <f>IF($P22="","",INDEX('Compliance Log'!$H$6:$H$1005,$P22))</f>
        <v>OK</v>
      </c>
      <c r="M22" s="51"/>
      <c r="P22">
        <f>IFERROR(MATCH(SMALL('Compliance Log'!$M$6:$M$1005,ROW()-ROW($P$12)),'Compliance Log'!$M$6:$M$1005,0),"")</f>
        <v>8</v>
      </c>
    </row>
    <row r="23" spans="2:16" ht="18" customHeight="1">
      <c r="B23" s="51">
        <f>IF($P23="","",ROW()-ROW($B$12))</f>
        <v>11</v>
      </c>
      <c r="C23" s="52">
        <f>IF($P23="","",INDEX('Compliance Log'!$F$6:$F$1005,$P23))</f>
        <v>46542.0</v>
      </c>
      <c r="D23" s="53">
        <f>IF($P23="","",INDEX('Compliance Log'!$G$6:$G$1005,$P23))</f>
        <v>245</v>
      </c>
      <c r="E23" s="54" t="str">
        <f>IF($P23="","",INDEX('Compliance Log'!$A$6:$A$1005,$P23))</f>
        <v>SAMPLE - Flat 3, 8 Demo Street, Sampleford</v>
      </c>
      <c r="F23" s="54"/>
      <c r="G23" s="54"/>
      <c r="H23" s="54" t="str">
        <f>IF($P23="","",INDEX('Compliance Log'!$B$6:$B$1005,$P23))</f>
        <v>Gas Safety Certificate (CP12)</v>
      </c>
      <c r="I23" s="54"/>
      <c r="J23" s="54"/>
      <c r="K23" s="54"/>
      <c r="L23" s="51" t="str">
        <f>IF($P23="","",INDEX('Compliance Log'!$H$6:$H$1005,$P23))</f>
        <v>OK</v>
      </c>
      <c r="M23" s="51"/>
      <c r="P23">
        <f>IFERROR(MATCH(SMALL('Compliance Log'!$M$6:$M$1005,ROW()-ROW($P$12)),'Compliance Log'!$M$6:$M$1005,0),"")</f>
        <v>9</v>
      </c>
    </row>
    <row r="24" spans="2:16" ht="18" customHeight="1">
      <c r="B24" s="51">
        <f>IF($P24="","",ROW()-ROW($B$12))</f>
        <v>12</v>
      </c>
      <c r="C24" s="52">
        <f>IF($P24="","",INDEX('Compliance Log'!$F$6:$F$1005,$P24))</f>
        <v>46572.0</v>
      </c>
      <c r="D24" s="53">
        <f>IF($P24="","",INDEX('Compliance Log'!$G$6:$G$1005,$P24))</f>
        <v>275</v>
      </c>
      <c r="E24" s="54" t="str">
        <f>IF($P24="","",INDEX('Compliance Log'!$A$6:$A$1005,$P24))</f>
        <v>SAMPLE - 12 Acacia Road, Exampleton</v>
      </c>
      <c r="F24" s="54"/>
      <c r="G24" s="54"/>
      <c r="H24" s="54" t="str">
        <f>IF($P24="","",INDEX('Compliance Log'!$B$6:$B$1005,$P24))</f>
        <v>Fire extinguishers - service</v>
      </c>
      <c r="I24" s="54"/>
      <c r="J24" s="54"/>
      <c r="K24" s="54"/>
      <c r="L24" s="51" t="str">
        <f>IF($P24="","",INDEX('Compliance Log'!$H$6:$H$1005,$P24))</f>
        <v>OK</v>
      </c>
      <c r="M24" s="51"/>
      <c r="P24">
        <f>IFERROR(MATCH(SMALL('Compliance Log'!$M$6:$M$1005,ROW()-ROW($P$12)),'Compliance Log'!$M$6:$M$1005,0),"")</f>
        <v>6</v>
      </c>
    </row>
    <row r="25" spans="2:16" ht="18" customHeight="1">
      <c r="B25" s="51">
        <f>IF($P25="","",ROW()-ROW($B$12))</f>
        <v>13</v>
      </c>
      <c r="C25" s="52">
        <f>IF($P25="","",INDEX('Compliance Log'!$F$6:$F$1005,$P25))</f>
        <v>46623.0</v>
      </c>
      <c r="D25" s="53">
        <f>IF($P25="","",INDEX('Compliance Log'!$G$6:$G$1005,$P25))</f>
        <v>326</v>
      </c>
      <c r="E25" s="54" t="str">
        <f>IF($P25="","",INDEX('Compliance Log'!$A$6:$A$1005,$P25))</f>
        <v>SAMPLE - 12 Acacia Road, Exampleton</v>
      </c>
      <c r="F25" s="54"/>
      <c r="G25" s="54"/>
      <c r="H25" s="54" t="str">
        <f>IF($P25="","",INDEX('Compliance Log'!$B$6:$B$1005,$P25))</f>
        <v>Electrical Installation Condition Report (EICR)</v>
      </c>
      <c r="I25" s="54"/>
      <c r="J25" s="54"/>
      <c r="K25" s="54"/>
      <c r="L25" s="51" t="str">
        <f>IF($P25="","",INDEX('Compliance Log'!$H$6:$H$1005,$P25))</f>
        <v>OK</v>
      </c>
      <c r="M25" s="51"/>
      <c r="P25">
        <f>IFERROR(MATCH(SMALL('Compliance Log'!$M$6:$M$1005,ROW()-ROW($P$12)),'Compliance Log'!$M$6:$M$1005,0),"")</f>
        <v>2</v>
      </c>
    </row>
    <row r="26" spans="2:16" ht="18" customHeight="1">
      <c r="B26" s="51">
        <f>IF($P26="","",ROW()-ROW($B$12))</f>
        <v>14</v>
      </c>
      <c r="C26" s="52">
        <f>IF($P26="","",INDEX('Compliance Log'!$F$6:$F$1005,$P26))</f>
        <v>47949.0</v>
      </c>
      <c r="D26" s="53">
        <f>IF($P26="","",INDEX('Compliance Log'!$G$6:$G$1005,$P26))</f>
        <v>1652</v>
      </c>
      <c r="E26" s="54" t="str">
        <f>IF($P26="","",INDEX('Compliance Log'!$A$6:$A$1005,$P26))</f>
        <v>SAMPLE - Flat 3, 8 Demo Street, Sampleford</v>
      </c>
      <c r="F26" s="54"/>
      <c r="G26" s="54"/>
      <c r="H26" s="54" t="str">
        <f>IF($P26="","",INDEX('Compliance Log'!$B$6:$B$1005,$P26))</f>
        <v>Energy Performance Certificate (EPC)</v>
      </c>
      <c r="I26" s="54"/>
      <c r="J26" s="54"/>
      <c r="K26" s="54"/>
      <c r="L26" s="51" t="str">
        <f>IF($P26="","",INDEX('Compliance Log'!$H$6:$H$1005,$P26))</f>
        <v>OK</v>
      </c>
      <c r="M26" s="51"/>
      <c r="P26">
        <f>IFERROR(MATCH(SMALL('Compliance Log'!$M$6:$M$1005,ROW()-ROW($P$12)),'Compliance Log'!$M$6:$M$1005,0),"")</f>
        <v>12</v>
      </c>
    </row>
    <row r="27" spans="2:16" ht="18" customHeight="1">
      <c r="B27" s="51">
        <f>IF($P27="","",ROW()-ROW($B$12))</f>
        <v/>
      </c>
      <c r="C27" s="52">
        <f>IF($P27="","",INDEX('Compliance Log'!$F$6:$F$1005,$P27))</f>
        <v/>
      </c>
      <c r="D27" s="53">
        <f>IF($P27="","",INDEX('Compliance Log'!$G$6:$G$1005,$P27))</f>
        <v/>
      </c>
      <c r="E27" s="54">
        <f>IF($P27="","",INDEX('Compliance Log'!$A$6:$A$1005,$P27))</f>
        <v/>
      </c>
      <c r="F27" s="54"/>
      <c r="G27" s="54"/>
      <c r="H27" s="54">
        <f>IF($P27="","",INDEX('Compliance Log'!$B$6:$B$1005,$P27))</f>
        <v/>
      </c>
      <c r="I27" s="54"/>
      <c r="J27" s="54"/>
      <c r="K27" s="54"/>
      <c r="L27" s="51">
        <f>IF($P27="","",INDEX('Compliance Log'!$H$6:$H$1005,$P27))</f>
        <v/>
      </c>
      <c r="M27" s="51"/>
      <c r="P27">
        <f>IFERROR(MATCH(SMALL('Compliance Log'!$M$6:$M$1005,ROW()-ROW($P$12)),'Compliance Log'!$M$6:$M$1005,0),"")</f>
        <v/>
      </c>
    </row>
    <row r="29" spans="2:16" ht="22" customHeight="1">
      <c r="B29" s="4" t="s">
        <v>85</v>
      </c>
      <c r="C29" s="4"/>
      <c r="D29" s="4"/>
      <c r="E29" s="4"/>
      <c r="F29" s="4"/>
      <c r="G29" s="4"/>
      <c r="H29" s="4"/>
      <c r="I29" s="4"/>
      <c r="J29" s="4"/>
      <c r="K29" s="4"/>
      <c r="L29" s="4"/>
      <c r="M29" s="4"/>
    </row>
    <row r="30" spans="2:16" ht="30" customHeight="1">
      <c r="B30" s="50" t="s">
        <v>82</v>
      </c>
      <c r="C30" s="50"/>
      <c r="D30" s="50"/>
      <c r="E30" s="50"/>
      <c r="F30" s="50"/>
      <c r="G30" s="50" t="s">
        <v>86</v>
      </c>
      <c r="H30" s="50" t="s">
        <v>87</v>
      </c>
      <c r="I30" s="50" t="s">
        <v>71</v>
      </c>
      <c r="J30" s="50" t="s">
        <v>88</v>
      </c>
      <c r="K30" s="50" t="s">
        <v>89</v>
      </c>
      <c r="L30" s="50"/>
      <c r="M30" s="50" t="s">
        <v>90</v>
      </c>
    </row>
    <row r="31" spans="2:16" ht="17" customHeight="1">
      <c r="B31" s="54" t="str">
        <f>IF(INDEX(Properties!$A$6:$A$105,ROW()-ROW($B$30))="","",INDEX(Properties!$A$6:$A$105,ROW()-ROW($B$30)))</f>
        <v>SAMPLE - 12 Acacia Road, Exampleton</v>
      </c>
      <c r="C31" s="54"/>
      <c r="D31" s="54"/>
      <c r="E31" s="54"/>
      <c r="F31" s="54"/>
      <c r="G31" s="53">
        <f>IF($B31="","",SUMPRODUCT(('Compliance Log'!$A$6:$A$1005=$B31)*('Compliance Log'!$H$6:$H$1005="Overdue")))</f>
        <v>2</v>
      </c>
      <c r="H31" s="53">
        <f>IF($B31="","",SUMPRODUCT(('Compliance Log'!$A$6:$A$1005=$B31)*(('Compliance Log'!$H$6:$H$1005="Due &lt;=30")+('Compliance Log'!$H$6:$H$1005="Due 31-60"))))</f>
        <v>2</v>
      </c>
      <c r="I31" s="53">
        <f>IF($B31="","",SUMPRODUCT(('Compliance Log'!$A$6:$A$1005=$B31)*('Compliance Log'!$H$6:$H$1005="OK")))</f>
        <v>4</v>
      </c>
      <c r="J31" s="53">
        <f>IF($B31="","",SUMPRODUCT(('Compliance Log'!$A$6:$A$1005=$B31)*('Compliance Log'!$H$6:$H$1005="No date")))</f>
        <v>0</v>
      </c>
      <c r="K31" s="51" t="str">
        <f>IF($B31="","",IF($G31&gt;0,"Overdue",IF(SUMPRODUCT(('Compliance Log'!$A$6:$A$1005=$B31)*('Compliance Log'!$H$6:$H$1005="Due &lt;=30"))&gt;0,"Due &lt;=30",IF($H31&gt;0,"Due 31-60",IF($J31&gt;0,"No date",IF($I31&gt;0,"OK","No checks"))))))</f>
        <v>Overdue</v>
      </c>
      <c r="L31" s="51"/>
      <c r="M31" s="53">
        <f>IF($B31="","",$G31+$H31+$I31+$J31)</f>
        <v>8</v>
      </c>
    </row>
    <row r="32" spans="2:16" ht="17" customHeight="1">
      <c r="B32" s="54" t="str">
        <f>IF(INDEX(Properties!$A$6:$A$105,ROW()-ROW($B$30))="","",INDEX(Properties!$A$6:$A$105,ROW()-ROW($B$30)))</f>
        <v>SAMPLE - Flat 3, 8 Demo Street, Sampleford</v>
      </c>
      <c r="C32" s="54"/>
      <c r="D32" s="54"/>
      <c r="E32" s="54"/>
      <c r="F32" s="54"/>
      <c r="G32" s="53">
        <f>IF($B32="","",SUMPRODUCT(('Compliance Log'!$A$6:$A$1005=$B32)*('Compliance Log'!$H$6:$H$1005="Overdue")))</f>
        <v>1</v>
      </c>
      <c r="H32" s="53">
        <f>IF($B32="","",SUMPRODUCT(('Compliance Log'!$A$6:$A$1005=$B32)*(('Compliance Log'!$H$6:$H$1005="Due &lt;=30")+('Compliance Log'!$H$6:$H$1005="Due 31-60"))))</f>
        <v>3</v>
      </c>
      <c r="I32" s="53">
        <f>IF($B32="","",SUMPRODUCT(('Compliance Log'!$A$6:$A$1005=$B32)*('Compliance Log'!$H$6:$H$1005="OK")))</f>
        <v>2</v>
      </c>
      <c r="J32" s="53">
        <f>IF($B32="","",SUMPRODUCT(('Compliance Log'!$A$6:$A$1005=$B32)*('Compliance Log'!$H$6:$H$1005="No date")))</f>
        <v>1</v>
      </c>
      <c r="K32" s="51" t="str">
        <f>IF($B32="","",IF($G32&gt;0,"Overdue",IF(SUMPRODUCT(('Compliance Log'!$A$6:$A$1005=$B32)*('Compliance Log'!$H$6:$H$1005="Due &lt;=30"))&gt;0,"Due &lt;=30",IF($H32&gt;0,"Due 31-60",IF($J32&gt;0,"No date",IF($I32&gt;0,"OK","No checks"))))))</f>
        <v>Overdue</v>
      </c>
      <c r="L32" s="51"/>
      <c r="M32" s="53">
        <f>IF($B32="","",$G32+$H32+$I32+$J32)</f>
        <v>7</v>
      </c>
    </row>
    <row r="33" spans="2:13" ht="17" customHeight="1">
      <c r="B33" s="54">
        <f>IF(INDEX(Properties!$A$6:$A$105,ROW()-ROW($B$30))="","",INDEX(Properties!$A$6:$A$105,ROW()-ROW($B$30)))</f>
        <v/>
      </c>
      <c r="C33" s="54"/>
      <c r="D33" s="54"/>
      <c r="E33" s="54"/>
      <c r="F33" s="54"/>
      <c r="G33" s="53">
        <f>IF($B33="","",SUMPRODUCT(('Compliance Log'!$A$6:$A$1005=$B33)*('Compliance Log'!$H$6:$H$1005="Overdue")))</f>
        <v/>
      </c>
      <c r="H33" s="53">
        <f>IF($B33="","",SUMPRODUCT(('Compliance Log'!$A$6:$A$1005=$B33)*(('Compliance Log'!$H$6:$H$1005="Due &lt;=30")+('Compliance Log'!$H$6:$H$1005="Due 31-60"))))</f>
        <v/>
      </c>
      <c r="I33" s="53">
        <f>IF($B33="","",SUMPRODUCT(('Compliance Log'!$A$6:$A$1005=$B33)*('Compliance Log'!$H$6:$H$1005="OK")))</f>
        <v/>
      </c>
      <c r="J33" s="53">
        <f>IF($B33="","",SUMPRODUCT(('Compliance Log'!$A$6:$A$1005=$B33)*('Compliance Log'!$H$6:$H$1005="No date")))</f>
        <v/>
      </c>
      <c r="K33" s="51">
        <f>IF($B33="","",IF($G33&gt;0,"Overdue",IF(SUMPRODUCT(('Compliance Log'!$A$6:$A$1005=$B33)*('Compliance Log'!$H$6:$H$1005="Due &lt;=30"))&gt;0,"Due &lt;=30",IF($H33&gt;0,"Due 31-60",IF($J33&gt;0,"No date",IF($I33&gt;0,"OK","No checks"))))))</f>
        <v/>
      </c>
      <c r="L33" s="51"/>
      <c r="M33" s="53">
        <f>IF($B33="","",$G33+$H33+$I33+$J33)</f>
        <v/>
      </c>
    </row>
    <row r="34" spans="2:13" ht="17" customHeight="1">
      <c r="B34" s="54">
        <f>IF(INDEX(Properties!$A$6:$A$105,ROW()-ROW($B$30))="","",INDEX(Properties!$A$6:$A$105,ROW()-ROW($B$30)))</f>
        <v/>
      </c>
      <c r="C34" s="54"/>
      <c r="D34" s="54"/>
      <c r="E34" s="54"/>
      <c r="F34" s="54"/>
      <c r="G34" s="53">
        <f>IF($B34="","",SUMPRODUCT(('Compliance Log'!$A$6:$A$1005=$B34)*('Compliance Log'!$H$6:$H$1005="Overdue")))</f>
        <v/>
      </c>
      <c r="H34" s="53">
        <f>IF($B34="","",SUMPRODUCT(('Compliance Log'!$A$6:$A$1005=$B34)*(('Compliance Log'!$H$6:$H$1005="Due &lt;=30")+('Compliance Log'!$H$6:$H$1005="Due 31-60"))))</f>
        <v/>
      </c>
      <c r="I34" s="53">
        <f>IF($B34="","",SUMPRODUCT(('Compliance Log'!$A$6:$A$1005=$B34)*('Compliance Log'!$H$6:$H$1005="OK")))</f>
        <v/>
      </c>
      <c r="J34" s="53">
        <f>IF($B34="","",SUMPRODUCT(('Compliance Log'!$A$6:$A$1005=$B34)*('Compliance Log'!$H$6:$H$1005="No date")))</f>
        <v/>
      </c>
      <c r="K34" s="51">
        <f>IF($B34="","",IF($G34&gt;0,"Overdue",IF(SUMPRODUCT(('Compliance Log'!$A$6:$A$1005=$B34)*('Compliance Log'!$H$6:$H$1005="Due &lt;=30"))&gt;0,"Due &lt;=30",IF($H34&gt;0,"Due 31-60",IF($J34&gt;0,"No date",IF($I34&gt;0,"OK","No checks"))))))</f>
        <v/>
      </c>
      <c r="L34" s="51"/>
      <c r="M34" s="53">
        <f>IF($B34="","",$G34+$H34+$I34+$J34)</f>
        <v/>
      </c>
    </row>
    <row r="35" spans="2:13" ht="17" customHeight="1">
      <c r="B35" s="54">
        <f>IF(INDEX(Properties!$A$6:$A$105,ROW()-ROW($B$30))="","",INDEX(Properties!$A$6:$A$105,ROW()-ROW($B$30)))</f>
        <v/>
      </c>
      <c r="C35" s="54"/>
      <c r="D35" s="54"/>
      <c r="E35" s="54"/>
      <c r="F35" s="54"/>
      <c r="G35" s="53">
        <f>IF($B35="","",SUMPRODUCT(('Compliance Log'!$A$6:$A$1005=$B35)*('Compliance Log'!$H$6:$H$1005="Overdue")))</f>
        <v/>
      </c>
      <c r="H35" s="53">
        <f>IF($B35="","",SUMPRODUCT(('Compliance Log'!$A$6:$A$1005=$B35)*(('Compliance Log'!$H$6:$H$1005="Due &lt;=30")+('Compliance Log'!$H$6:$H$1005="Due 31-60"))))</f>
        <v/>
      </c>
      <c r="I35" s="53">
        <f>IF($B35="","",SUMPRODUCT(('Compliance Log'!$A$6:$A$1005=$B35)*('Compliance Log'!$H$6:$H$1005="OK")))</f>
        <v/>
      </c>
      <c r="J35" s="53">
        <f>IF($B35="","",SUMPRODUCT(('Compliance Log'!$A$6:$A$1005=$B35)*('Compliance Log'!$H$6:$H$1005="No date")))</f>
        <v/>
      </c>
      <c r="K35" s="51">
        <f>IF($B35="","",IF($G35&gt;0,"Overdue",IF(SUMPRODUCT(('Compliance Log'!$A$6:$A$1005=$B35)*('Compliance Log'!$H$6:$H$1005="Due &lt;=30"))&gt;0,"Due &lt;=30",IF($H35&gt;0,"Due 31-60",IF($J35&gt;0,"No date",IF($I35&gt;0,"OK","No checks"))))))</f>
        <v/>
      </c>
      <c r="L35" s="51"/>
      <c r="M35" s="53">
        <f>IF($B35="","",$G35+$H35+$I35+$J35)</f>
        <v/>
      </c>
    </row>
    <row r="36" spans="2:13" ht="17" customHeight="1">
      <c r="B36" s="54">
        <f>IF(INDEX(Properties!$A$6:$A$105,ROW()-ROW($B$30))="","",INDEX(Properties!$A$6:$A$105,ROW()-ROW($B$30)))</f>
        <v/>
      </c>
      <c r="C36" s="54"/>
      <c r="D36" s="54"/>
      <c r="E36" s="54"/>
      <c r="F36" s="54"/>
      <c r="G36" s="53">
        <f>IF($B36="","",SUMPRODUCT(('Compliance Log'!$A$6:$A$1005=$B36)*('Compliance Log'!$H$6:$H$1005="Overdue")))</f>
        <v/>
      </c>
      <c r="H36" s="53">
        <f>IF($B36="","",SUMPRODUCT(('Compliance Log'!$A$6:$A$1005=$B36)*(('Compliance Log'!$H$6:$H$1005="Due &lt;=30")+('Compliance Log'!$H$6:$H$1005="Due 31-60"))))</f>
        <v/>
      </c>
      <c r="I36" s="53">
        <f>IF($B36="","",SUMPRODUCT(('Compliance Log'!$A$6:$A$1005=$B36)*('Compliance Log'!$H$6:$H$1005="OK")))</f>
        <v/>
      </c>
      <c r="J36" s="53">
        <f>IF($B36="","",SUMPRODUCT(('Compliance Log'!$A$6:$A$1005=$B36)*('Compliance Log'!$H$6:$H$1005="No date")))</f>
        <v/>
      </c>
      <c r="K36" s="51">
        <f>IF($B36="","",IF($G36&gt;0,"Overdue",IF(SUMPRODUCT(('Compliance Log'!$A$6:$A$1005=$B36)*('Compliance Log'!$H$6:$H$1005="Due &lt;=30"))&gt;0,"Due &lt;=30",IF($H36&gt;0,"Due 31-60",IF($J36&gt;0,"No date",IF($I36&gt;0,"OK","No checks"))))))</f>
        <v/>
      </c>
      <c r="L36" s="51"/>
      <c r="M36" s="53">
        <f>IF($B36="","",$G36+$H36+$I36+$J36)</f>
        <v/>
      </c>
    </row>
    <row r="37" spans="2:13" ht="17" customHeight="1">
      <c r="B37" s="54">
        <f>IF(INDEX(Properties!$A$6:$A$105,ROW()-ROW($B$30))="","",INDEX(Properties!$A$6:$A$105,ROW()-ROW($B$30)))</f>
        <v/>
      </c>
      <c r="C37" s="54"/>
      <c r="D37" s="54"/>
      <c r="E37" s="54"/>
      <c r="F37" s="54"/>
      <c r="G37" s="53">
        <f>IF($B37="","",SUMPRODUCT(('Compliance Log'!$A$6:$A$1005=$B37)*('Compliance Log'!$H$6:$H$1005="Overdue")))</f>
        <v/>
      </c>
      <c r="H37" s="53">
        <f>IF($B37="","",SUMPRODUCT(('Compliance Log'!$A$6:$A$1005=$B37)*(('Compliance Log'!$H$6:$H$1005="Due &lt;=30")+('Compliance Log'!$H$6:$H$1005="Due 31-60"))))</f>
        <v/>
      </c>
      <c r="I37" s="53">
        <f>IF($B37="","",SUMPRODUCT(('Compliance Log'!$A$6:$A$1005=$B37)*('Compliance Log'!$H$6:$H$1005="OK")))</f>
        <v/>
      </c>
      <c r="J37" s="53">
        <f>IF($B37="","",SUMPRODUCT(('Compliance Log'!$A$6:$A$1005=$B37)*('Compliance Log'!$H$6:$H$1005="No date")))</f>
        <v/>
      </c>
      <c r="K37" s="51">
        <f>IF($B37="","",IF($G37&gt;0,"Overdue",IF(SUMPRODUCT(('Compliance Log'!$A$6:$A$1005=$B37)*('Compliance Log'!$H$6:$H$1005="Due &lt;=30"))&gt;0,"Due &lt;=30",IF($H37&gt;0,"Due 31-60",IF($J37&gt;0,"No date",IF($I37&gt;0,"OK","No checks"))))))</f>
        <v/>
      </c>
      <c r="L37" s="51"/>
      <c r="M37" s="53">
        <f>IF($B37="","",$G37+$H37+$I37+$J37)</f>
        <v/>
      </c>
    </row>
    <row r="38" spans="2:13" ht="17" customHeight="1">
      <c r="B38" s="54">
        <f>IF(INDEX(Properties!$A$6:$A$105,ROW()-ROW($B$30))="","",INDEX(Properties!$A$6:$A$105,ROW()-ROW($B$30)))</f>
        <v/>
      </c>
      <c r="C38" s="54"/>
      <c r="D38" s="54"/>
      <c r="E38" s="54"/>
      <c r="F38" s="54"/>
      <c r="G38" s="53">
        <f>IF($B38="","",SUMPRODUCT(('Compliance Log'!$A$6:$A$1005=$B38)*('Compliance Log'!$H$6:$H$1005="Overdue")))</f>
        <v/>
      </c>
      <c r="H38" s="53">
        <f>IF($B38="","",SUMPRODUCT(('Compliance Log'!$A$6:$A$1005=$B38)*(('Compliance Log'!$H$6:$H$1005="Due &lt;=30")+('Compliance Log'!$H$6:$H$1005="Due 31-60"))))</f>
        <v/>
      </c>
      <c r="I38" s="53">
        <f>IF($B38="","",SUMPRODUCT(('Compliance Log'!$A$6:$A$1005=$B38)*('Compliance Log'!$H$6:$H$1005="OK")))</f>
        <v/>
      </c>
      <c r="J38" s="53">
        <f>IF($B38="","",SUMPRODUCT(('Compliance Log'!$A$6:$A$1005=$B38)*('Compliance Log'!$H$6:$H$1005="No date")))</f>
        <v/>
      </c>
      <c r="K38" s="51">
        <f>IF($B38="","",IF($G38&gt;0,"Overdue",IF(SUMPRODUCT(('Compliance Log'!$A$6:$A$1005=$B38)*('Compliance Log'!$H$6:$H$1005="Due &lt;=30"))&gt;0,"Due &lt;=30",IF($H38&gt;0,"Due 31-60",IF($J38&gt;0,"No date",IF($I38&gt;0,"OK","No checks"))))))</f>
        <v/>
      </c>
      <c r="L38" s="51"/>
      <c r="M38" s="53">
        <f>IF($B38="","",$G38+$H38+$I38+$J38)</f>
        <v/>
      </c>
    </row>
    <row r="39" spans="2:13" ht="17" customHeight="1">
      <c r="B39" s="54">
        <f>IF(INDEX(Properties!$A$6:$A$105,ROW()-ROW($B$30))="","",INDEX(Properties!$A$6:$A$105,ROW()-ROW($B$30)))</f>
        <v/>
      </c>
      <c r="C39" s="54"/>
      <c r="D39" s="54"/>
      <c r="E39" s="54"/>
      <c r="F39" s="54"/>
      <c r="G39" s="53">
        <f>IF($B39="","",SUMPRODUCT(('Compliance Log'!$A$6:$A$1005=$B39)*('Compliance Log'!$H$6:$H$1005="Overdue")))</f>
        <v/>
      </c>
      <c r="H39" s="53">
        <f>IF($B39="","",SUMPRODUCT(('Compliance Log'!$A$6:$A$1005=$B39)*(('Compliance Log'!$H$6:$H$1005="Due &lt;=30")+('Compliance Log'!$H$6:$H$1005="Due 31-60"))))</f>
        <v/>
      </c>
      <c r="I39" s="53">
        <f>IF($B39="","",SUMPRODUCT(('Compliance Log'!$A$6:$A$1005=$B39)*('Compliance Log'!$H$6:$H$1005="OK")))</f>
        <v/>
      </c>
      <c r="J39" s="53">
        <f>IF($B39="","",SUMPRODUCT(('Compliance Log'!$A$6:$A$1005=$B39)*('Compliance Log'!$H$6:$H$1005="No date")))</f>
        <v/>
      </c>
      <c r="K39" s="51">
        <f>IF($B39="","",IF($G39&gt;0,"Overdue",IF(SUMPRODUCT(('Compliance Log'!$A$6:$A$1005=$B39)*('Compliance Log'!$H$6:$H$1005="Due &lt;=30"))&gt;0,"Due &lt;=30",IF($H39&gt;0,"Due 31-60",IF($J39&gt;0,"No date",IF($I39&gt;0,"OK","No checks"))))))</f>
        <v/>
      </c>
      <c r="L39" s="51"/>
      <c r="M39" s="53">
        <f>IF($B39="","",$G39+$H39+$I39+$J39)</f>
        <v/>
      </c>
    </row>
    <row r="40" spans="2:13" ht="17" customHeight="1">
      <c r="B40" s="54">
        <f>IF(INDEX(Properties!$A$6:$A$105,ROW()-ROW($B$30))="","",INDEX(Properties!$A$6:$A$105,ROW()-ROW($B$30)))</f>
        <v/>
      </c>
      <c r="C40" s="54"/>
      <c r="D40" s="54"/>
      <c r="E40" s="54"/>
      <c r="F40" s="54"/>
      <c r="G40" s="53">
        <f>IF($B40="","",SUMPRODUCT(('Compliance Log'!$A$6:$A$1005=$B40)*('Compliance Log'!$H$6:$H$1005="Overdue")))</f>
        <v/>
      </c>
      <c r="H40" s="53">
        <f>IF($B40="","",SUMPRODUCT(('Compliance Log'!$A$6:$A$1005=$B40)*(('Compliance Log'!$H$6:$H$1005="Due &lt;=30")+('Compliance Log'!$H$6:$H$1005="Due 31-60"))))</f>
        <v/>
      </c>
      <c r="I40" s="53">
        <f>IF($B40="","",SUMPRODUCT(('Compliance Log'!$A$6:$A$1005=$B40)*('Compliance Log'!$H$6:$H$1005="OK")))</f>
        <v/>
      </c>
      <c r="J40" s="53">
        <f>IF($B40="","",SUMPRODUCT(('Compliance Log'!$A$6:$A$1005=$B40)*('Compliance Log'!$H$6:$H$1005="No date")))</f>
        <v/>
      </c>
      <c r="K40" s="51">
        <f>IF($B40="","",IF($G40&gt;0,"Overdue",IF(SUMPRODUCT(('Compliance Log'!$A$6:$A$1005=$B40)*('Compliance Log'!$H$6:$H$1005="Due &lt;=30"))&gt;0,"Due &lt;=30",IF($H40&gt;0,"Due 31-60",IF($J40&gt;0,"No date",IF($I40&gt;0,"OK","No checks"))))))</f>
        <v/>
      </c>
      <c r="L40" s="51"/>
      <c r="M40" s="53">
        <f>IF($B40="","",$G40+$H40+$I40+$J40)</f>
        <v/>
      </c>
    </row>
    <row r="41" spans="2:13" ht="17" customHeight="1">
      <c r="B41" s="54">
        <f>IF(INDEX(Properties!$A$6:$A$105,ROW()-ROW($B$30))="","",INDEX(Properties!$A$6:$A$105,ROW()-ROW($B$30)))</f>
        <v/>
      </c>
      <c r="C41" s="54"/>
      <c r="D41" s="54"/>
      <c r="E41" s="54"/>
      <c r="F41" s="54"/>
      <c r="G41" s="53">
        <f>IF($B41="","",SUMPRODUCT(('Compliance Log'!$A$6:$A$1005=$B41)*('Compliance Log'!$H$6:$H$1005="Overdue")))</f>
        <v/>
      </c>
      <c r="H41" s="53">
        <f>IF($B41="","",SUMPRODUCT(('Compliance Log'!$A$6:$A$1005=$B41)*(('Compliance Log'!$H$6:$H$1005="Due &lt;=30")+('Compliance Log'!$H$6:$H$1005="Due 31-60"))))</f>
        <v/>
      </c>
      <c r="I41" s="53">
        <f>IF($B41="","",SUMPRODUCT(('Compliance Log'!$A$6:$A$1005=$B41)*('Compliance Log'!$H$6:$H$1005="OK")))</f>
        <v/>
      </c>
      <c r="J41" s="53">
        <f>IF($B41="","",SUMPRODUCT(('Compliance Log'!$A$6:$A$1005=$B41)*('Compliance Log'!$H$6:$H$1005="No date")))</f>
        <v/>
      </c>
      <c r="K41" s="51">
        <f>IF($B41="","",IF($G41&gt;0,"Overdue",IF(SUMPRODUCT(('Compliance Log'!$A$6:$A$1005=$B41)*('Compliance Log'!$H$6:$H$1005="Due &lt;=30"))&gt;0,"Due &lt;=30",IF($H41&gt;0,"Due 31-60",IF($J41&gt;0,"No date",IF($I41&gt;0,"OK","No checks"))))))</f>
        <v/>
      </c>
      <c r="L41" s="51"/>
      <c r="M41" s="53">
        <f>IF($B41="","",$G41+$H41+$I41+$J41)</f>
        <v/>
      </c>
    </row>
    <row r="42" spans="2:13" ht="17" customHeight="1">
      <c r="B42" s="54">
        <f>IF(INDEX(Properties!$A$6:$A$105,ROW()-ROW($B$30))="","",INDEX(Properties!$A$6:$A$105,ROW()-ROW($B$30)))</f>
        <v/>
      </c>
      <c r="C42" s="54"/>
      <c r="D42" s="54"/>
      <c r="E42" s="54"/>
      <c r="F42" s="54"/>
      <c r="G42" s="53">
        <f>IF($B42="","",SUMPRODUCT(('Compliance Log'!$A$6:$A$1005=$B42)*('Compliance Log'!$H$6:$H$1005="Overdue")))</f>
        <v/>
      </c>
      <c r="H42" s="53">
        <f>IF($B42="","",SUMPRODUCT(('Compliance Log'!$A$6:$A$1005=$B42)*(('Compliance Log'!$H$6:$H$1005="Due &lt;=30")+('Compliance Log'!$H$6:$H$1005="Due 31-60"))))</f>
        <v/>
      </c>
      <c r="I42" s="53">
        <f>IF($B42="","",SUMPRODUCT(('Compliance Log'!$A$6:$A$1005=$B42)*('Compliance Log'!$H$6:$H$1005="OK")))</f>
        <v/>
      </c>
      <c r="J42" s="53">
        <f>IF($B42="","",SUMPRODUCT(('Compliance Log'!$A$6:$A$1005=$B42)*('Compliance Log'!$H$6:$H$1005="No date")))</f>
        <v/>
      </c>
      <c r="K42" s="51">
        <f>IF($B42="","",IF($G42&gt;0,"Overdue",IF(SUMPRODUCT(('Compliance Log'!$A$6:$A$1005=$B42)*('Compliance Log'!$H$6:$H$1005="Due &lt;=30"))&gt;0,"Due &lt;=30",IF($H42&gt;0,"Due 31-60",IF($J42&gt;0,"No date",IF($I42&gt;0,"OK","No checks"))))))</f>
        <v/>
      </c>
      <c r="L42" s="51"/>
      <c r="M42" s="53">
        <f>IF($B42="","",$G42+$H42+$I42+$J42)</f>
        <v/>
      </c>
    </row>
    <row r="43" spans="2:13" ht="17" customHeight="1">
      <c r="B43" s="54">
        <f>IF(INDEX(Properties!$A$6:$A$105,ROW()-ROW($B$30))="","",INDEX(Properties!$A$6:$A$105,ROW()-ROW($B$30)))</f>
        <v/>
      </c>
      <c r="C43" s="54"/>
      <c r="D43" s="54"/>
      <c r="E43" s="54"/>
      <c r="F43" s="54"/>
      <c r="G43" s="53">
        <f>IF($B43="","",SUMPRODUCT(('Compliance Log'!$A$6:$A$1005=$B43)*('Compliance Log'!$H$6:$H$1005="Overdue")))</f>
        <v/>
      </c>
      <c r="H43" s="53">
        <f>IF($B43="","",SUMPRODUCT(('Compliance Log'!$A$6:$A$1005=$B43)*(('Compliance Log'!$H$6:$H$1005="Due &lt;=30")+('Compliance Log'!$H$6:$H$1005="Due 31-60"))))</f>
        <v/>
      </c>
      <c r="I43" s="53">
        <f>IF($B43="","",SUMPRODUCT(('Compliance Log'!$A$6:$A$1005=$B43)*('Compliance Log'!$H$6:$H$1005="OK")))</f>
        <v/>
      </c>
      <c r="J43" s="53">
        <f>IF($B43="","",SUMPRODUCT(('Compliance Log'!$A$6:$A$1005=$B43)*('Compliance Log'!$H$6:$H$1005="No date")))</f>
        <v/>
      </c>
      <c r="K43" s="51">
        <f>IF($B43="","",IF($G43&gt;0,"Overdue",IF(SUMPRODUCT(('Compliance Log'!$A$6:$A$1005=$B43)*('Compliance Log'!$H$6:$H$1005="Due &lt;=30"))&gt;0,"Due &lt;=30",IF($H43&gt;0,"Due 31-60",IF($J43&gt;0,"No date",IF($I43&gt;0,"OK","No checks"))))))</f>
        <v/>
      </c>
      <c r="L43" s="51"/>
      <c r="M43" s="53">
        <f>IF($B43="","",$G43+$H43+$I43+$J43)</f>
        <v/>
      </c>
    </row>
    <row r="44" spans="2:13" ht="17" customHeight="1">
      <c r="B44" s="54">
        <f>IF(INDEX(Properties!$A$6:$A$105,ROW()-ROW($B$30))="","",INDEX(Properties!$A$6:$A$105,ROW()-ROW($B$30)))</f>
        <v/>
      </c>
      <c r="C44" s="54"/>
      <c r="D44" s="54"/>
      <c r="E44" s="54"/>
      <c r="F44" s="54"/>
      <c r="G44" s="53">
        <f>IF($B44="","",SUMPRODUCT(('Compliance Log'!$A$6:$A$1005=$B44)*('Compliance Log'!$H$6:$H$1005="Overdue")))</f>
        <v/>
      </c>
      <c r="H44" s="53">
        <f>IF($B44="","",SUMPRODUCT(('Compliance Log'!$A$6:$A$1005=$B44)*(('Compliance Log'!$H$6:$H$1005="Due &lt;=30")+('Compliance Log'!$H$6:$H$1005="Due 31-60"))))</f>
        <v/>
      </c>
      <c r="I44" s="53">
        <f>IF($B44="","",SUMPRODUCT(('Compliance Log'!$A$6:$A$1005=$B44)*('Compliance Log'!$H$6:$H$1005="OK")))</f>
        <v/>
      </c>
      <c r="J44" s="53">
        <f>IF($B44="","",SUMPRODUCT(('Compliance Log'!$A$6:$A$1005=$B44)*('Compliance Log'!$H$6:$H$1005="No date")))</f>
        <v/>
      </c>
      <c r="K44" s="51">
        <f>IF($B44="","",IF($G44&gt;0,"Overdue",IF(SUMPRODUCT(('Compliance Log'!$A$6:$A$1005=$B44)*('Compliance Log'!$H$6:$H$1005="Due &lt;=30"))&gt;0,"Due &lt;=30",IF($H44&gt;0,"Due 31-60",IF($J44&gt;0,"No date",IF($I44&gt;0,"OK","No checks"))))))</f>
        <v/>
      </c>
      <c r="L44" s="51"/>
      <c r="M44" s="53">
        <f>IF($B44="","",$G44+$H44+$I44+$J44)</f>
        <v/>
      </c>
    </row>
    <row r="45" spans="2:13" ht="17" customHeight="1">
      <c r="B45" s="54">
        <f>IF(INDEX(Properties!$A$6:$A$105,ROW()-ROW($B$30))="","",INDEX(Properties!$A$6:$A$105,ROW()-ROW($B$30)))</f>
        <v/>
      </c>
      <c r="C45" s="54"/>
      <c r="D45" s="54"/>
      <c r="E45" s="54"/>
      <c r="F45" s="54"/>
      <c r="G45" s="53">
        <f>IF($B45="","",SUMPRODUCT(('Compliance Log'!$A$6:$A$1005=$B45)*('Compliance Log'!$H$6:$H$1005="Overdue")))</f>
        <v/>
      </c>
      <c r="H45" s="53">
        <f>IF($B45="","",SUMPRODUCT(('Compliance Log'!$A$6:$A$1005=$B45)*(('Compliance Log'!$H$6:$H$1005="Due &lt;=30")+('Compliance Log'!$H$6:$H$1005="Due 31-60"))))</f>
        <v/>
      </c>
      <c r="I45" s="53">
        <f>IF($B45="","",SUMPRODUCT(('Compliance Log'!$A$6:$A$1005=$B45)*('Compliance Log'!$H$6:$H$1005="OK")))</f>
        <v/>
      </c>
      <c r="J45" s="53">
        <f>IF($B45="","",SUMPRODUCT(('Compliance Log'!$A$6:$A$1005=$B45)*('Compliance Log'!$H$6:$H$1005="No date")))</f>
        <v/>
      </c>
      <c r="K45" s="51">
        <f>IF($B45="","",IF($G45&gt;0,"Overdue",IF(SUMPRODUCT(('Compliance Log'!$A$6:$A$1005=$B45)*('Compliance Log'!$H$6:$H$1005="Due &lt;=30"))&gt;0,"Due &lt;=30",IF($H45&gt;0,"Due 31-60",IF($J45&gt;0,"No date",IF($I45&gt;0,"OK","No checks"))))))</f>
        <v/>
      </c>
      <c r="L45" s="51"/>
      <c r="M45" s="53">
        <f>IF($B45="","",$G45+$H45+$I45+$J45)</f>
        <v/>
      </c>
    </row>
    <row r="46" spans="2:13" ht="17" customHeight="1">
      <c r="B46" s="54">
        <f>IF(INDEX(Properties!$A$6:$A$105,ROW()-ROW($B$30))="","",INDEX(Properties!$A$6:$A$105,ROW()-ROW($B$30)))</f>
        <v/>
      </c>
      <c r="C46" s="54"/>
      <c r="D46" s="54"/>
      <c r="E46" s="54"/>
      <c r="F46" s="54"/>
      <c r="G46" s="53">
        <f>IF($B46="","",SUMPRODUCT(('Compliance Log'!$A$6:$A$1005=$B46)*('Compliance Log'!$H$6:$H$1005="Overdue")))</f>
        <v/>
      </c>
      <c r="H46" s="53">
        <f>IF($B46="","",SUMPRODUCT(('Compliance Log'!$A$6:$A$1005=$B46)*(('Compliance Log'!$H$6:$H$1005="Due &lt;=30")+('Compliance Log'!$H$6:$H$1005="Due 31-60"))))</f>
        <v/>
      </c>
      <c r="I46" s="53">
        <f>IF($B46="","",SUMPRODUCT(('Compliance Log'!$A$6:$A$1005=$B46)*('Compliance Log'!$H$6:$H$1005="OK")))</f>
        <v/>
      </c>
      <c r="J46" s="53">
        <f>IF($B46="","",SUMPRODUCT(('Compliance Log'!$A$6:$A$1005=$B46)*('Compliance Log'!$H$6:$H$1005="No date")))</f>
        <v/>
      </c>
      <c r="K46" s="51">
        <f>IF($B46="","",IF($G46&gt;0,"Overdue",IF(SUMPRODUCT(('Compliance Log'!$A$6:$A$1005=$B46)*('Compliance Log'!$H$6:$H$1005="Due &lt;=30"))&gt;0,"Due &lt;=30",IF($H46&gt;0,"Due 31-60",IF($J46&gt;0,"No date",IF($I46&gt;0,"OK","No checks"))))))</f>
        <v/>
      </c>
      <c r="L46" s="51"/>
      <c r="M46" s="53">
        <f>IF($B46="","",$G46+$H46+$I46+$J46)</f>
        <v/>
      </c>
    </row>
    <row r="47" spans="2:13" ht="17" customHeight="1">
      <c r="B47" s="54">
        <f>IF(INDEX(Properties!$A$6:$A$105,ROW()-ROW($B$30))="","",INDEX(Properties!$A$6:$A$105,ROW()-ROW($B$30)))</f>
        <v/>
      </c>
      <c r="C47" s="54"/>
      <c r="D47" s="54"/>
      <c r="E47" s="54"/>
      <c r="F47" s="54"/>
      <c r="G47" s="53">
        <f>IF($B47="","",SUMPRODUCT(('Compliance Log'!$A$6:$A$1005=$B47)*('Compliance Log'!$H$6:$H$1005="Overdue")))</f>
        <v/>
      </c>
      <c r="H47" s="53">
        <f>IF($B47="","",SUMPRODUCT(('Compliance Log'!$A$6:$A$1005=$B47)*(('Compliance Log'!$H$6:$H$1005="Due &lt;=30")+('Compliance Log'!$H$6:$H$1005="Due 31-60"))))</f>
        <v/>
      </c>
      <c r="I47" s="53">
        <f>IF($B47="","",SUMPRODUCT(('Compliance Log'!$A$6:$A$1005=$B47)*('Compliance Log'!$H$6:$H$1005="OK")))</f>
        <v/>
      </c>
      <c r="J47" s="53">
        <f>IF($B47="","",SUMPRODUCT(('Compliance Log'!$A$6:$A$1005=$B47)*('Compliance Log'!$H$6:$H$1005="No date")))</f>
        <v/>
      </c>
      <c r="K47" s="51">
        <f>IF($B47="","",IF($G47&gt;0,"Overdue",IF(SUMPRODUCT(('Compliance Log'!$A$6:$A$1005=$B47)*('Compliance Log'!$H$6:$H$1005="Due &lt;=30"))&gt;0,"Due &lt;=30",IF($H47&gt;0,"Due 31-60",IF($J47&gt;0,"No date",IF($I47&gt;0,"OK","No checks"))))))</f>
        <v/>
      </c>
      <c r="L47" s="51"/>
      <c r="M47" s="53">
        <f>IF($B47="","",$G47+$H47+$I47+$J47)</f>
        <v/>
      </c>
    </row>
    <row r="48" spans="2:13" ht="17" customHeight="1">
      <c r="B48" s="54">
        <f>IF(INDEX(Properties!$A$6:$A$105,ROW()-ROW($B$30))="","",INDEX(Properties!$A$6:$A$105,ROW()-ROW($B$30)))</f>
        <v/>
      </c>
      <c r="C48" s="54"/>
      <c r="D48" s="54"/>
      <c r="E48" s="54"/>
      <c r="F48" s="54"/>
      <c r="G48" s="53">
        <f>IF($B48="","",SUMPRODUCT(('Compliance Log'!$A$6:$A$1005=$B48)*('Compliance Log'!$H$6:$H$1005="Overdue")))</f>
        <v/>
      </c>
      <c r="H48" s="53">
        <f>IF($B48="","",SUMPRODUCT(('Compliance Log'!$A$6:$A$1005=$B48)*(('Compliance Log'!$H$6:$H$1005="Due &lt;=30")+('Compliance Log'!$H$6:$H$1005="Due 31-60"))))</f>
        <v/>
      </c>
      <c r="I48" s="53">
        <f>IF($B48="","",SUMPRODUCT(('Compliance Log'!$A$6:$A$1005=$B48)*('Compliance Log'!$H$6:$H$1005="OK")))</f>
        <v/>
      </c>
      <c r="J48" s="53">
        <f>IF($B48="","",SUMPRODUCT(('Compliance Log'!$A$6:$A$1005=$B48)*('Compliance Log'!$H$6:$H$1005="No date")))</f>
        <v/>
      </c>
      <c r="K48" s="51">
        <f>IF($B48="","",IF($G48&gt;0,"Overdue",IF(SUMPRODUCT(('Compliance Log'!$A$6:$A$1005=$B48)*('Compliance Log'!$H$6:$H$1005="Due &lt;=30"))&gt;0,"Due &lt;=30",IF($H48&gt;0,"Due 31-60",IF($J48&gt;0,"No date",IF($I48&gt;0,"OK","No checks"))))))</f>
        <v/>
      </c>
      <c r="L48" s="51"/>
      <c r="M48" s="53">
        <f>IF($B48="","",$G48+$H48+$I48+$J48)</f>
        <v/>
      </c>
    </row>
    <row r="49" spans="2:13" ht="17" customHeight="1">
      <c r="B49" s="54">
        <f>IF(INDEX(Properties!$A$6:$A$105,ROW()-ROW($B$30))="","",INDEX(Properties!$A$6:$A$105,ROW()-ROW($B$30)))</f>
        <v/>
      </c>
      <c r="C49" s="54"/>
      <c r="D49" s="54"/>
      <c r="E49" s="54"/>
      <c r="F49" s="54"/>
      <c r="G49" s="53">
        <f>IF($B49="","",SUMPRODUCT(('Compliance Log'!$A$6:$A$1005=$B49)*('Compliance Log'!$H$6:$H$1005="Overdue")))</f>
        <v/>
      </c>
      <c r="H49" s="53">
        <f>IF($B49="","",SUMPRODUCT(('Compliance Log'!$A$6:$A$1005=$B49)*(('Compliance Log'!$H$6:$H$1005="Due &lt;=30")+('Compliance Log'!$H$6:$H$1005="Due 31-60"))))</f>
        <v/>
      </c>
      <c r="I49" s="53">
        <f>IF($B49="","",SUMPRODUCT(('Compliance Log'!$A$6:$A$1005=$B49)*('Compliance Log'!$H$6:$H$1005="OK")))</f>
        <v/>
      </c>
      <c r="J49" s="53">
        <f>IF($B49="","",SUMPRODUCT(('Compliance Log'!$A$6:$A$1005=$B49)*('Compliance Log'!$H$6:$H$1005="No date")))</f>
        <v/>
      </c>
      <c r="K49" s="51">
        <f>IF($B49="","",IF($G49&gt;0,"Overdue",IF(SUMPRODUCT(('Compliance Log'!$A$6:$A$1005=$B49)*('Compliance Log'!$H$6:$H$1005="Due &lt;=30"))&gt;0,"Due &lt;=30",IF($H49&gt;0,"Due 31-60",IF($J49&gt;0,"No date",IF($I49&gt;0,"OK","No checks"))))))</f>
        <v/>
      </c>
      <c r="L49" s="51"/>
      <c r="M49" s="53">
        <f>IF($B49="","",$G49+$H49+$I49+$J49)</f>
        <v/>
      </c>
    </row>
    <row r="50" spans="2:13" ht="17" customHeight="1">
      <c r="B50" s="54">
        <f>IF(INDEX(Properties!$A$6:$A$105,ROW()-ROW($B$30))="","",INDEX(Properties!$A$6:$A$105,ROW()-ROW($B$30)))</f>
        <v/>
      </c>
      <c r="C50" s="54"/>
      <c r="D50" s="54"/>
      <c r="E50" s="54"/>
      <c r="F50" s="54"/>
      <c r="G50" s="53">
        <f>IF($B50="","",SUMPRODUCT(('Compliance Log'!$A$6:$A$1005=$B50)*('Compliance Log'!$H$6:$H$1005="Overdue")))</f>
        <v/>
      </c>
      <c r="H50" s="53">
        <f>IF($B50="","",SUMPRODUCT(('Compliance Log'!$A$6:$A$1005=$B50)*(('Compliance Log'!$H$6:$H$1005="Due &lt;=30")+('Compliance Log'!$H$6:$H$1005="Due 31-60"))))</f>
        <v/>
      </c>
      <c r="I50" s="53">
        <f>IF($B50="","",SUMPRODUCT(('Compliance Log'!$A$6:$A$1005=$B50)*('Compliance Log'!$H$6:$H$1005="OK")))</f>
        <v/>
      </c>
      <c r="J50" s="53">
        <f>IF($B50="","",SUMPRODUCT(('Compliance Log'!$A$6:$A$1005=$B50)*('Compliance Log'!$H$6:$H$1005="No date")))</f>
        <v/>
      </c>
      <c r="K50" s="51">
        <f>IF($B50="","",IF($G50&gt;0,"Overdue",IF(SUMPRODUCT(('Compliance Log'!$A$6:$A$1005=$B50)*('Compliance Log'!$H$6:$H$1005="Due &lt;=30"))&gt;0,"Due &lt;=30",IF($H50&gt;0,"Due 31-60",IF($J50&gt;0,"No date",IF($I50&gt;0,"OK","No checks"))))))</f>
        <v/>
      </c>
      <c r="L50" s="51"/>
      <c r="M50" s="53">
        <f>IF($B50="","",$G50+$H50+$I50+$J50)</f>
        <v/>
      </c>
    </row>
    <row r="51" spans="2:13" ht="17" customHeight="1">
      <c r="B51" s="54">
        <f>IF(INDEX(Properties!$A$6:$A$105,ROW()-ROW($B$30))="","",INDEX(Properties!$A$6:$A$105,ROW()-ROW($B$30)))</f>
        <v/>
      </c>
      <c r="C51" s="54"/>
      <c r="D51" s="54"/>
      <c r="E51" s="54"/>
      <c r="F51" s="54"/>
      <c r="G51" s="53">
        <f>IF($B51="","",SUMPRODUCT(('Compliance Log'!$A$6:$A$1005=$B51)*('Compliance Log'!$H$6:$H$1005="Overdue")))</f>
        <v/>
      </c>
      <c r="H51" s="53">
        <f>IF($B51="","",SUMPRODUCT(('Compliance Log'!$A$6:$A$1005=$B51)*(('Compliance Log'!$H$6:$H$1005="Due &lt;=30")+('Compliance Log'!$H$6:$H$1005="Due 31-60"))))</f>
        <v/>
      </c>
      <c r="I51" s="53">
        <f>IF($B51="","",SUMPRODUCT(('Compliance Log'!$A$6:$A$1005=$B51)*('Compliance Log'!$H$6:$H$1005="OK")))</f>
        <v/>
      </c>
      <c r="J51" s="53">
        <f>IF($B51="","",SUMPRODUCT(('Compliance Log'!$A$6:$A$1005=$B51)*('Compliance Log'!$H$6:$H$1005="No date")))</f>
        <v/>
      </c>
      <c r="K51" s="51">
        <f>IF($B51="","",IF($G51&gt;0,"Overdue",IF(SUMPRODUCT(('Compliance Log'!$A$6:$A$1005=$B51)*('Compliance Log'!$H$6:$H$1005="Due &lt;=30"))&gt;0,"Due &lt;=30",IF($H51&gt;0,"Due 31-60",IF($J51&gt;0,"No date",IF($I51&gt;0,"OK","No checks"))))))</f>
        <v/>
      </c>
      <c r="L51" s="51"/>
      <c r="M51" s="53">
        <f>IF($B51="","",$G51+$H51+$I51+$J51)</f>
        <v/>
      </c>
    </row>
    <row r="52" spans="2:13" ht="17" customHeight="1">
      <c r="B52" s="54">
        <f>IF(INDEX(Properties!$A$6:$A$105,ROW()-ROW($B$30))="","",INDEX(Properties!$A$6:$A$105,ROW()-ROW($B$30)))</f>
        <v/>
      </c>
      <c r="C52" s="54"/>
      <c r="D52" s="54"/>
      <c r="E52" s="54"/>
      <c r="F52" s="54"/>
      <c r="G52" s="53">
        <f>IF($B52="","",SUMPRODUCT(('Compliance Log'!$A$6:$A$1005=$B52)*('Compliance Log'!$H$6:$H$1005="Overdue")))</f>
        <v/>
      </c>
      <c r="H52" s="53">
        <f>IF($B52="","",SUMPRODUCT(('Compliance Log'!$A$6:$A$1005=$B52)*(('Compliance Log'!$H$6:$H$1005="Due &lt;=30")+('Compliance Log'!$H$6:$H$1005="Due 31-60"))))</f>
        <v/>
      </c>
      <c r="I52" s="53">
        <f>IF($B52="","",SUMPRODUCT(('Compliance Log'!$A$6:$A$1005=$B52)*('Compliance Log'!$H$6:$H$1005="OK")))</f>
        <v/>
      </c>
      <c r="J52" s="53">
        <f>IF($B52="","",SUMPRODUCT(('Compliance Log'!$A$6:$A$1005=$B52)*('Compliance Log'!$H$6:$H$1005="No date")))</f>
        <v/>
      </c>
      <c r="K52" s="51">
        <f>IF($B52="","",IF($G52&gt;0,"Overdue",IF(SUMPRODUCT(('Compliance Log'!$A$6:$A$1005=$B52)*('Compliance Log'!$H$6:$H$1005="Due &lt;=30"))&gt;0,"Due &lt;=30",IF($H52&gt;0,"Due 31-60",IF($J52&gt;0,"No date",IF($I52&gt;0,"OK","No checks"))))))</f>
        <v/>
      </c>
      <c r="L52" s="51"/>
      <c r="M52" s="53">
        <f>IF($B52="","",$G52+$H52+$I52+$J52)</f>
        <v/>
      </c>
    </row>
    <row r="53" spans="2:13" ht="17" customHeight="1">
      <c r="B53" s="54">
        <f>IF(INDEX(Properties!$A$6:$A$105,ROW()-ROW($B$30))="","",INDEX(Properties!$A$6:$A$105,ROW()-ROW($B$30)))</f>
        <v/>
      </c>
      <c r="C53" s="54"/>
      <c r="D53" s="54"/>
      <c r="E53" s="54"/>
      <c r="F53" s="54"/>
      <c r="G53" s="53">
        <f>IF($B53="","",SUMPRODUCT(('Compliance Log'!$A$6:$A$1005=$B53)*('Compliance Log'!$H$6:$H$1005="Overdue")))</f>
        <v/>
      </c>
      <c r="H53" s="53">
        <f>IF($B53="","",SUMPRODUCT(('Compliance Log'!$A$6:$A$1005=$B53)*(('Compliance Log'!$H$6:$H$1005="Due &lt;=30")+('Compliance Log'!$H$6:$H$1005="Due 31-60"))))</f>
        <v/>
      </c>
      <c r="I53" s="53">
        <f>IF($B53="","",SUMPRODUCT(('Compliance Log'!$A$6:$A$1005=$B53)*('Compliance Log'!$H$6:$H$1005="OK")))</f>
        <v/>
      </c>
      <c r="J53" s="53">
        <f>IF($B53="","",SUMPRODUCT(('Compliance Log'!$A$6:$A$1005=$B53)*('Compliance Log'!$H$6:$H$1005="No date")))</f>
        <v/>
      </c>
      <c r="K53" s="51">
        <f>IF($B53="","",IF($G53&gt;0,"Overdue",IF(SUMPRODUCT(('Compliance Log'!$A$6:$A$1005=$B53)*('Compliance Log'!$H$6:$H$1005="Due &lt;=30"))&gt;0,"Due &lt;=30",IF($H53&gt;0,"Due 31-60",IF($J53&gt;0,"No date",IF($I53&gt;0,"OK","No checks"))))))</f>
        <v/>
      </c>
      <c r="L53" s="51"/>
      <c r="M53" s="53">
        <f>IF($B53="","",$G53+$H53+$I53+$J53)</f>
        <v/>
      </c>
    </row>
    <row r="54" spans="2:13" ht="17" customHeight="1">
      <c r="B54" s="54">
        <f>IF(INDEX(Properties!$A$6:$A$105,ROW()-ROW($B$30))="","",INDEX(Properties!$A$6:$A$105,ROW()-ROW($B$30)))</f>
        <v/>
      </c>
      <c r="C54" s="54"/>
      <c r="D54" s="54"/>
      <c r="E54" s="54"/>
      <c r="F54" s="54"/>
      <c r="G54" s="53">
        <f>IF($B54="","",SUMPRODUCT(('Compliance Log'!$A$6:$A$1005=$B54)*('Compliance Log'!$H$6:$H$1005="Overdue")))</f>
        <v/>
      </c>
      <c r="H54" s="53">
        <f>IF($B54="","",SUMPRODUCT(('Compliance Log'!$A$6:$A$1005=$B54)*(('Compliance Log'!$H$6:$H$1005="Due &lt;=30")+('Compliance Log'!$H$6:$H$1005="Due 31-60"))))</f>
        <v/>
      </c>
      <c r="I54" s="53">
        <f>IF($B54="","",SUMPRODUCT(('Compliance Log'!$A$6:$A$1005=$B54)*('Compliance Log'!$H$6:$H$1005="OK")))</f>
        <v/>
      </c>
      <c r="J54" s="53">
        <f>IF($B54="","",SUMPRODUCT(('Compliance Log'!$A$6:$A$1005=$B54)*('Compliance Log'!$H$6:$H$1005="No date")))</f>
        <v/>
      </c>
      <c r="K54" s="51">
        <f>IF($B54="","",IF($G54&gt;0,"Overdue",IF(SUMPRODUCT(('Compliance Log'!$A$6:$A$1005=$B54)*('Compliance Log'!$H$6:$H$1005="Due &lt;=30"))&gt;0,"Due &lt;=30",IF($H54&gt;0,"Due 31-60",IF($J54&gt;0,"No date",IF($I54&gt;0,"OK","No checks"))))))</f>
        <v/>
      </c>
      <c r="L54" s="51"/>
      <c r="M54" s="53">
        <f>IF($B54="","",$G54+$H54+$I54+$J54)</f>
        <v/>
      </c>
    </row>
    <row r="55" spans="2:13" ht="17" customHeight="1">
      <c r="B55" s="54">
        <f>IF(INDEX(Properties!$A$6:$A$105,ROW()-ROW($B$30))="","",INDEX(Properties!$A$6:$A$105,ROW()-ROW($B$30)))</f>
        <v/>
      </c>
      <c r="C55" s="54"/>
      <c r="D55" s="54"/>
      <c r="E55" s="54"/>
      <c r="F55" s="54"/>
      <c r="G55" s="53">
        <f>IF($B55="","",SUMPRODUCT(('Compliance Log'!$A$6:$A$1005=$B55)*('Compliance Log'!$H$6:$H$1005="Overdue")))</f>
        <v/>
      </c>
      <c r="H55" s="53">
        <f>IF($B55="","",SUMPRODUCT(('Compliance Log'!$A$6:$A$1005=$B55)*(('Compliance Log'!$H$6:$H$1005="Due &lt;=30")+('Compliance Log'!$H$6:$H$1005="Due 31-60"))))</f>
        <v/>
      </c>
      <c r="I55" s="53">
        <f>IF($B55="","",SUMPRODUCT(('Compliance Log'!$A$6:$A$1005=$B55)*('Compliance Log'!$H$6:$H$1005="OK")))</f>
        <v/>
      </c>
      <c r="J55" s="53">
        <f>IF($B55="","",SUMPRODUCT(('Compliance Log'!$A$6:$A$1005=$B55)*('Compliance Log'!$H$6:$H$1005="No date")))</f>
        <v/>
      </c>
      <c r="K55" s="51">
        <f>IF($B55="","",IF($G55&gt;0,"Overdue",IF(SUMPRODUCT(('Compliance Log'!$A$6:$A$1005=$B55)*('Compliance Log'!$H$6:$H$1005="Due &lt;=30"))&gt;0,"Due &lt;=30",IF($H55&gt;0,"Due 31-60",IF($J55&gt;0,"No date",IF($I55&gt;0,"OK","No checks"))))))</f>
        <v/>
      </c>
      <c r="L55" s="51"/>
      <c r="M55" s="53">
        <f>IF($B55="","",$G55+$H55+$I55+$J55)</f>
        <v/>
      </c>
    </row>
    <row r="56" spans="2:13" ht="17" customHeight="1">
      <c r="B56" s="54">
        <f>IF(INDEX(Properties!$A$6:$A$105,ROW()-ROW($B$30))="","",INDEX(Properties!$A$6:$A$105,ROW()-ROW($B$30)))</f>
        <v/>
      </c>
      <c r="C56" s="54"/>
      <c r="D56" s="54"/>
      <c r="E56" s="54"/>
      <c r="F56" s="54"/>
      <c r="G56" s="53">
        <f>IF($B56="","",SUMPRODUCT(('Compliance Log'!$A$6:$A$1005=$B56)*('Compliance Log'!$H$6:$H$1005="Overdue")))</f>
        <v/>
      </c>
      <c r="H56" s="53">
        <f>IF($B56="","",SUMPRODUCT(('Compliance Log'!$A$6:$A$1005=$B56)*(('Compliance Log'!$H$6:$H$1005="Due &lt;=30")+('Compliance Log'!$H$6:$H$1005="Due 31-60"))))</f>
        <v/>
      </c>
      <c r="I56" s="53">
        <f>IF($B56="","",SUMPRODUCT(('Compliance Log'!$A$6:$A$1005=$B56)*('Compliance Log'!$H$6:$H$1005="OK")))</f>
        <v/>
      </c>
      <c r="J56" s="53">
        <f>IF($B56="","",SUMPRODUCT(('Compliance Log'!$A$6:$A$1005=$B56)*('Compliance Log'!$H$6:$H$1005="No date")))</f>
        <v/>
      </c>
      <c r="K56" s="51">
        <f>IF($B56="","",IF($G56&gt;0,"Overdue",IF(SUMPRODUCT(('Compliance Log'!$A$6:$A$1005=$B56)*('Compliance Log'!$H$6:$H$1005="Due &lt;=30"))&gt;0,"Due &lt;=30",IF($H56&gt;0,"Due 31-60",IF($J56&gt;0,"No date",IF($I56&gt;0,"OK","No checks"))))))</f>
        <v/>
      </c>
      <c r="L56" s="51"/>
      <c r="M56" s="53">
        <f>IF($B56="","",$G56+$H56+$I56+$J56)</f>
        <v/>
      </c>
    </row>
    <row r="57" spans="2:13" ht="17" customHeight="1">
      <c r="B57" s="54">
        <f>IF(INDEX(Properties!$A$6:$A$105,ROW()-ROW($B$30))="","",INDEX(Properties!$A$6:$A$105,ROW()-ROW($B$30)))</f>
        <v/>
      </c>
      <c r="C57" s="54"/>
      <c r="D57" s="54"/>
      <c r="E57" s="54"/>
      <c r="F57" s="54"/>
      <c r="G57" s="53">
        <f>IF($B57="","",SUMPRODUCT(('Compliance Log'!$A$6:$A$1005=$B57)*('Compliance Log'!$H$6:$H$1005="Overdue")))</f>
        <v/>
      </c>
      <c r="H57" s="53">
        <f>IF($B57="","",SUMPRODUCT(('Compliance Log'!$A$6:$A$1005=$B57)*(('Compliance Log'!$H$6:$H$1005="Due &lt;=30")+('Compliance Log'!$H$6:$H$1005="Due 31-60"))))</f>
        <v/>
      </c>
      <c r="I57" s="53">
        <f>IF($B57="","",SUMPRODUCT(('Compliance Log'!$A$6:$A$1005=$B57)*('Compliance Log'!$H$6:$H$1005="OK")))</f>
        <v/>
      </c>
      <c r="J57" s="53">
        <f>IF($B57="","",SUMPRODUCT(('Compliance Log'!$A$6:$A$1005=$B57)*('Compliance Log'!$H$6:$H$1005="No date")))</f>
        <v/>
      </c>
      <c r="K57" s="51">
        <f>IF($B57="","",IF($G57&gt;0,"Overdue",IF(SUMPRODUCT(('Compliance Log'!$A$6:$A$1005=$B57)*('Compliance Log'!$H$6:$H$1005="Due &lt;=30"))&gt;0,"Due &lt;=30",IF($H57&gt;0,"Due 31-60",IF($J57&gt;0,"No date",IF($I57&gt;0,"OK","No checks"))))))</f>
        <v/>
      </c>
      <c r="L57" s="51"/>
      <c r="M57" s="53">
        <f>IF($B57="","",$G57+$H57+$I57+$J57)</f>
        <v/>
      </c>
    </row>
    <row r="58" spans="2:13" ht="17" customHeight="1">
      <c r="B58" s="54">
        <f>IF(INDEX(Properties!$A$6:$A$105,ROW()-ROW($B$30))="","",INDEX(Properties!$A$6:$A$105,ROW()-ROW($B$30)))</f>
        <v/>
      </c>
      <c r="C58" s="54"/>
      <c r="D58" s="54"/>
      <c r="E58" s="54"/>
      <c r="F58" s="54"/>
      <c r="G58" s="53">
        <f>IF($B58="","",SUMPRODUCT(('Compliance Log'!$A$6:$A$1005=$B58)*('Compliance Log'!$H$6:$H$1005="Overdue")))</f>
        <v/>
      </c>
      <c r="H58" s="53">
        <f>IF($B58="","",SUMPRODUCT(('Compliance Log'!$A$6:$A$1005=$B58)*(('Compliance Log'!$H$6:$H$1005="Due &lt;=30")+('Compliance Log'!$H$6:$H$1005="Due 31-60"))))</f>
        <v/>
      </c>
      <c r="I58" s="53">
        <f>IF($B58="","",SUMPRODUCT(('Compliance Log'!$A$6:$A$1005=$B58)*('Compliance Log'!$H$6:$H$1005="OK")))</f>
        <v/>
      </c>
      <c r="J58" s="53">
        <f>IF($B58="","",SUMPRODUCT(('Compliance Log'!$A$6:$A$1005=$B58)*('Compliance Log'!$H$6:$H$1005="No date")))</f>
        <v/>
      </c>
      <c r="K58" s="51">
        <f>IF($B58="","",IF($G58&gt;0,"Overdue",IF(SUMPRODUCT(('Compliance Log'!$A$6:$A$1005=$B58)*('Compliance Log'!$H$6:$H$1005="Due &lt;=30"))&gt;0,"Due &lt;=30",IF($H58&gt;0,"Due 31-60",IF($J58&gt;0,"No date",IF($I58&gt;0,"OK","No checks"))))))</f>
        <v/>
      </c>
      <c r="L58" s="51"/>
      <c r="M58" s="53">
        <f>IF($B58="","",$G58+$H58+$I58+$J58)</f>
        <v/>
      </c>
    </row>
    <row r="59" spans="2:13" ht="17" customHeight="1">
      <c r="B59" s="54">
        <f>IF(INDEX(Properties!$A$6:$A$105,ROW()-ROW($B$30))="","",INDEX(Properties!$A$6:$A$105,ROW()-ROW($B$30)))</f>
        <v/>
      </c>
      <c r="C59" s="54"/>
      <c r="D59" s="54"/>
      <c r="E59" s="54"/>
      <c r="F59" s="54"/>
      <c r="G59" s="53">
        <f>IF($B59="","",SUMPRODUCT(('Compliance Log'!$A$6:$A$1005=$B59)*('Compliance Log'!$H$6:$H$1005="Overdue")))</f>
        <v/>
      </c>
      <c r="H59" s="53">
        <f>IF($B59="","",SUMPRODUCT(('Compliance Log'!$A$6:$A$1005=$B59)*(('Compliance Log'!$H$6:$H$1005="Due &lt;=30")+('Compliance Log'!$H$6:$H$1005="Due 31-60"))))</f>
        <v/>
      </c>
      <c r="I59" s="53">
        <f>IF($B59="","",SUMPRODUCT(('Compliance Log'!$A$6:$A$1005=$B59)*('Compliance Log'!$H$6:$H$1005="OK")))</f>
        <v/>
      </c>
      <c r="J59" s="53">
        <f>IF($B59="","",SUMPRODUCT(('Compliance Log'!$A$6:$A$1005=$B59)*('Compliance Log'!$H$6:$H$1005="No date")))</f>
        <v/>
      </c>
      <c r="K59" s="51">
        <f>IF($B59="","",IF($G59&gt;0,"Overdue",IF(SUMPRODUCT(('Compliance Log'!$A$6:$A$1005=$B59)*('Compliance Log'!$H$6:$H$1005="Due &lt;=30"))&gt;0,"Due &lt;=30",IF($H59&gt;0,"Due 31-60",IF($J59&gt;0,"No date",IF($I59&gt;0,"OK","No checks"))))))</f>
        <v/>
      </c>
      <c r="L59" s="51"/>
      <c r="M59" s="53">
        <f>IF($B59="","",$G59+$H59+$I59+$J59)</f>
        <v/>
      </c>
    </row>
    <row r="60" spans="2:13" ht="17" customHeight="1">
      <c r="B60" s="54">
        <f>IF(INDEX(Properties!$A$6:$A$105,ROW()-ROW($B$30))="","",INDEX(Properties!$A$6:$A$105,ROW()-ROW($B$30)))</f>
        <v/>
      </c>
      <c r="C60" s="54"/>
      <c r="D60" s="54"/>
      <c r="E60" s="54"/>
      <c r="F60" s="54"/>
      <c r="G60" s="53">
        <f>IF($B60="","",SUMPRODUCT(('Compliance Log'!$A$6:$A$1005=$B60)*('Compliance Log'!$H$6:$H$1005="Overdue")))</f>
        <v/>
      </c>
      <c r="H60" s="53">
        <f>IF($B60="","",SUMPRODUCT(('Compliance Log'!$A$6:$A$1005=$B60)*(('Compliance Log'!$H$6:$H$1005="Due &lt;=30")+('Compliance Log'!$H$6:$H$1005="Due 31-60"))))</f>
        <v/>
      </c>
      <c r="I60" s="53">
        <f>IF($B60="","",SUMPRODUCT(('Compliance Log'!$A$6:$A$1005=$B60)*('Compliance Log'!$H$6:$H$1005="OK")))</f>
        <v/>
      </c>
      <c r="J60" s="53">
        <f>IF($B60="","",SUMPRODUCT(('Compliance Log'!$A$6:$A$1005=$B60)*('Compliance Log'!$H$6:$H$1005="No date")))</f>
        <v/>
      </c>
      <c r="K60" s="51">
        <f>IF($B60="","",IF($G60&gt;0,"Overdue",IF(SUMPRODUCT(('Compliance Log'!$A$6:$A$1005=$B60)*('Compliance Log'!$H$6:$H$1005="Due &lt;=30"))&gt;0,"Due &lt;=30",IF($H60&gt;0,"Due 31-60",IF($J60&gt;0,"No date",IF($I60&gt;0,"OK","No checks"))))))</f>
        <v/>
      </c>
      <c r="L60" s="51"/>
      <c r="M60" s="53">
        <f>IF($B60="","",$G60+$H60+$I60+$J60)</f>
        <v/>
      </c>
    </row>
    <row r="61" spans="2:13" ht="17" customHeight="1">
      <c r="B61" s="54">
        <f>IF(INDEX(Properties!$A$6:$A$105,ROW()-ROW($B$30))="","",INDEX(Properties!$A$6:$A$105,ROW()-ROW($B$30)))</f>
        <v/>
      </c>
      <c r="C61" s="54"/>
      <c r="D61" s="54"/>
      <c r="E61" s="54"/>
      <c r="F61" s="54"/>
      <c r="G61" s="53">
        <f>IF($B61="","",SUMPRODUCT(('Compliance Log'!$A$6:$A$1005=$B61)*('Compliance Log'!$H$6:$H$1005="Overdue")))</f>
        <v/>
      </c>
      <c r="H61" s="53">
        <f>IF($B61="","",SUMPRODUCT(('Compliance Log'!$A$6:$A$1005=$B61)*(('Compliance Log'!$H$6:$H$1005="Due &lt;=30")+('Compliance Log'!$H$6:$H$1005="Due 31-60"))))</f>
        <v/>
      </c>
      <c r="I61" s="53">
        <f>IF($B61="","",SUMPRODUCT(('Compliance Log'!$A$6:$A$1005=$B61)*('Compliance Log'!$H$6:$H$1005="OK")))</f>
        <v/>
      </c>
      <c r="J61" s="53">
        <f>IF($B61="","",SUMPRODUCT(('Compliance Log'!$A$6:$A$1005=$B61)*('Compliance Log'!$H$6:$H$1005="No date")))</f>
        <v/>
      </c>
      <c r="K61" s="51">
        <f>IF($B61="","",IF($G61&gt;0,"Overdue",IF(SUMPRODUCT(('Compliance Log'!$A$6:$A$1005=$B61)*('Compliance Log'!$H$6:$H$1005="Due &lt;=30"))&gt;0,"Due &lt;=30",IF($H61&gt;0,"Due 31-60",IF($J61&gt;0,"No date",IF($I61&gt;0,"OK","No checks"))))))</f>
        <v/>
      </c>
      <c r="L61" s="51"/>
      <c r="M61" s="53">
        <f>IF($B61="","",$G61+$H61+$I61+$J61)</f>
        <v/>
      </c>
    </row>
    <row r="62" spans="2:13" ht="17" customHeight="1">
      <c r="B62" s="54">
        <f>IF(INDEX(Properties!$A$6:$A$105,ROW()-ROW($B$30))="","",INDEX(Properties!$A$6:$A$105,ROW()-ROW($B$30)))</f>
        <v/>
      </c>
      <c r="C62" s="54"/>
      <c r="D62" s="54"/>
      <c r="E62" s="54"/>
      <c r="F62" s="54"/>
      <c r="G62" s="53">
        <f>IF($B62="","",SUMPRODUCT(('Compliance Log'!$A$6:$A$1005=$B62)*('Compliance Log'!$H$6:$H$1005="Overdue")))</f>
        <v/>
      </c>
      <c r="H62" s="53">
        <f>IF($B62="","",SUMPRODUCT(('Compliance Log'!$A$6:$A$1005=$B62)*(('Compliance Log'!$H$6:$H$1005="Due &lt;=30")+('Compliance Log'!$H$6:$H$1005="Due 31-60"))))</f>
        <v/>
      </c>
      <c r="I62" s="53">
        <f>IF($B62="","",SUMPRODUCT(('Compliance Log'!$A$6:$A$1005=$B62)*('Compliance Log'!$H$6:$H$1005="OK")))</f>
        <v/>
      </c>
      <c r="J62" s="53">
        <f>IF($B62="","",SUMPRODUCT(('Compliance Log'!$A$6:$A$1005=$B62)*('Compliance Log'!$H$6:$H$1005="No date")))</f>
        <v/>
      </c>
      <c r="K62" s="51">
        <f>IF($B62="","",IF($G62&gt;0,"Overdue",IF(SUMPRODUCT(('Compliance Log'!$A$6:$A$1005=$B62)*('Compliance Log'!$H$6:$H$1005="Due &lt;=30"))&gt;0,"Due &lt;=30",IF($H62&gt;0,"Due 31-60",IF($J62&gt;0,"No date",IF($I62&gt;0,"OK","No checks"))))))</f>
        <v/>
      </c>
      <c r="L62" s="51"/>
      <c r="M62" s="53">
        <f>IF($B62="","",$G62+$H62+$I62+$J62)</f>
        <v/>
      </c>
    </row>
    <row r="63" spans="2:13" ht="17" customHeight="1">
      <c r="B63" s="54">
        <f>IF(INDEX(Properties!$A$6:$A$105,ROW()-ROW($B$30))="","",INDEX(Properties!$A$6:$A$105,ROW()-ROW($B$30)))</f>
        <v/>
      </c>
      <c r="C63" s="54"/>
      <c r="D63" s="54"/>
      <c r="E63" s="54"/>
      <c r="F63" s="54"/>
      <c r="G63" s="53">
        <f>IF($B63="","",SUMPRODUCT(('Compliance Log'!$A$6:$A$1005=$B63)*('Compliance Log'!$H$6:$H$1005="Overdue")))</f>
        <v/>
      </c>
      <c r="H63" s="53">
        <f>IF($B63="","",SUMPRODUCT(('Compliance Log'!$A$6:$A$1005=$B63)*(('Compliance Log'!$H$6:$H$1005="Due &lt;=30")+('Compliance Log'!$H$6:$H$1005="Due 31-60"))))</f>
        <v/>
      </c>
      <c r="I63" s="53">
        <f>IF($B63="","",SUMPRODUCT(('Compliance Log'!$A$6:$A$1005=$B63)*('Compliance Log'!$H$6:$H$1005="OK")))</f>
        <v/>
      </c>
      <c r="J63" s="53">
        <f>IF($B63="","",SUMPRODUCT(('Compliance Log'!$A$6:$A$1005=$B63)*('Compliance Log'!$H$6:$H$1005="No date")))</f>
        <v/>
      </c>
      <c r="K63" s="51">
        <f>IF($B63="","",IF($G63&gt;0,"Overdue",IF(SUMPRODUCT(('Compliance Log'!$A$6:$A$1005=$B63)*('Compliance Log'!$H$6:$H$1005="Due &lt;=30"))&gt;0,"Due &lt;=30",IF($H63&gt;0,"Due 31-60",IF($J63&gt;0,"No date",IF($I63&gt;0,"OK","No checks"))))))</f>
        <v/>
      </c>
      <c r="L63" s="51"/>
      <c r="M63" s="53">
        <f>IF($B63="","",$G63+$H63+$I63+$J63)</f>
        <v/>
      </c>
    </row>
    <row r="64" spans="2:13" ht="17" customHeight="1">
      <c r="B64" s="54">
        <f>IF(INDEX(Properties!$A$6:$A$105,ROW()-ROW($B$30))="","",INDEX(Properties!$A$6:$A$105,ROW()-ROW($B$30)))</f>
        <v/>
      </c>
      <c r="C64" s="54"/>
      <c r="D64" s="54"/>
      <c r="E64" s="54"/>
      <c r="F64" s="54"/>
      <c r="G64" s="53">
        <f>IF($B64="","",SUMPRODUCT(('Compliance Log'!$A$6:$A$1005=$B64)*('Compliance Log'!$H$6:$H$1005="Overdue")))</f>
        <v/>
      </c>
      <c r="H64" s="53">
        <f>IF($B64="","",SUMPRODUCT(('Compliance Log'!$A$6:$A$1005=$B64)*(('Compliance Log'!$H$6:$H$1005="Due &lt;=30")+('Compliance Log'!$H$6:$H$1005="Due 31-60"))))</f>
        <v/>
      </c>
      <c r="I64" s="53">
        <f>IF($B64="","",SUMPRODUCT(('Compliance Log'!$A$6:$A$1005=$B64)*('Compliance Log'!$H$6:$H$1005="OK")))</f>
        <v/>
      </c>
      <c r="J64" s="53">
        <f>IF($B64="","",SUMPRODUCT(('Compliance Log'!$A$6:$A$1005=$B64)*('Compliance Log'!$H$6:$H$1005="No date")))</f>
        <v/>
      </c>
      <c r="K64" s="51">
        <f>IF($B64="","",IF($G64&gt;0,"Overdue",IF(SUMPRODUCT(('Compliance Log'!$A$6:$A$1005=$B64)*('Compliance Log'!$H$6:$H$1005="Due &lt;=30"))&gt;0,"Due &lt;=30",IF($H64&gt;0,"Due 31-60",IF($J64&gt;0,"No date",IF($I64&gt;0,"OK","No checks"))))))</f>
        <v/>
      </c>
      <c r="L64" s="51"/>
      <c r="M64" s="53">
        <f>IF($B64="","",$G64+$H64+$I64+$J64)</f>
        <v/>
      </c>
    </row>
    <row r="65" spans="2:13" ht="17" customHeight="1">
      <c r="B65" s="54">
        <f>IF(INDEX(Properties!$A$6:$A$105,ROW()-ROW($B$30))="","",INDEX(Properties!$A$6:$A$105,ROW()-ROW($B$30)))</f>
        <v/>
      </c>
      <c r="C65" s="54"/>
      <c r="D65" s="54"/>
      <c r="E65" s="54"/>
      <c r="F65" s="54"/>
      <c r="G65" s="53">
        <f>IF($B65="","",SUMPRODUCT(('Compliance Log'!$A$6:$A$1005=$B65)*('Compliance Log'!$H$6:$H$1005="Overdue")))</f>
        <v/>
      </c>
      <c r="H65" s="53">
        <f>IF($B65="","",SUMPRODUCT(('Compliance Log'!$A$6:$A$1005=$B65)*(('Compliance Log'!$H$6:$H$1005="Due &lt;=30")+('Compliance Log'!$H$6:$H$1005="Due 31-60"))))</f>
        <v/>
      </c>
      <c r="I65" s="53">
        <f>IF($B65="","",SUMPRODUCT(('Compliance Log'!$A$6:$A$1005=$B65)*('Compliance Log'!$H$6:$H$1005="OK")))</f>
        <v/>
      </c>
      <c r="J65" s="53">
        <f>IF($B65="","",SUMPRODUCT(('Compliance Log'!$A$6:$A$1005=$B65)*('Compliance Log'!$H$6:$H$1005="No date")))</f>
        <v/>
      </c>
      <c r="K65" s="51">
        <f>IF($B65="","",IF($G65&gt;0,"Overdue",IF(SUMPRODUCT(('Compliance Log'!$A$6:$A$1005=$B65)*('Compliance Log'!$H$6:$H$1005="Due &lt;=30"))&gt;0,"Due &lt;=30",IF($H65&gt;0,"Due 31-60",IF($J65&gt;0,"No date",IF($I65&gt;0,"OK","No checks"))))))</f>
        <v/>
      </c>
      <c r="L65" s="51"/>
      <c r="M65" s="53">
        <f>IF($B65="","",$G65+$H65+$I65+$J65)</f>
        <v/>
      </c>
    </row>
    <row r="66" spans="2:13" ht="17" customHeight="1">
      <c r="B66" s="54">
        <f>IF(INDEX(Properties!$A$6:$A$105,ROW()-ROW($B$30))="","",INDEX(Properties!$A$6:$A$105,ROW()-ROW($B$30)))</f>
        <v/>
      </c>
      <c r="C66" s="54"/>
      <c r="D66" s="54"/>
      <c r="E66" s="54"/>
      <c r="F66" s="54"/>
      <c r="G66" s="53">
        <f>IF($B66="","",SUMPRODUCT(('Compliance Log'!$A$6:$A$1005=$B66)*('Compliance Log'!$H$6:$H$1005="Overdue")))</f>
        <v/>
      </c>
      <c r="H66" s="53">
        <f>IF($B66="","",SUMPRODUCT(('Compliance Log'!$A$6:$A$1005=$B66)*(('Compliance Log'!$H$6:$H$1005="Due &lt;=30")+('Compliance Log'!$H$6:$H$1005="Due 31-60"))))</f>
        <v/>
      </c>
      <c r="I66" s="53">
        <f>IF($B66="","",SUMPRODUCT(('Compliance Log'!$A$6:$A$1005=$B66)*('Compliance Log'!$H$6:$H$1005="OK")))</f>
        <v/>
      </c>
      <c r="J66" s="53">
        <f>IF($B66="","",SUMPRODUCT(('Compliance Log'!$A$6:$A$1005=$B66)*('Compliance Log'!$H$6:$H$1005="No date")))</f>
        <v/>
      </c>
      <c r="K66" s="51">
        <f>IF($B66="","",IF($G66&gt;0,"Overdue",IF(SUMPRODUCT(('Compliance Log'!$A$6:$A$1005=$B66)*('Compliance Log'!$H$6:$H$1005="Due &lt;=30"))&gt;0,"Due &lt;=30",IF($H66&gt;0,"Due 31-60",IF($J66&gt;0,"No date",IF($I66&gt;0,"OK","No checks"))))))</f>
        <v/>
      </c>
      <c r="L66" s="51"/>
      <c r="M66" s="53">
        <f>IF($B66="","",$G66+$H66+$I66+$J66)</f>
        <v/>
      </c>
    </row>
    <row r="67" spans="2:13" ht="17" customHeight="1">
      <c r="B67" s="54">
        <f>IF(INDEX(Properties!$A$6:$A$105,ROW()-ROW($B$30))="","",INDEX(Properties!$A$6:$A$105,ROW()-ROW($B$30)))</f>
        <v/>
      </c>
      <c r="C67" s="54"/>
      <c r="D67" s="54"/>
      <c r="E67" s="54"/>
      <c r="F67" s="54"/>
      <c r="G67" s="53">
        <f>IF($B67="","",SUMPRODUCT(('Compliance Log'!$A$6:$A$1005=$B67)*('Compliance Log'!$H$6:$H$1005="Overdue")))</f>
        <v/>
      </c>
      <c r="H67" s="53">
        <f>IF($B67="","",SUMPRODUCT(('Compliance Log'!$A$6:$A$1005=$B67)*(('Compliance Log'!$H$6:$H$1005="Due &lt;=30")+('Compliance Log'!$H$6:$H$1005="Due 31-60"))))</f>
        <v/>
      </c>
      <c r="I67" s="53">
        <f>IF($B67="","",SUMPRODUCT(('Compliance Log'!$A$6:$A$1005=$B67)*('Compliance Log'!$H$6:$H$1005="OK")))</f>
        <v/>
      </c>
      <c r="J67" s="53">
        <f>IF($B67="","",SUMPRODUCT(('Compliance Log'!$A$6:$A$1005=$B67)*('Compliance Log'!$H$6:$H$1005="No date")))</f>
        <v/>
      </c>
      <c r="K67" s="51">
        <f>IF($B67="","",IF($G67&gt;0,"Overdue",IF(SUMPRODUCT(('Compliance Log'!$A$6:$A$1005=$B67)*('Compliance Log'!$H$6:$H$1005="Due &lt;=30"))&gt;0,"Due &lt;=30",IF($H67&gt;0,"Due 31-60",IF($J67&gt;0,"No date",IF($I67&gt;0,"OK","No checks"))))))</f>
        <v/>
      </c>
      <c r="L67" s="51"/>
      <c r="M67" s="53">
        <f>IF($B67="","",$G67+$H67+$I67+$J67)</f>
        <v/>
      </c>
    </row>
    <row r="68" spans="2:13" ht="17" customHeight="1">
      <c r="B68" s="54">
        <f>IF(INDEX(Properties!$A$6:$A$105,ROW()-ROW($B$30))="","",INDEX(Properties!$A$6:$A$105,ROW()-ROW($B$30)))</f>
        <v/>
      </c>
      <c r="C68" s="54"/>
      <c r="D68" s="54"/>
      <c r="E68" s="54"/>
      <c r="F68" s="54"/>
      <c r="G68" s="53">
        <f>IF($B68="","",SUMPRODUCT(('Compliance Log'!$A$6:$A$1005=$B68)*('Compliance Log'!$H$6:$H$1005="Overdue")))</f>
        <v/>
      </c>
      <c r="H68" s="53">
        <f>IF($B68="","",SUMPRODUCT(('Compliance Log'!$A$6:$A$1005=$B68)*(('Compliance Log'!$H$6:$H$1005="Due &lt;=30")+('Compliance Log'!$H$6:$H$1005="Due 31-60"))))</f>
        <v/>
      </c>
      <c r="I68" s="53">
        <f>IF($B68="","",SUMPRODUCT(('Compliance Log'!$A$6:$A$1005=$B68)*('Compliance Log'!$H$6:$H$1005="OK")))</f>
        <v/>
      </c>
      <c r="J68" s="53">
        <f>IF($B68="","",SUMPRODUCT(('Compliance Log'!$A$6:$A$1005=$B68)*('Compliance Log'!$H$6:$H$1005="No date")))</f>
        <v/>
      </c>
      <c r="K68" s="51">
        <f>IF($B68="","",IF($G68&gt;0,"Overdue",IF(SUMPRODUCT(('Compliance Log'!$A$6:$A$1005=$B68)*('Compliance Log'!$H$6:$H$1005="Due &lt;=30"))&gt;0,"Due &lt;=30",IF($H68&gt;0,"Due 31-60",IF($J68&gt;0,"No date",IF($I68&gt;0,"OK","No checks"))))))</f>
        <v/>
      </c>
      <c r="L68" s="51"/>
      <c r="M68" s="53">
        <f>IF($B68="","",$G68+$H68+$I68+$J68)</f>
        <v/>
      </c>
    </row>
    <row r="69" spans="2:13" ht="17" customHeight="1">
      <c r="B69" s="54">
        <f>IF(INDEX(Properties!$A$6:$A$105,ROW()-ROW($B$30))="","",INDEX(Properties!$A$6:$A$105,ROW()-ROW($B$30)))</f>
        <v/>
      </c>
      <c r="C69" s="54"/>
      <c r="D69" s="54"/>
      <c r="E69" s="54"/>
      <c r="F69" s="54"/>
      <c r="G69" s="53">
        <f>IF($B69="","",SUMPRODUCT(('Compliance Log'!$A$6:$A$1005=$B69)*('Compliance Log'!$H$6:$H$1005="Overdue")))</f>
        <v/>
      </c>
      <c r="H69" s="53">
        <f>IF($B69="","",SUMPRODUCT(('Compliance Log'!$A$6:$A$1005=$B69)*(('Compliance Log'!$H$6:$H$1005="Due &lt;=30")+('Compliance Log'!$H$6:$H$1005="Due 31-60"))))</f>
        <v/>
      </c>
      <c r="I69" s="53">
        <f>IF($B69="","",SUMPRODUCT(('Compliance Log'!$A$6:$A$1005=$B69)*('Compliance Log'!$H$6:$H$1005="OK")))</f>
        <v/>
      </c>
      <c r="J69" s="53">
        <f>IF($B69="","",SUMPRODUCT(('Compliance Log'!$A$6:$A$1005=$B69)*('Compliance Log'!$H$6:$H$1005="No date")))</f>
        <v/>
      </c>
      <c r="K69" s="51">
        <f>IF($B69="","",IF($G69&gt;0,"Overdue",IF(SUMPRODUCT(('Compliance Log'!$A$6:$A$1005=$B69)*('Compliance Log'!$H$6:$H$1005="Due &lt;=30"))&gt;0,"Due &lt;=30",IF($H69&gt;0,"Due 31-60",IF($J69&gt;0,"No date",IF($I69&gt;0,"OK","No checks"))))))</f>
        <v/>
      </c>
      <c r="L69" s="51"/>
      <c r="M69" s="53">
        <f>IF($B69="","",$G69+$H69+$I69+$J69)</f>
        <v/>
      </c>
    </row>
    <row r="70" spans="2:13" ht="17" customHeight="1">
      <c r="B70" s="54">
        <f>IF(INDEX(Properties!$A$6:$A$105,ROW()-ROW($B$30))="","",INDEX(Properties!$A$6:$A$105,ROW()-ROW($B$30)))</f>
        <v/>
      </c>
      <c r="C70" s="54"/>
      <c r="D70" s="54"/>
      <c r="E70" s="54"/>
      <c r="F70" s="54"/>
      <c r="G70" s="53">
        <f>IF($B70="","",SUMPRODUCT(('Compliance Log'!$A$6:$A$1005=$B70)*('Compliance Log'!$H$6:$H$1005="Overdue")))</f>
        <v/>
      </c>
      <c r="H70" s="53">
        <f>IF($B70="","",SUMPRODUCT(('Compliance Log'!$A$6:$A$1005=$B70)*(('Compliance Log'!$H$6:$H$1005="Due &lt;=30")+('Compliance Log'!$H$6:$H$1005="Due 31-60"))))</f>
        <v/>
      </c>
      <c r="I70" s="53">
        <f>IF($B70="","",SUMPRODUCT(('Compliance Log'!$A$6:$A$1005=$B70)*('Compliance Log'!$H$6:$H$1005="OK")))</f>
        <v/>
      </c>
      <c r="J70" s="53">
        <f>IF($B70="","",SUMPRODUCT(('Compliance Log'!$A$6:$A$1005=$B70)*('Compliance Log'!$H$6:$H$1005="No date")))</f>
        <v/>
      </c>
      <c r="K70" s="51">
        <f>IF($B70="","",IF($G70&gt;0,"Overdue",IF(SUMPRODUCT(('Compliance Log'!$A$6:$A$1005=$B70)*('Compliance Log'!$H$6:$H$1005="Due &lt;=30"))&gt;0,"Due &lt;=30",IF($H70&gt;0,"Due 31-60",IF($J70&gt;0,"No date",IF($I70&gt;0,"OK","No checks"))))))</f>
        <v/>
      </c>
      <c r="L70" s="51"/>
      <c r="M70" s="53">
        <f>IF($B70="","",$G70+$H70+$I70+$J70)</f>
        <v/>
      </c>
    </row>
    <row r="71" spans="2:13" ht="17" customHeight="1">
      <c r="B71" s="54">
        <f>IF(INDEX(Properties!$A$6:$A$105,ROW()-ROW($B$30))="","",INDEX(Properties!$A$6:$A$105,ROW()-ROW($B$30)))</f>
        <v/>
      </c>
      <c r="C71" s="54"/>
      <c r="D71" s="54"/>
      <c r="E71" s="54"/>
      <c r="F71" s="54"/>
      <c r="G71" s="53">
        <f>IF($B71="","",SUMPRODUCT(('Compliance Log'!$A$6:$A$1005=$B71)*('Compliance Log'!$H$6:$H$1005="Overdue")))</f>
        <v/>
      </c>
      <c r="H71" s="53">
        <f>IF($B71="","",SUMPRODUCT(('Compliance Log'!$A$6:$A$1005=$B71)*(('Compliance Log'!$H$6:$H$1005="Due &lt;=30")+('Compliance Log'!$H$6:$H$1005="Due 31-60"))))</f>
        <v/>
      </c>
      <c r="I71" s="53">
        <f>IF($B71="","",SUMPRODUCT(('Compliance Log'!$A$6:$A$1005=$B71)*('Compliance Log'!$H$6:$H$1005="OK")))</f>
        <v/>
      </c>
      <c r="J71" s="53">
        <f>IF($B71="","",SUMPRODUCT(('Compliance Log'!$A$6:$A$1005=$B71)*('Compliance Log'!$H$6:$H$1005="No date")))</f>
        <v/>
      </c>
      <c r="K71" s="51">
        <f>IF($B71="","",IF($G71&gt;0,"Overdue",IF(SUMPRODUCT(('Compliance Log'!$A$6:$A$1005=$B71)*('Compliance Log'!$H$6:$H$1005="Due &lt;=30"))&gt;0,"Due &lt;=30",IF($H71&gt;0,"Due 31-60",IF($J71&gt;0,"No date",IF($I71&gt;0,"OK","No checks"))))))</f>
        <v/>
      </c>
      <c r="L71" s="51"/>
      <c r="M71" s="53">
        <f>IF($B71="","",$G71+$H71+$I71+$J71)</f>
        <v/>
      </c>
    </row>
    <row r="72" spans="2:13" ht="17" customHeight="1">
      <c r="B72" s="54">
        <f>IF(INDEX(Properties!$A$6:$A$105,ROW()-ROW($B$30))="","",INDEX(Properties!$A$6:$A$105,ROW()-ROW($B$30)))</f>
        <v/>
      </c>
      <c r="C72" s="54"/>
      <c r="D72" s="54"/>
      <c r="E72" s="54"/>
      <c r="F72" s="54"/>
      <c r="G72" s="53">
        <f>IF($B72="","",SUMPRODUCT(('Compliance Log'!$A$6:$A$1005=$B72)*('Compliance Log'!$H$6:$H$1005="Overdue")))</f>
        <v/>
      </c>
      <c r="H72" s="53">
        <f>IF($B72="","",SUMPRODUCT(('Compliance Log'!$A$6:$A$1005=$B72)*(('Compliance Log'!$H$6:$H$1005="Due &lt;=30")+('Compliance Log'!$H$6:$H$1005="Due 31-60"))))</f>
        <v/>
      </c>
      <c r="I72" s="53">
        <f>IF($B72="","",SUMPRODUCT(('Compliance Log'!$A$6:$A$1005=$B72)*('Compliance Log'!$H$6:$H$1005="OK")))</f>
        <v/>
      </c>
      <c r="J72" s="53">
        <f>IF($B72="","",SUMPRODUCT(('Compliance Log'!$A$6:$A$1005=$B72)*('Compliance Log'!$H$6:$H$1005="No date")))</f>
        <v/>
      </c>
      <c r="K72" s="51">
        <f>IF($B72="","",IF($G72&gt;0,"Overdue",IF(SUMPRODUCT(('Compliance Log'!$A$6:$A$1005=$B72)*('Compliance Log'!$H$6:$H$1005="Due &lt;=30"))&gt;0,"Due &lt;=30",IF($H72&gt;0,"Due 31-60",IF($J72&gt;0,"No date",IF($I72&gt;0,"OK","No checks"))))))</f>
        <v/>
      </c>
      <c r="L72" s="51"/>
      <c r="M72" s="53">
        <f>IF($B72="","",$G72+$H72+$I72+$J72)</f>
        <v/>
      </c>
    </row>
    <row r="73" spans="2:13" ht="17" customHeight="1">
      <c r="B73" s="54">
        <f>IF(INDEX(Properties!$A$6:$A$105,ROW()-ROW($B$30))="","",INDEX(Properties!$A$6:$A$105,ROW()-ROW($B$30)))</f>
        <v/>
      </c>
      <c r="C73" s="54"/>
      <c r="D73" s="54"/>
      <c r="E73" s="54"/>
      <c r="F73" s="54"/>
      <c r="G73" s="53">
        <f>IF($B73="","",SUMPRODUCT(('Compliance Log'!$A$6:$A$1005=$B73)*('Compliance Log'!$H$6:$H$1005="Overdue")))</f>
        <v/>
      </c>
      <c r="H73" s="53">
        <f>IF($B73="","",SUMPRODUCT(('Compliance Log'!$A$6:$A$1005=$B73)*(('Compliance Log'!$H$6:$H$1005="Due &lt;=30")+('Compliance Log'!$H$6:$H$1005="Due 31-60"))))</f>
        <v/>
      </c>
      <c r="I73" s="53">
        <f>IF($B73="","",SUMPRODUCT(('Compliance Log'!$A$6:$A$1005=$B73)*('Compliance Log'!$H$6:$H$1005="OK")))</f>
        <v/>
      </c>
      <c r="J73" s="53">
        <f>IF($B73="","",SUMPRODUCT(('Compliance Log'!$A$6:$A$1005=$B73)*('Compliance Log'!$H$6:$H$1005="No date")))</f>
        <v/>
      </c>
      <c r="K73" s="51">
        <f>IF($B73="","",IF($G73&gt;0,"Overdue",IF(SUMPRODUCT(('Compliance Log'!$A$6:$A$1005=$B73)*('Compliance Log'!$H$6:$H$1005="Due &lt;=30"))&gt;0,"Due &lt;=30",IF($H73&gt;0,"Due 31-60",IF($J73&gt;0,"No date",IF($I73&gt;0,"OK","No checks"))))))</f>
        <v/>
      </c>
      <c r="L73" s="51"/>
      <c r="M73" s="53">
        <f>IF($B73="","",$G73+$H73+$I73+$J73)</f>
        <v/>
      </c>
    </row>
    <row r="74" spans="2:13" ht="17" customHeight="1">
      <c r="B74" s="54">
        <f>IF(INDEX(Properties!$A$6:$A$105,ROW()-ROW($B$30))="","",INDEX(Properties!$A$6:$A$105,ROW()-ROW($B$30)))</f>
        <v/>
      </c>
      <c r="C74" s="54"/>
      <c r="D74" s="54"/>
      <c r="E74" s="54"/>
      <c r="F74" s="54"/>
      <c r="G74" s="53">
        <f>IF($B74="","",SUMPRODUCT(('Compliance Log'!$A$6:$A$1005=$B74)*('Compliance Log'!$H$6:$H$1005="Overdue")))</f>
        <v/>
      </c>
      <c r="H74" s="53">
        <f>IF($B74="","",SUMPRODUCT(('Compliance Log'!$A$6:$A$1005=$B74)*(('Compliance Log'!$H$6:$H$1005="Due &lt;=30")+('Compliance Log'!$H$6:$H$1005="Due 31-60"))))</f>
        <v/>
      </c>
      <c r="I74" s="53">
        <f>IF($B74="","",SUMPRODUCT(('Compliance Log'!$A$6:$A$1005=$B74)*('Compliance Log'!$H$6:$H$1005="OK")))</f>
        <v/>
      </c>
      <c r="J74" s="53">
        <f>IF($B74="","",SUMPRODUCT(('Compliance Log'!$A$6:$A$1005=$B74)*('Compliance Log'!$H$6:$H$1005="No date")))</f>
        <v/>
      </c>
      <c r="K74" s="51">
        <f>IF($B74="","",IF($G74&gt;0,"Overdue",IF(SUMPRODUCT(('Compliance Log'!$A$6:$A$1005=$B74)*('Compliance Log'!$H$6:$H$1005="Due &lt;=30"))&gt;0,"Due &lt;=30",IF($H74&gt;0,"Due 31-60",IF($J74&gt;0,"No date",IF($I74&gt;0,"OK","No checks"))))))</f>
        <v/>
      </c>
      <c r="L74" s="51"/>
      <c r="M74" s="53">
        <f>IF($B74="","",$G74+$H74+$I74+$J74)</f>
        <v/>
      </c>
    </row>
    <row r="75" spans="2:13" ht="17" customHeight="1">
      <c r="B75" s="54">
        <f>IF(INDEX(Properties!$A$6:$A$105,ROW()-ROW($B$30))="","",INDEX(Properties!$A$6:$A$105,ROW()-ROW($B$30)))</f>
        <v/>
      </c>
      <c r="C75" s="54"/>
      <c r="D75" s="54"/>
      <c r="E75" s="54"/>
      <c r="F75" s="54"/>
      <c r="G75" s="53">
        <f>IF($B75="","",SUMPRODUCT(('Compliance Log'!$A$6:$A$1005=$B75)*('Compliance Log'!$H$6:$H$1005="Overdue")))</f>
        <v/>
      </c>
      <c r="H75" s="53">
        <f>IF($B75="","",SUMPRODUCT(('Compliance Log'!$A$6:$A$1005=$B75)*(('Compliance Log'!$H$6:$H$1005="Due &lt;=30")+('Compliance Log'!$H$6:$H$1005="Due 31-60"))))</f>
        <v/>
      </c>
      <c r="I75" s="53">
        <f>IF($B75="","",SUMPRODUCT(('Compliance Log'!$A$6:$A$1005=$B75)*('Compliance Log'!$H$6:$H$1005="OK")))</f>
        <v/>
      </c>
      <c r="J75" s="53">
        <f>IF($B75="","",SUMPRODUCT(('Compliance Log'!$A$6:$A$1005=$B75)*('Compliance Log'!$H$6:$H$1005="No date")))</f>
        <v/>
      </c>
      <c r="K75" s="51">
        <f>IF($B75="","",IF($G75&gt;0,"Overdue",IF(SUMPRODUCT(('Compliance Log'!$A$6:$A$1005=$B75)*('Compliance Log'!$H$6:$H$1005="Due &lt;=30"))&gt;0,"Due &lt;=30",IF($H75&gt;0,"Due 31-60",IF($J75&gt;0,"No date",IF($I75&gt;0,"OK","No checks"))))))</f>
        <v/>
      </c>
      <c r="L75" s="51"/>
      <c r="M75" s="53">
        <f>IF($B75="","",$G75+$H75+$I75+$J75)</f>
        <v/>
      </c>
    </row>
    <row r="76" spans="2:13" ht="17" customHeight="1">
      <c r="B76" s="54">
        <f>IF(INDEX(Properties!$A$6:$A$105,ROW()-ROW($B$30))="","",INDEX(Properties!$A$6:$A$105,ROW()-ROW($B$30)))</f>
        <v/>
      </c>
      <c r="C76" s="54"/>
      <c r="D76" s="54"/>
      <c r="E76" s="54"/>
      <c r="F76" s="54"/>
      <c r="G76" s="53">
        <f>IF($B76="","",SUMPRODUCT(('Compliance Log'!$A$6:$A$1005=$B76)*('Compliance Log'!$H$6:$H$1005="Overdue")))</f>
        <v/>
      </c>
      <c r="H76" s="53">
        <f>IF($B76="","",SUMPRODUCT(('Compliance Log'!$A$6:$A$1005=$B76)*(('Compliance Log'!$H$6:$H$1005="Due &lt;=30")+('Compliance Log'!$H$6:$H$1005="Due 31-60"))))</f>
        <v/>
      </c>
      <c r="I76" s="53">
        <f>IF($B76="","",SUMPRODUCT(('Compliance Log'!$A$6:$A$1005=$B76)*('Compliance Log'!$H$6:$H$1005="OK")))</f>
        <v/>
      </c>
      <c r="J76" s="53">
        <f>IF($B76="","",SUMPRODUCT(('Compliance Log'!$A$6:$A$1005=$B76)*('Compliance Log'!$H$6:$H$1005="No date")))</f>
        <v/>
      </c>
      <c r="K76" s="51">
        <f>IF($B76="","",IF($G76&gt;0,"Overdue",IF(SUMPRODUCT(('Compliance Log'!$A$6:$A$1005=$B76)*('Compliance Log'!$H$6:$H$1005="Due &lt;=30"))&gt;0,"Due &lt;=30",IF($H76&gt;0,"Due 31-60",IF($J76&gt;0,"No date",IF($I76&gt;0,"OK","No checks"))))))</f>
        <v/>
      </c>
      <c r="L76" s="51"/>
      <c r="M76" s="53">
        <f>IF($B76="","",$G76+$H76+$I76+$J76)</f>
        <v/>
      </c>
    </row>
    <row r="77" spans="2:13" ht="17" customHeight="1">
      <c r="B77" s="54">
        <f>IF(INDEX(Properties!$A$6:$A$105,ROW()-ROW($B$30))="","",INDEX(Properties!$A$6:$A$105,ROW()-ROW($B$30)))</f>
        <v/>
      </c>
      <c r="C77" s="54"/>
      <c r="D77" s="54"/>
      <c r="E77" s="54"/>
      <c r="F77" s="54"/>
      <c r="G77" s="53">
        <f>IF($B77="","",SUMPRODUCT(('Compliance Log'!$A$6:$A$1005=$B77)*('Compliance Log'!$H$6:$H$1005="Overdue")))</f>
        <v/>
      </c>
      <c r="H77" s="53">
        <f>IF($B77="","",SUMPRODUCT(('Compliance Log'!$A$6:$A$1005=$B77)*(('Compliance Log'!$H$6:$H$1005="Due &lt;=30")+('Compliance Log'!$H$6:$H$1005="Due 31-60"))))</f>
        <v/>
      </c>
      <c r="I77" s="53">
        <f>IF($B77="","",SUMPRODUCT(('Compliance Log'!$A$6:$A$1005=$B77)*('Compliance Log'!$H$6:$H$1005="OK")))</f>
        <v/>
      </c>
      <c r="J77" s="53">
        <f>IF($B77="","",SUMPRODUCT(('Compliance Log'!$A$6:$A$1005=$B77)*('Compliance Log'!$H$6:$H$1005="No date")))</f>
        <v/>
      </c>
      <c r="K77" s="51">
        <f>IF($B77="","",IF($G77&gt;0,"Overdue",IF(SUMPRODUCT(('Compliance Log'!$A$6:$A$1005=$B77)*('Compliance Log'!$H$6:$H$1005="Due &lt;=30"))&gt;0,"Due &lt;=30",IF($H77&gt;0,"Due 31-60",IF($J77&gt;0,"No date",IF($I77&gt;0,"OK","No checks"))))))</f>
        <v/>
      </c>
      <c r="L77" s="51"/>
      <c r="M77" s="53">
        <f>IF($B77="","",$G77+$H77+$I77+$J77)</f>
        <v/>
      </c>
    </row>
    <row r="78" spans="2:13" ht="17" customHeight="1">
      <c r="B78" s="54">
        <f>IF(INDEX(Properties!$A$6:$A$105,ROW()-ROW($B$30))="","",INDEX(Properties!$A$6:$A$105,ROW()-ROW($B$30)))</f>
        <v/>
      </c>
      <c r="C78" s="54"/>
      <c r="D78" s="54"/>
      <c r="E78" s="54"/>
      <c r="F78" s="54"/>
      <c r="G78" s="53">
        <f>IF($B78="","",SUMPRODUCT(('Compliance Log'!$A$6:$A$1005=$B78)*('Compliance Log'!$H$6:$H$1005="Overdue")))</f>
        <v/>
      </c>
      <c r="H78" s="53">
        <f>IF($B78="","",SUMPRODUCT(('Compliance Log'!$A$6:$A$1005=$B78)*(('Compliance Log'!$H$6:$H$1005="Due &lt;=30")+('Compliance Log'!$H$6:$H$1005="Due 31-60"))))</f>
        <v/>
      </c>
      <c r="I78" s="53">
        <f>IF($B78="","",SUMPRODUCT(('Compliance Log'!$A$6:$A$1005=$B78)*('Compliance Log'!$H$6:$H$1005="OK")))</f>
        <v/>
      </c>
      <c r="J78" s="53">
        <f>IF($B78="","",SUMPRODUCT(('Compliance Log'!$A$6:$A$1005=$B78)*('Compliance Log'!$H$6:$H$1005="No date")))</f>
        <v/>
      </c>
      <c r="K78" s="51">
        <f>IF($B78="","",IF($G78&gt;0,"Overdue",IF(SUMPRODUCT(('Compliance Log'!$A$6:$A$1005=$B78)*('Compliance Log'!$H$6:$H$1005="Due &lt;=30"))&gt;0,"Due &lt;=30",IF($H78&gt;0,"Due 31-60",IF($J78&gt;0,"No date",IF($I78&gt;0,"OK","No checks"))))))</f>
        <v/>
      </c>
      <c r="L78" s="51"/>
      <c r="M78" s="53">
        <f>IF($B78="","",$G78+$H78+$I78+$J78)</f>
        <v/>
      </c>
    </row>
    <row r="79" spans="2:13" ht="17" customHeight="1">
      <c r="B79" s="54">
        <f>IF(INDEX(Properties!$A$6:$A$105,ROW()-ROW($B$30))="","",INDEX(Properties!$A$6:$A$105,ROW()-ROW($B$30)))</f>
        <v/>
      </c>
      <c r="C79" s="54"/>
      <c r="D79" s="54"/>
      <c r="E79" s="54"/>
      <c r="F79" s="54"/>
      <c r="G79" s="53">
        <f>IF($B79="","",SUMPRODUCT(('Compliance Log'!$A$6:$A$1005=$B79)*('Compliance Log'!$H$6:$H$1005="Overdue")))</f>
        <v/>
      </c>
      <c r="H79" s="53">
        <f>IF($B79="","",SUMPRODUCT(('Compliance Log'!$A$6:$A$1005=$B79)*(('Compliance Log'!$H$6:$H$1005="Due &lt;=30")+('Compliance Log'!$H$6:$H$1005="Due 31-60"))))</f>
        <v/>
      </c>
      <c r="I79" s="53">
        <f>IF($B79="","",SUMPRODUCT(('Compliance Log'!$A$6:$A$1005=$B79)*('Compliance Log'!$H$6:$H$1005="OK")))</f>
        <v/>
      </c>
      <c r="J79" s="53">
        <f>IF($B79="","",SUMPRODUCT(('Compliance Log'!$A$6:$A$1005=$B79)*('Compliance Log'!$H$6:$H$1005="No date")))</f>
        <v/>
      </c>
      <c r="K79" s="51">
        <f>IF($B79="","",IF($G79&gt;0,"Overdue",IF(SUMPRODUCT(('Compliance Log'!$A$6:$A$1005=$B79)*('Compliance Log'!$H$6:$H$1005="Due &lt;=30"))&gt;0,"Due &lt;=30",IF($H79&gt;0,"Due 31-60",IF($J79&gt;0,"No date",IF($I79&gt;0,"OK","No checks"))))))</f>
        <v/>
      </c>
      <c r="L79" s="51"/>
      <c r="M79" s="53">
        <f>IF($B79="","",$G79+$H79+$I79+$J79)</f>
        <v/>
      </c>
    </row>
    <row r="80" spans="2:13" ht="17" customHeight="1">
      <c r="B80" s="54">
        <f>IF(INDEX(Properties!$A$6:$A$105,ROW()-ROW($B$30))="","",INDEX(Properties!$A$6:$A$105,ROW()-ROW($B$30)))</f>
        <v/>
      </c>
      <c r="C80" s="54"/>
      <c r="D80" s="54"/>
      <c r="E80" s="54"/>
      <c r="F80" s="54"/>
      <c r="G80" s="53">
        <f>IF($B80="","",SUMPRODUCT(('Compliance Log'!$A$6:$A$1005=$B80)*('Compliance Log'!$H$6:$H$1005="Overdue")))</f>
        <v/>
      </c>
      <c r="H80" s="53">
        <f>IF($B80="","",SUMPRODUCT(('Compliance Log'!$A$6:$A$1005=$B80)*(('Compliance Log'!$H$6:$H$1005="Due &lt;=30")+('Compliance Log'!$H$6:$H$1005="Due 31-60"))))</f>
        <v/>
      </c>
      <c r="I80" s="53">
        <f>IF($B80="","",SUMPRODUCT(('Compliance Log'!$A$6:$A$1005=$B80)*('Compliance Log'!$H$6:$H$1005="OK")))</f>
        <v/>
      </c>
      <c r="J80" s="53">
        <f>IF($B80="","",SUMPRODUCT(('Compliance Log'!$A$6:$A$1005=$B80)*('Compliance Log'!$H$6:$H$1005="No date")))</f>
        <v/>
      </c>
      <c r="K80" s="51">
        <f>IF($B80="","",IF($G80&gt;0,"Overdue",IF(SUMPRODUCT(('Compliance Log'!$A$6:$A$1005=$B80)*('Compliance Log'!$H$6:$H$1005="Due &lt;=30"))&gt;0,"Due &lt;=30",IF($H80&gt;0,"Due 31-60",IF($J80&gt;0,"No date",IF($I80&gt;0,"OK","No checks"))))))</f>
        <v/>
      </c>
      <c r="L80" s="51"/>
      <c r="M80" s="53">
        <f>IF($B80="","",$G80+$H80+$I80+$J80)</f>
        <v/>
      </c>
    </row>
    <row r="81" spans="2:13" ht="17" customHeight="1">
      <c r="B81" s="54">
        <f>IF(INDEX(Properties!$A$6:$A$105,ROW()-ROW($B$30))="","",INDEX(Properties!$A$6:$A$105,ROW()-ROW($B$30)))</f>
        <v/>
      </c>
      <c r="C81" s="54"/>
      <c r="D81" s="54"/>
      <c r="E81" s="54"/>
      <c r="F81" s="54"/>
      <c r="G81" s="53">
        <f>IF($B81="","",SUMPRODUCT(('Compliance Log'!$A$6:$A$1005=$B81)*('Compliance Log'!$H$6:$H$1005="Overdue")))</f>
        <v/>
      </c>
      <c r="H81" s="53">
        <f>IF($B81="","",SUMPRODUCT(('Compliance Log'!$A$6:$A$1005=$B81)*(('Compliance Log'!$H$6:$H$1005="Due &lt;=30")+('Compliance Log'!$H$6:$H$1005="Due 31-60"))))</f>
        <v/>
      </c>
      <c r="I81" s="53">
        <f>IF($B81="","",SUMPRODUCT(('Compliance Log'!$A$6:$A$1005=$B81)*('Compliance Log'!$H$6:$H$1005="OK")))</f>
        <v/>
      </c>
      <c r="J81" s="53">
        <f>IF($B81="","",SUMPRODUCT(('Compliance Log'!$A$6:$A$1005=$B81)*('Compliance Log'!$H$6:$H$1005="No date")))</f>
        <v/>
      </c>
      <c r="K81" s="51">
        <f>IF($B81="","",IF($G81&gt;0,"Overdue",IF(SUMPRODUCT(('Compliance Log'!$A$6:$A$1005=$B81)*('Compliance Log'!$H$6:$H$1005="Due &lt;=30"))&gt;0,"Due &lt;=30",IF($H81&gt;0,"Due 31-60",IF($J81&gt;0,"No date",IF($I81&gt;0,"OK","No checks"))))))</f>
        <v/>
      </c>
      <c r="L81" s="51"/>
      <c r="M81" s="53">
        <f>IF($B81="","",$G81+$H81+$I81+$J81)</f>
        <v/>
      </c>
    </row>
    <row r="82" spans="2:13" ht="17" customHeight="1">
      <c r="B82" s="54">
        <f>IF(INDEX(Properties!$A$6:$A$105,ROW()-ROW($B$30))="","",INDEX(Properties!$A$6:$A$105,ROW()-ROW($B$30)))</f>
        <v/>
      </c>
      <c r="C82" s="54"/>
      <c r="D82" s="54"/>
      <c r="E82" s="54"/>
      <c r="F82" s="54"/>
      <c r="G82" s="53">
        <f>IF($B82="","",SUMPRODUCT(('Compliance Log'!$A$6:$A$1005=$B82)*('Compliance Log'!$H$6:$H$1005="Overdue")))</f>
        <v/>
      </c>
      <c r="H82" s="53">
        <f>IF($B82="","",SUMPRODUCT(('Compliance Log'!$A$6:$A$1005=$B82)*(('Compliance Log'!$H$6:$H$1005="Due &lt;=30")+('Compliance Log'!$H$6:$H$1005="Due 31-60"))))</f>
        <v/>
      </c>
      <c r="I82" s="53">
        <f>IF($B82="","",SUMPRODUCT(('Compliance Log'!$A$6:$A$1005=$B82)*('Compliance Log'!$H$6:$H$1005="OK")))</f>
        <v/>
      </c>
      <c r="J82" s="53">
        <f>IF($B82="","",SUMPRODUCT(('Compliance Log'!$A$6:$A$1005=$B82)*('Compliance Log'!$H$6:$H$1005="No date")))</f>
        <v/>
      </c>
      <c r="K82" s="51">
        <f>IF($B82="","",IF($G82&gt;0,"Overdue",IF(SUMPRODUCT(('Compliance Log'!$A$6:$A$1005=$B82)*('Compliance Log'!$H$6:$H$1005="Due &lt;=30"))&gt;0,"Due &lt;=30",IF($H82&gt;0,"Due 31-60",IF($J82&gt;0,"No date",IF($I82&gt;0,"OK","No checks"))))))</f>
        <v/>
      </c>
      <c r="L82" s="51"/>
      <c r="M82" s="53">
        <f>IF($B82="","",$G82+$H82+$I82+$J82)</f>
        <v/>
      </c>
    </row>
    <row r="83" spans="2:13" ht="17" customHeight="1">
      <c r="B83" s="54">
        <f>IF(INDEX(Properties!$A$6:$A$105,ROW()-ROW($B$30))="","",INDEX(Properties!$A$6:$A$105,ROW()-ROW($B$30)))</f>
        <v/>
      </c>
      <c r="C83" s="54"/>
      <c r="D83" s="54"/>
      <c r="E83" s="54"/>
      <c r="F83" s="54"/>
      <c r="G83" s="53">
        <f>IF($B83="","",SUMPRODUCT(('Compliance Log'!$A$6:$A$1005=$B83)*('Compliance Log'!$H$6:$H$1005="Overdue")))</f>
        <v/>
      </c>
      <c r="H83" s="53">
        <f>IF($B83="","",SUMPRODUCT(('Compliance Log'!$A$6:$A$1005=$B83)*(('Compliance Log'!$H$6:$H$1005="Due &lt;=30")+('Compliance Log'!$H$6:$H$1005="Due 31-60"))))</f>
        <v/>
      </c>
      <c r="I83" s="53">
        <f>IF($B83="","",SUMPRODUCT(('Compliance Log'!$A$6:$A$1005=$B83)*('Compliance Log'!$H$6:$H$1005="OK")))</f>
        <v/>
      </c>
      <c r="J83" s="53">
        <f>IF($B83="","",SUMPRODUCT(('Compliance Log'!$A$6:$A$1005=$B83)*('Compliance Log'!$H$6:$H$1005="No date")))</f>
        <v/>
      </c>
      <c r="K83" s="51">
        <f>IF($B83="","",IF($G83&gt;0,"Overdue",IF(SUMPRODUCT(('Compliance Log'!$A$6:$A$1005=$B83)*('Compliance Log'!$H$6:$H$1005="Due &lt;=30"))&gt;0,"Due &lt;=30",IF($H83&gt;0,"Due 31-60",IF($J83&gt;0,"No date",IF($I83&gt;0,"OK","No checks"))))))</f>
        <v/>
      </c>
      <c r="L83" s="51"/>
      <c r="M83" s="53">
        <f>IF($B83="","",$G83+$H83+$I83+$J83)</f>
        <v/>
      </c>
    </row>
    <row r="84" spans="2:13" ht="17" customHeight="1">
      <c r="B84" s="54">
        <f>IF(INDEX(Properties!$A$6:$A$105,ROW()-ROW($B$30))="","",INDEX(Properties!$A$6:$A$105,ROW()-ROW($B$30)))</f>
        <v/>
      </c>
      <c r="C84" s="54"/>
      <c r="D84" s="54"/>
      <c r="E84" s="54"/>
      <c r="F84" s="54"/>
      <c r="G84" s="53">
        <f>IF($B84="","",SUMPRODUCT(('Compliance Log'!$A$6:$A$1005=$B84)*('Compliance Log'!$H$6:$H$1005="Overdue")))</f>
        <v/>
      </c>
      <c r="H84" s="53">
        <f>IF($B84="","",SUMPRODUCT(('Compliance Log'!$A$6:$A$1005=$B84)*(('Compliance Log'!$H$6:$H$1005="Due &lt;=30")+('Compliance Log'!$H$6:$H$1005="Due 31-60"))))</f>
        <v/>
      </c>
      <c r="I84" s="53">
        <f>IF($B84="","",SUMPRODUCT(('Compliance Log'!$A$6:$A$1005=$B84)*('Compliance Log'!$H$6:$H$1005="OK")))</f>
        <v/>
      </c>
      <c r="J84" s="53">
        <f>IF($B84="","",SUMPRODUCT(('Compliance Log'!$A$6:$A$1005=$B84)*('Compliance Log'!$H$6:$H$1005="No date")))</f>
        <v/>
      </c>
      <c r="K84" s="51">
        <f>IF($B84="","",IF($G84&gt;0,"Overdue",IF(SUMPRODUCT(('Compliance Log'!$A$6:$A$1005=$B84)*('Compliance Log'!$H$6:$H$1005="Due &lt;=30"))&gt;0,"Due &lt;=30",IF($H84&gt;0,"Due 31-60",IF($J84&gt;0,"No date",IF($I84&gt;0,"OK","No checks"))))))</f>
        <v/>
      </c>
      <c r="L84" s="51"/>
      <c r="M84" s="53">
        <f>IF($B84="","",$G84+$H84+$I84+$J84)</f>
        <v/>
      </c>
    </row>
    <row r="85" spans="2:13" ht="17" customHeight="1">
      <c r="B85" s="54">
        <f>IF(INDEX(Properties!$A$6:$A$105,ROW()-ROW($B$30))="","",INDEX(Properties!$A$6:$A$105,ROW()-ROW($B$30)))</f>
        <v/>
      </c>
      <c r="C85" s="54"/>
      <c r="D85" s="54"/>
      <c r="E85" s="54"/>
      <c r="F85" s="54"/>
      <c r="G85" s="53">
        <f>IF($B85="","",SUMPRODUCT(('Compliance Log'!$A$6:$A$1005=$B85)*('Compliance Log'!$H$6:$H$1005="Overdue")))</f>
        <v/>
      </c>
      <c r="H85" s="53">
        <f>IF($B85="","",SUMPRODUCT(('Compliance Log'!$A$6:$A$1005=$B85)*(('Compliance Log'!$H$6:$H$1005="Due &lt;=30")+('Compliance Log'!$H$6:$H$1005="Due 31-60"))))</f>
        <v/>
      </c>
      <c r="I85" s="53">
        <f>IF($B85="","",SUMPRODUCT(('Compliance Log'!$A$6:$A$1005=$B85)*('Compliance Log'!$H$6:$H$1005="OK")))</f>
        <v/>
      </c>
      <c r="J85" s="53">
        <f>IF($B85="","",SUMPRODUCT(('Compliance Log'!$A$6:$A$1005=$B85)*('Compliance Log'!$H$6:$H$1005="No date")))</f>
        <v/>
      </c>
      <c r="K85" s="51">
        <f>IF($B85="","",IF($G85&gt;0,"Overdue",IF(SUMPRODUCT(('Compliance Log'!$A$6:$A$1005=$B85)*('Compliance Log'!$H$6:$H$1005="Due &lt;=30"))&gt;0,"Due &lt;=30",IF($H85&gt;0,"Due 31-60",IF($J85&gt;0,"No date",IF($I85&gt;0,"OK","No checks"))))))</f>
        <v/>
      </c>
      <c r="L85" s="51"/>
      <c r="M85" s="53">
        <f>IF($B85="","",$G85+$H85+$I85+$J85)</f>
        <v/>
      </c>
    </row>
    <row r="86" spans="2:13" ht="17" customHeight="1">
      <c r="B86" s="54">
        <f>IF(INDEX(Properties!$A$6:$A$105,ROW()-ROW($B$30))="","",INDEX(Properties!$A$6:$A$105,ROW()-ROW($B$30)))</f>
        <v/>
      </c>
      <c r="C86" s="54"/>
      <c r="D86" s="54"/>
      <c r="E86" s="54"/>
      <c r="F86" s="54"/>
      <c r="G86" s="53">
        <f>IF($B86="","",SUMPRODUCT(('Compliance Log'!$A$6:$A$1005=$B86)*('Compliance Log'!$H$6:$H$1005="Overdue")))</f>
        <v/>
      </c>
      <c r="H86" s="53">
        <f>IF($B86="","",SUMPRODUCT(('Compliance Log'!$A$6:$A$1005=$B86)*(('Compliance Log'!$H$6:$H$1005="Due &lt;=30")+('Compliance Log'!$H$6:$H$1005="Due 31-60"))))</f>
        <v/>
      </c>
      <c r="I86" s="53">
        <f>IF($B86="","",SUMPRODUCT(('Compliance Log'!$A$6:$A$1005=$B86)*('Compliance Log'!$H$6:$H$1005="OK")))</f>
        <v/>
      </c>
      <c r="J86" s="53">
        <f>IF($B86="","",SUMPRODUCT(('Compliance Log'!$A$6:$A$1005=$B86)*('Compliance Log'!$H$6:$H$1005="No date")))</f>
        <v/>
      </c>
      <c r="K86" s="51">
        <f>IF($B86="","",IF($G86&gt;0,"Overdue",IF(SUMPRODUCT(('Compliance Log'!$A$6:$A$1005=$B86)*('Compliance Log'!$H$6:$H$1005="Due &lt;=30"))&gt;0,"Due &lt;=30",IF($H86&gt;0,"Due 31-60",IF($J86&gt;0,"No date",IF($I86&gt;0,"OK","No checks"))))))</f>
        <v/>
      </c>
      <c r="L86" s="51"/>
      <c r="M86" s="53">
        <f>IF($B86="","",$G86+$H86+$I86+$J86)</f>
        <v/>
      </c>
    </row>
    <row r="87" spans="2:13" ht="17" customHeight="1">
      <c r="B87" s="54">
        <f>IF(INDEX(Properties!$A$6:$A$105,ROW()-ROW($B$30))="","",INDEX(Properties!$A$6:$A$105,ROW()-ROW($B$30)))</f>
        <v/>
      </c>
      <c r="C87" s="54"/>
      <c r="D87" s="54"/>
      <c r="E87" s="54"/>
      <c r="F87" s="54"/>
      <c r="G87" s="53">
        <f>IF($B87="","",SUMPRODUCT(('Compliance Log'!$A$6:$A$1005=$B87)*('Compliance Log'!$H$6:$H$1005="Overdue")))</f>
        <v/>
      </c>
      <c r="H87" s="53">
        <f>IF($B87="","",SUMPRODUCT(('Compliance Log'!$A$6:$A$1005=$B87)*(('Compliance Log'!$H$6:$H$1005="Due &lt;=30")+('Compliance Log'!$H$6:$H$1005="Due 31-60"))))</f>
        <v/>
      </c>
      <c r="I87" s="53">
        <f>IF($B87="","",SUMPRODUCT(('Compliance Log'!$A$6:$A$1005=$B87)*('Compliance Log'!$H$6:$H$1005="OK")))</f>
        <v/>
      </c>
      <c r="J87" s="53">
        <f>IF($B87="","",SUMPRODUCT(('Compliance Log'!$A$6:$A$1005=$B87)*('Compliance Log'!$H$6:$H$1005="No date")))</f>
        <v/>
      </c>
      <c r="K87" s="51">
        <f>IF($B87="","",IF($G87&gt;0,"Overdue",IF(SUMPRODUCT(('Compliance Log'!$A$6:$A$1005=$B87)*('Compliance Log'!$H$6:$H$1005="Due &lt;=30"))&gt;0,"Due &lt;=30",IF($H87&gt;0,"Due 31-60",IF($J87&gt;0,"No date",IF($I87&gt;0,"OK","No checks"))))))</f>
        <v/>
      </c>
      <c r="L87" s="51"/>
      <c r="M87" s="53">
        <f>IF($B87="","",$G87+$H87+$I87+$J87)</f>
        <v/>
      </c>
    </row>
    <row r="88" spans="2:13" ht="17" customHeight="1">
      <c r="B88" s="54">
        <f>IF(INDEX(Properties!$A$6:$A$105,ROW()-ROW($B$30))="","",INDEX(Properties!$A$6:$A$105,ROW()-ROW($B$30)))</f>
        <v/>
      </c>
      <c r="C88" s="54"/>
      <c r="D88" s="54"/>
      <c r="E88" s="54"/>
      <c r="F88" s="54"/>
      <c r="G88" s="53">
        <f>IF($B88="","",SUMPRODUCT(('Compliance Log'!$A$6:$A$1005=$B88)*('Compliance Log'!$H$6:$H$1005="Overdue")))</f>
        <v/>
      </c>
      <c r="H88" s="53">
        <f>IF($B88="","",SUMPRODUCT(('Compliance Log'!$A$6:$A$1005=$B88)*(('Compliance Log'!$H$6:$H$1005="Due &lt;=30")+('Compliance Log'!$H$6:$H$1005="Due 31-60"))))</f>
        <v/>
      </c>
      <c r="I88" s="53">
        <f>IF($B88="","",SUMPRODUCT(('Compliance Log'!$A$6:$A$1005=$B88)*('Compliance Log'!$H$6:$H$1005="OK")))</f>
        <v/>
      </c>
      <c r="J88" s="53">
        <f>IF($B88="","",SUMPRODUCT(('Compliance Log'!$A$6:$A$1005=$B88)*('Compliance Log'!$H$6:$H$1005="No date")))</f>
        <v/>
      </c>
      <c r="K88" s="51">
        <f>IF($B88="","",IF($G88&gt;0,"Overdue",IF(SUMPRODUCT(('Compliance Log'!$A$6:$A$1005=$B88)*('Compliance Log'!$H$6:$H$1005="Due &lt;=30"))&gt;0,"Due &lt;=30",IF($H88&gt;0,"Due 31-60",IF($J88&gt;0,"No date",IF($I88&gt;0,"OK","No checks"))))))</f>
        <v/>
      </c>
      <c r="L88" s="51"/>
      <c r="M88" s="53">
        <f>IF($B88="","",$G88+$H88+$I88+$J88)</f>
        <v/>
      </c>
    </row>
    <row r="89" spans="2:13" ht="17" customHeight="1">
      <c r="B89" s="54">
        <f>IF(INDEX(Properties!$A$6:$A$105,ROW()-ROW($B$30))="","",INDEX(Properties!$A$6:$A$105,ROW()-ROW($B$30)))</f>
        <v/>
      </c>
      <c r="C89" s="54"/>
      <c r="D89" s="54"/>
      <c r="E89" s="54"/>
      <c r="F89" s="54"/>
      <c r="G89" s="53">
        <f>IF($B89="","",SUMPRODUCT(('Compliance Log'!$A$6:$A$1005=$B89)*('Compliance Log'!$H$6:$H$1005="Overdue")))</f>
        <v/>
      </c>
      <c r="H89" s="53">
        <f>IF($B89="","",SUMPRODUCT(('Compliance Log'!$A$6:$A$1005=$B89)*(('Compliance Log'!$H$6:$H$1005="Due &lt;=30")+('Compliance Log'!$H$6:$H$1005="Due 31-60"))))</f>
        <v/>
      </c>
      <c r="I89" s="53">
        <f>IF($B89="","",SUMPRODUCT(('Compliance Log'!$A$6:$A$1005=$B89)*('Compliance Log'!$H$6:$H$1005="OK")))</f>
        <v/>
      </c>
      <c r="J89" s="53">
        <f>IF($B89="","",SUMPRODUCT(('Compliance Log'!$A$6:$A$1005=$B89)*('Compliance Log'!$H$6:$H$1005="No date")))</f>
        <v/>
      </c>
      <c r="K89" s="51">
        <f>IF($B89="","",IF($G89&gt;0,"Overdue",IF(SUMPRODUCT(('Compliance Log'!$A$6:$A$1005=$B89)*('Compliance Log'!$H$6:$H$1005="Due &lt;=30"))&gt;0,"Due &lt;=30",IF($H89&gt;0,"Due 31-60",IF($J89&gt;0,"No date",IF($I89&gt;0,"OK","No checks"))))))</f>
        <v/>
      </c>
      <c r="L89" s="51"/>
      <c r="M89" s="53">
        <f>IF($B89="","",$G89+$H89+$I89+$J89)</f>
        <v/>
      </c>
    </row>
    <row r="90" spans="2:13" ht="17" customHeight="1">
      <c r="B90" s="54">
        <f>IF(INDEX(Properties!$A$6:$A$105,ROW()-ROW($B$30))="","",INDEX(Properties!$A$6:$A$105,ROW()-ROW($B$30)))</f>
        <v/>
      </c>
      <c r="C90" s="54"/>
      <c r="D90" s="54"/>
      <c r="E90" s="54"/>
      <c r="F90" s="54"/>
      <c r="G90" s="53">
        <f>IF($B90="","",SUMPRODUCT(('Compliance Log'!$A$6:$A$1005=$B90)*('Compliance Log'!$H$6:$H$1005="Overdue")))</f>
        <v/>
      </c>
      <c r="H90" s="53">
        <f>IF($B90="","",SUMPRODUCT(('Compliance Log'!$A$6:$A$1005=$B90)*(('Compliance Log'!$H$6:$H$1005="Due &lt;=30")+('Compliance Log'!$H$6:$H$1005="Due 31-60"))))</f>
        <v/>
      </c>
      <c r="I90" s="53">
        <f>IF($B90="","",SUMPRODUCT(('Compliance Log'!$A$6:$A$1005=$B90)*('Compliance Log'!$H$6:$H$1005="OK")))</f>
        <v/>
      </c>
      <c r="J90" s="53">
        <f>IF($B90="","",SUMPRODUCT(('Compliance Log'!$A$6:$A$1005=$B90)*('Compliance Log'!$H$6:$H$1005="No date")))</f>
        <v/>
      </c>
      <c r="K90" s="51">
        <f>IF($B90="","",IF($G90&gt;0,"Overdue",IF(SUMPRODUCT(('Compliance Log'!$A$6:$A$1005=$B90)*('Compliance Log'!$H$6:$H$1005="Due &lt;=30"))&gt;0,"Due &lt;=30",IF($H90&gt;0,"Due 31-60",IF($J90&gt;0,"No date",IF($I90&gt;0,"OK","No checks"))))))</f>
        <v/>
      </c>
      <c r="L90" s="51"/>
      <c r="M90" s="53">
        <f>IF($B90="","",$G90+$H90+$I90+$J90)</f>
        <v/>
      </c>
    </row>
    <row r="91" spans="2:13" ht="17" customHeight="1">
      <c r="B91" s="54">
        <f>IF(INDEX(Properties!$A$6:$A$105,ROW()-ROW($B$30))="","",INDEX(Properties!$A$6:$A$105,ROW()-ROW($B$30)))</f>
        <v/>
      </c>
      <c r="C91" s="54"/>
      <c r="D91" s="54"/>
      <c r="E91" s="54"/>
      <c r="F91" s="54"/>
      <c r="G91" s="53">
        <f>IF($B91="","",SUMPRODUCT(('Compliance Log'!$A$6:$A$1005=$B91)*('Compliance Log'!$H$6:$H$1005="Overdue")))</f>
        <v/>
      </c>
      <c r="H91" s="53">
        <f>IF($B91="","",SUMPRODUCT(('Compliance Log'!$A$6:$A$1005=$B91)*(('Compliance Log'!$H$6:$H$1005="Due &lt;=30")+('Compliance Log'!$H$6:$H$1005="Due 31-60"))))</f>
        <v/>
      </c>
      <c r="I91" s="53">
        <f>IF($B91="","",SUMPRODUCT(('Compliance Log'!$A$6:$A$1005=$B91)*('Compliance Log'!$H$6:$H$1005="OK")))</f>
        <v/>
      </c>
      <c r="J91" s="53">
        <f>IF($B91="","",SUMPRODUCT(('Compliance Log'!$A$6:$A$1005=$B91)*('Compliance Log'!$H$6:$H$1005="No date")))</f>
        <v/>
      </c>
      <c r="K91" s="51">
        <f>IF($B91="","",IF($G91&gt;0,"Overdue",IF(SUMPRODUCT(('Compliance Log'!$A$6:$A$1005=$B91)*('Compliance Log'!$H$6:$H$1005="Due &lt;=30"))&gt;0,"Due &lt;=30",IF($H91&gt;0,"Due 31-60",IF($J91&gt;0,"No date",IF($I91&gt;0,"OK","No checks"))))))</f>
        <v/>
      </c>
      <c r="L91" s="51"/>
      <c r="M91" s="53">
        <f>IF($B91="","",$G91+$H91+$I91+$J91)</f>
        <v/>
      </c>
    </row>
    <row r="92" spans="2:13" ht="17" customHeight="1">
      <c r="B92" s="54">
        <f>IF(INDEX(Properties!$A$6:$A$105,ROW()-ROW($B$30))="","",INDEX(Properties!$A$6:$A$105,ROW()-ROW($B$30)))</f>
        <v/>
      </c>
      <c r="C92" s="54"/>
      <c r="D92" s="54"/>
      <c r="E92" s="54"/>
      <c r="F92" s="54"/>
      <c r="G92" s="53">
        <f>IF($B92="","",SUMPRODUCT(('Compliance Log'!$A$6:$A$1005=$B92)*('Compliance Log'!$H$6:$H$1005="Overdue")))</f>
        <v/>
      </c>
      <c r="H92" s="53">
        <f>IF($B92="","",SUMPRODUCT(('Compliance Log'!$A$6:$A$1005=$B92)*(('Compliance Log'!$H$6:$H$1005="Due &lt;=30")+('Compliance Log'!$H$6:$H$1005="Due 31-60"))))</f>
        <v/>
      </c>
      <c r="I92" s="53">
        <f>IF($B92="","",SUMPRODUCT(('Compliance Log'!$A$6:$A$1005=$B92)*('Compliance Log'!$H$6:$H$1005="OK")))</f>
        <v/>
      </c>
      <c r="J92" s="53">
        <f>IF($B92="","",SUMPRODUCT(('Compliance Log'!$A$6:$A$1005=$B92)*('Compliance Log'!$H$6:$H$1005="No date")))</f>
        <v/>
      </c>
      <c r="K92" s="51">
        <f>IF($B92="","",IF($G92&gt;0,"Overdue",IF(SUMPRODUCT(('Compliance Log'!$A$6:$A$1005=$B92)*('Compliance Log'!$H$6:$H$1005="Due &lt;=30"))&gt;0,"Due &lt;=30",IF($H92&gt;0,"Due 31-60",IF($J92&gt;0,"No date",IF($I92&gt;0,"OK","No checks"))))))</f>
        <v/>
      </c>
      <c r="L92" s="51"/>
      <c r="M92" s="53">
        <f>IF($B92="","",$G92+$H92+$I92+$J92)</f>
        <v/>
      </c>
    </row>
    <row r="93" spans="2:13" ht="17" customHeight="1">
      <c r="B93" s="54">
        <f>IF(INDEX(Properties!$A$6:$A$105,ROW()-ROW($B$30))="","",INDEX(Properties!$A$6:$A$105,ROW()-ROW($B$30)))</f>
        <v/>
      </c>
      <c r="C93" s="54"/>
      <c r="D93" s="54"/>
      <c r="E93" s="54"/>
      <c r="F93" s="54"/>
      <c r="G93" s="53">
        <f>IF($B93="","",SUMPRODUCT(('Compliance Log'!$A$6:$A$1005=$B93)*('Compliance Log'!$H$6:$H$1005="Overdue")))</f>
        <v/>
      </c>
      <c r="H93" s="53">
        <f>IF($B93="","",SUMPRODUCT(('Compliance Log'!$A$6:$A$1005=$B93)*(('Compliance Log'!$H$6:$H$1005="Due &lt;=30")+('Compliance Log'!$H$6:$H$1005="Due 31-60"))))</f>
        <v/>
      </c>
      <c r="I93" s="53">
        <f>IF($B93="","",SUMPRODUCT(('Compliance Log'!$A$6:$A$1005=$B93)*('Compliance Log'!$H$6:$H$1005="OK")))</f>
        <v/>
      </c>
      <c r="J93" s="53">
        <f>IF($B93="","",SUMPRODUCT(('Compliance Log'!$A$6:$A$1005=$B93)*('Compliance Log'!$H$6:$H$1005="No date")))</f>
        <v/>
      </c>
      <c r="K93" s="51">
        <f>IF($B93="","",IF($G93&gt;0,"Overdue",IF(SUMPRODUCT(('Compliance Log'!$A$6:$A$1005=$B93)*('Compliance Log'!$H$6:$H$1005="Due &lt;=30"))&gt;0,"Due &lt;=30",IF($H93&gt;0,"Due 31-60",IF($J93&gt;0,"No date",IF($I93&gt;0,"OK","No checks"))))))</f>
        <v/>
      </c>
      <c r="L93" s="51"/>
      <c r="M93" s="53">
        <f>IF($B93="","",$G93+$H93+$I93+$J93)</f>
        <v/>
      </c>
    </row>
    <row r="94" spans="2:13" ht="17" customHeight="1">
      <c r="B94" s="54">
        <f>IF(INDEX(Properties!$A$6:$A$105,ROW()-ROW($B$30))="","",INDEX(Properties!$A$6:$A$105,ROW()-ROW($B$30)))</f>
        <v/>
      </c>
      <c r="C94" s="54"/>
      <c r="D94" s="54"/>
      <c r="E94" s="54"/>
      <c r="F94" s="54"/>
      <c r="G94" s="53">
        <f>IF($B94="","",SUMPRODUCT(('Compliance Log'!$A$6:$A$1005=$B94)*('Compliance Log'!$H$6:$H$1005="Overdue")))</f>
        <v/>
      </c>
      <c r="H94" s="53">
        <f>IF($B94="","",SUMPRODUCT(('Compliance Log'!$A$6:$A$1005=$B94)*(('Compliance Log'!$H$6:$H$1005="Due &lt;=30")+('Compliance Log'!$H$6:$H$1005="Due 31-60"))))</f>
        <v/>
      </c>
      <c r="I94" s="53">
        <f>IF($B94="","",SUMPRODUCT(('Compliance Log'!$A$6:$A$1005=$B94)*('Compliance Log'!$H$6:$H$1005="OK")))</f>
        <v/>
      </c>
      <c r="J94" s="53">
        <f>IF($B94="","",SUMPRODUCT(('Compliance Log'!$A$6:$A$1005=$B94)*('Compliance Log'!$H$6:$H$1005="No date")))</f>
        <v/>
      </c>
      <c r="K94" s="51">
        <f>IF($B94="","",IF($G94&gt;0,"Overdue",IF(SUMPRODUCT(('Compliance Log'!$A$6:$A$1005=$B94)*('Compliance Log'!$H$6:$H$1005="Due &lt;=30"))&gt;0,"Due &lt;=30",IF($H94&gt;0,"Due 31-60",IF($J94&gt;0,"No date",IF($I94&gt;0,"OK","No checks"))))))</f>
        <v/>
      </c>
      <c r="L94" s="51"/>
      <c r="M94" s="53">
        <f>IF($B94="","",$G94+$H94+$I94+$J94)</f>
        <v/>
      </c>
    </row>
    <row r="95" spans="2:13" ht="17" customHeight="1">
      <c r="B95" s="54">
        <f>IF(INDEX(Properties!$A$6:$A$105,ROW()-ROW($B$30))="","",INDEX(Properties!$A$6:$A$105,ROW()-ROW($B$30)))</f>
        <v/>
      </c>
      <c r="C95" s="54"/>
      <c r="D95" s="54"/>
      <c r="E95" s="54"/>
      <c r="F95" s="54"/>
      <c r="G95" s="53">
        <f>IF($B95="","",SUMPRODUCT(('Compliance Log'!$A$6:$A$1005=$B95)*('Compliance Log'!$H$6:$H$1005="Overdue")))</f>
        <v/>
      </c>
      <c r="H95" s="53">
        <f>IF($B95="","",SUMPRODUCT(('Compliance Log'!$A$6:$A$1005=$B95)*(('Compliance Log'!$H$6:$H$1005="Due &lt;=30")+('Compliance Log'!$H$6:$H$1005="Due 31-60"))))</f>
        <v/>
      </c>
      <c r="I95" s="53">
        <f>IF($B95="","",SUMPRODUCT(('Compliance Log'!$A$6:$A$1005=$B95)*('Compliance Log'!$H$6:$H$1005="OK")))</f>
        <v/>
      </c>
      <c r="J95" s="53">
        <f>IF($B95="","",SUMPRODUCT(('Compliance Log'!$A$6:$A$1005=$B95)*('Compliance Log'!$H$6:$H$1005="No date")))</f>
        <v/>
      </c>
      <c r="K95" s="51">
        <f>IF($B95="","",IF($G95&gt;0,"Overdue",IF(SUMPRODUCT(('Compliance Log'!$A$6:$A$1005=$B95)*('Compliance Log'!$H$6:$H$1005="Due &lt;=30"))&gt;0,"Due &lt;=30",IF($H95&gt;0,"Due 31-60",IF($J95&gt;0,"No date",IF($I95&gt;0,"OK","No checks"))))))</f>
        <v/>
      </c>
      <c r="L95" s="51"/>
      <c r="M95" s="53">
        <f>IF($B95="","",$G95+$H95+$I95+$J95)</f>
        <v/>
      </c>
    </row>
    <row r="96" spans="2:13" ht="17" customHeight="1">
      <c r="B96" s="54">
        <f>IF(INDEX(Properties!$A$6:$A$105,ROW()-ROW($B$30))="","",INDEX(Properties!$A$6:$A$105,ROW()-ROW($B$30)))</f>
        <v/>
      </c>
      <c r="C96" s="54"/>
      <c r="D96" s="54"/>
      <c r="E96" s="54"/>
      <c r="F96" s="54"/>
      <c r="G96" s="53">
        <f>IF($B96="","",SUMPRODUCT(('Compliance Log'!$A$6:$A$1005=$B96)*('Compliance Log'!$H$6:$H$1005="Overdue")))</f>
        <v/>
      </c>
      <c r="H96" s="53">
        <f>IF($B96="","",SUMPRODUCT(('Compliance Log'!$A$6:$A$1005=$B96)*(('Compliance Log'!$H$6:$H$1005="Due &lt;=30")+('Compliance Log'!$H$6:$H$1005="Due 31-60"))))</f>
        <v/>
      </c>
      <c r="I96" s="53">
        <f>IF($B96="","",SUMPRODUCT(('Compliance Log'!$A$6:$A$1005=$B96)*('Compliance Log'!$H$6:$H$1005="OK")))</f>
        <v/>
      </c>
      <c r="J96" s="53">
        <f>IF($B96="","",SUMPRODUCT(('Compliance Log'!$A$6:$A$1005=$B96)*('Compliance Log'!$H$6:$H$1005="No date")))</f>
        <v/>
      </c>
      <c r="K96" s="51">
        <f>IF($B96="","",IF($G96&gt;0,"Overdue",IF(SUMPRODUCT(('Compliance Log'!$A$6:$A$1005=$B96)*('Compliance Log'!$H$6:$H$1005="Due &lt;=30"))&gt;0,"Due &lt;=30",IF($H96&gt;0,"Due 31-60",IF($J96&gt;0,"No date",IF($I96&gt;0,"OK","No checks"))))))</f>
        <v/>
      </c>
      <c r="L96" s="51"/>
      <c r="M96" s="53">
        <f>IF($B96="","",$G96+$H96+$I96+$J96)</f>
        <v/>
      </c>
    </row>
    <row r="97" spans="2:13" ht="17" customHeight="1">
      <c r="B97" s="54">
        <f>IF(INDEX(Properties!$A$6:$A$105,ROW()-ROW($B$30))="","",INDEX(Properties!$A$6:$A$105,ROW()-ROW($B$30)))</f>
        <v/>
      </c>
      <c r="C97" s="54"/>
      <c r="D97" s="54"/>
      <c r="E97" s="54"/>
      <c r="F97" s="54"/>
      <c r="G97" s="53">
        <f>IF($B97="","",SUMPRODUCT(('Compliance Log'!$A$6:$A$1005=$B97)*('Compliance Log'!$H$6:$H$1005="Overdue")))</f>
        <v/>
      </c>
      <c r="H97" s="53">
        <f>IF($B97="","",SUMPRODUCT(('Compliance Log'!$A$6:$A$1005=$B97)*(('Compliance Log'!$H$6:$H$1005="Due &lt;=30")+('Compliance Log'!$H$6:$H$1005="Due 31-60"))))</f>
        <v/>
      </c>
      <c r="I97" s="53">
        <f>IF($B97="","",SUMPRODUCT(('Compliance Log'!$A$6:$A$1005=$B97)*('Compliance Log'!$H$6:$H$1005="OK")))</f>
        <v/>
      </c>
      <c r="J97" s="53">
        <f>IF($B97="","",SUMPRODUCT(('Compliance Log'!$A$6:$A$1005=$B97)*('Compliance Log'!$H$6:$H$1005="No date")))</f>
        <v/>
      </c>
      <c r="K97" s="51">
        <f>IF($B97="","",IF($G97&gt;0,"Overdue",IF(SUMPRODUCT(('Compliance Log'!$A$6:$A$1005=$B97)*('Compliance Log'!$H$6:$H$1005="Due &lt;=30"))&gt;0,"Due &lt;=30",IF($H97&gt;0,"Due 31-60",IF($J97&gt;0,"No date",IF($I97&gt;0,"OK","No checks"))))))</f>
        <v/>
      </c>
      <c r="L97" s="51"/>
      <c r="M97" s="53">
        <f>IF($B97="","",$G97+$H97+$I97+$J97)</f>
        <v/>
      </c>
    </row>
    <row r="98" spans="2:13" ht="17" customHeight="1">
      <c r="B98" s="54">
        <f>IF(INDEX(Properties!$A$6:$A$105,ROW()-ROW($B$30))="","",INDEX(Properties!$A$6:$A$105,ROW()-ROW($B$30)))</f>
        <v/>
      </c>
      <c r="C98" s="54"/>
      <c r="D98" s="54"/>
      <c r="E98" s="54"/>
      <c r="F98" s="54"/>
      <c r="G98" s="53">
        <f>IF($B98="","",SUMPRODUCT(('Compliance Log'!$A$6:$A$1005=$B98)*('Compliance Log'!$H$6:$H$1005="Overdue")))</f>
        <v/>
      </c>
      <c r="H98" s="53">
        <f>IF($B98="","",SUMPRODUCT(('Compliance Log'!$A$6:$A$1005=$B98)*(('Compliance Log'!$H$6:$H$1005="Due &lt;=30")+('Compliance Log'!$H$6:$H$1005="Due 31-60"))))</f>
        <v/>
      </c>
      <c r="I98" s="53">
        <f>IF($B98="","",SUMPRODUCT(('Compliance Log'!$A$6:$A$1005=$B98)*('Compliance Log'!$H$6:$H$1005="OK")))</f>
        <v/>
      </c>
      <c r="J98" s="53">
        <f>IF($B98="","",SUMPRODUCT(('Compliance Log'!$A$6:$A$1005=$B98)*('Compliance Log'!$H$6:$H$1005="No date")))</f>
        <v/>
      </c>
      <c r="K98" s="51">
        <f>IF($B98="","",IF($G98&gt;0,"Overdue",IF(SUMPRODUCT(('Compliance Log'!$A$6:$A$1005=$B98)*('Compliance Log'!$H$6:$H$1005="Due &lt;=30"))&gt;0,"Due &lt;=30",IF($H98&gt;0,"Due 31-60",IF($J98&gt;0,"No date",IF($I98&gt;0,"OK","No checks"))))))</f>
        <v/>
      </c>
      <c r="L98" s="51"/>
      <c r="M98" s="53">
        <f>IF($B98="","",$G98+$H98+$I98+$J98)</f>
        <v/>
      </c>
    </row>
    <row r="99" spans="2:13" ht="17" customHeight="1">
      <c r="B99" s="54">
        <f>IF(INDEX(Properties!$A$6:$A$105,ROW()-ROW($B$30))="","",INDEX(Properties!$A$6:$A$105,ROW()-ROW($B$30)))</f>
        <v/>
      </c>
      <c r="C99" s="54"/>
      <c r="D99" s="54"/>
      <c r="E99" s="54"/>
      <c r="F99" s="54"/>
      <c r="G99" s="53">
        <f>IF($B99="","",SUMPRODUCT(('Compliance Log'!$A$6:$A$1005=$B99)*('Compliance Log'!$H$6:$H$1005="Overdue")))</f>
        <v/>
      </c>
      <c r="H99" s="53">
        <f>IF($B99="","",SUMPRODUCT(('Compliance Log'!$A$6:$A$1005=$B99)*(('Compliance Log'!$H$6:$H$1005="Due &lt;=30")+('Compliance Log'!$H$6:$H$1005="Due 31-60"))))</f>
        <v/>
      </c>
      <c r="I99" s="53">
        <f>IF($B99="","",SUMPRODUCT(('Compliance Log'!$A$6:$A$1005=$B99)*('Compliance Log'!$H$6:$H$1005="OK")))</f>
        <v/>
      </c>
      <c r="J99" s="53">
        <f>IF($B99="","",SUMPRODUCT(('Compliance Log'!$A$6:$A$1005=$B99)*('Compliance Log'!$H$6:$H$1005="No date")))</f>
        <v/>
      </c>
      <c r="K99" s="51">
        <f>IF($B99="","",IF($G99&gt;0,"Overdue",IF(SUMPRODUCT(('Compliance Log'!$A$6:$A$1005=$B99)*('Compliance Log'!$H$6:$H$1005="Due &lt;=30"))&gt;0,"Due &lt;=30",IF($H99&gt;0,"Due 31-60",IF($J99&gt;0,"No date",IF($I99&gt;0,"OK","No checks"))))))</f>
        <v/>
      </c>
      <c r="L99" s="51"/>
      <c r="M99" s="53">
        <f>IF($B99="","",$G99+$H99+$I99+$J99)</f>
        <v/>
      </c>
    </row>
    <row r="100" spans="2:13" ht="17" customHeight="1">
      <c r="B100" s="54">
        <f>IF(INDEX(Properties!$A$6:$A$105,ROW()-ROW($B$30))="","",INDEX(Properties!$A$6:$A$105,ROW()-ROW($B$30)))</f>
        <v/>
      </c>
      <c r="C100" s="54"/>
      <c r="D100" s="54"/>
      <c r="E100" s="54"/>
      <c r="F100" s="54"/>
      <c r="G100" s="53">
        <f>IF($B100="","",SUMPRODUCT(('Compliance Log'!$A$6:$A$1005=$B100)*('Compliance Log'!$H$6:$H$1005="Overdue")))</f>
        <v/>
      </c>
      <c r="H100" s="53">
        <f>IF($B100="","",SUMPRODUCT(('Compliance Log'!$A$6:$A$1005=$B100)*(('Compliance Log'!$H$6:$H$1005="Due &lt;=30")+('Compliance Log'!$H$6:$H$1005="Due 31-60"))))</f>
        <v/>
      </c>
      <c r="I100" s="53">
        <f>IF($B100="","",SUMPRODUCT(('Compliance Log'!$A$6:$A$1005=$B100)*('Compliance Log'!$H$6:$H$1005="OK")))</f>
        <v/>
      </c>
      <c r="J100" s="53">
        <f>IF($B100="","",SUMPRODUCT(('Compliance Log'!$A$6:$A$1005=$B100)*('Compliance Log'!$H$6:$H$1005="No date")))</f>
        <v/>
      </c>
      <c r="K100" s="51">
        <f>IF($B100="","",IF($G100&gt;0,"Overdue",IF(SUMPRODUCT(('Compliance Log'!$A$6:$A$1005=$B100)*('Compliance Log'!$H$6:$H$1005="Due &lt;=30"))&gt;0,"Due &lt;=30",IF($H100&gt;0,"Due 31-60",IF($J100&gt;0,"No date",IF($I100&gt;0,"OK","No checks"))))))</f>
        <v/>
      </c>
      <c r="L100" s="51"/>
      <c r="M100" s="53">
        <f>IF($B100="","",$G100+$H100+$I100+$J100)</f>
        <v/>
      </c>
    </row>
    <row r="101" spans="2:13" ht="17" customHeight="1">
      <c r="B101" s="54">
        <f>IF(INDEX(Properties!$A$6:$A$105,ROW()-ROW($B$30))="","",INDEX(Properties!$A$6:$A$105,ROW()-ROW($B$30)))</f>
        <v/>
      </c>
      <c r="C101" s="54"/>
      <c r="D101" s="54"/>
      <c r="E101" s="54"/>
      <c r="F101" s="54"/>
      <c r="G101" s="53">
        <f>IF($B101="","",SUMPRODUCT(('Compliance Log'!$A$6:$A$1005=$B101)*('Compliance Log'!$H$6:$H$1005="Overdue")))</f>
        <v/>
      </c>
      <c r="H101" s="53">
        <f>IF($B101="","",SUMPRODUCT(('Compliance Log'!$A$6:$A$1005=$B101)*(('Compliance Log'!$H$6:$H$1005="Due &lt;=30")+('Compliance Log'!$H$6:$H$1005="Due 31-60"))))</f>
        <v/>
      </c>
      <c r="I101" s="53">
        <f>IF($B101="","",SUMPRODUCT(('Compliance Log'!$A$6:$A$1005=$B101)*('Compliance Log'!$H$6:$H$1005="OK")))</f>
        <v/>
      </c>
      <c r="J101" s="53">
        <f>IF($B101="","",SUMPRODUCT(('Compliance Log'!$A$6:$A$1005=$B101)*('Compliance Log'!$H$6:$H$1005="No date")))</f>
        <v/>
      </c>
      <c r="K101" s="51">
        <f>IF($B101="","",IF($G101&gt;0,"Overdue",IF(SUMPRODUCT(('Compliance Log'!$A$6:$A$1005=$B101)*('Compliance Log'!$H$6:$H$1005="Due &lt;=30"))&gt;0,"Due &lt;=30",IF($H101&gt;0,"Due 31-60",IF($J101&gt;0,"No date",IF($I101&gt;0,"OK","No checks"))))))</f>
        <v/>
      </c>
      <c r="L101" s="51"/>
      <c r="M101" s="53">
        <f>IF($B101="","",$G101+$H101+$I101+$J101)</f>
        <v/>
      </c>
    </row>
    <row r="102" spans="2:13" ht="17" customHeight="1">
      <c r="B102" s="54">
        <f>IF(INDEX(Properties!$A$6:$A$105,ROW()-ROW($B$30))="","",INDEX(Properties!$A$6:$A$105,ROW()-ROW($B$30)))</f>
        <v/>
      </c>
      <c r="C102" s="54"/>
      <c r="D102" s="54"/>
      <c r="E102" s="54"/>
      <c r="F102" s="54"/>
      <c r="G102" s="53">
        <f>IF($B102="","",SUMPRODUCT(('Compliance Log'!$A$6:$A$1005=$B102)*('Compliance Log'!$H$6:$H$1005="Overdue")))</f>
        <v/>
      </c>
      <c r="H102" s="53">
        <f>IF($B102="","",SUMPRODUCT(('Compliance Log'!$A$6:$A$1005=$B102)*(('Compliance Log'!$H$6:$H$1005="Due &lt;=30")+('Compliance Log'!$H$6:$H$1005="Due 31-60"))))</f>
        <v/>
      </c>
      <c r="I102" s="53">
        <f>IF($B102="","",SUMPRODUCT(('Compliance Log'!$A$6:$A$1005=$B102)*('Compliance Log'!$H$6:$H$1005="OK")))</f>
        <v/>
      </c>
      <c r="J102" s="53">
        <f>IF($B102="","",SUMPRODUCT(('Compliance Log'!$A$6:$A$1005=$B102)*('Compliance Log'!$H$6:$H$1005="No date")))</f>
        <v/>
      </c>
      <c r="K102" s="51">
        <f>IF($B102="","",IF($G102&gt;0,"Overdue",IF(SUMPRODUCT(('Compliance Log'!$A$6:$A$1005=$B102)*('Compliance Log'!$H$6:$H$1005="Due &lt;=30"))&gt;0,"Due &lt;=30",IF($H102&gt;0,"Due 31-60",IF($J102&gt;0,"No date",IF($I102&gt;0,"OK","No checks"))))))</f>
        <v/>
      </c>
      <c r="L102" s="51"/>
      <c r="M102" s="53">
        <f>IF($B102="","",$G102+$H102+$I102+$J102)</f>
        <v/>
      </c>
    </row>
    <row r="103" spans="2:13" ht="17" customHeight="1">
      <c r="B103" s="54">
        <f>IF(INDEX(Properties!$A$6:$A$105,ROW()-ROW($B$30))="","",INDEX(Properties!$A$6:$A$105,ROW()-ROW($B$30)))</f>
        <v/>
      </c>
      <c r="C103" s="54"/>
      <c r="D103" s="54"/>
      <c r="E103" s="54"/>
      <c r="F103" s="54"/>
      <c r="G103" s="53">
        <f>IF($B103="","",SUMPRODUCT(('Compliance Log'!$A$6:$A$1005=$B103)*('Compliance Log'!$H$6:$H$1005="Overdue")))</f>
        <v/>
      </c>
      <c r="H103" s="53">
        <f>IF($B103="","",SUMPRODUCT(('Compliance Log'!$A$6:$A$1005=$B103)*(('Compliance Log'!$H$6:$H$1005="Due &lt;=30")+('Compliance Log'!$H$6:$H$1005="Due 31-60"))))</f>
        <v/>
      </c>
      <c r="I103" s="53">
        <f>IF($B103="","",SUMPRODUCT(('Compliance Log'!$A$6:$A$1005=$B103)*('Compliance Log'!$H$6:$H$1005="OK")))</f>
        <v/>
      </c>
      <c r="J103" s="53">
        <f>IF($B103="","",SUMPRODUCT(('Compliance Log'!$A$6:$A$1005=$B103)*('Compliance Log'!$H$6:$H$1005="No date")))</f>
        <v/>
      </c>
      <c r="K103" s="51">
        <f>IF($B103="","",IF($G103&gt;0,"Overdue",IF(SUMPRODUCT(('Compliance Log'!$A$6:$A$1005=$B103)*('Compliance Log'!$H$6:$H$1005="Due &lt;=30"))&gt;0,"Due &lt;=30",IF($H103&gt;0,"Due 31-60",IF($J103&gt;0,"No date",IF($I103&gt;0,"OK","No checks"))))))</f>
        <v/>
      </c>
      <c r="L103" s="51"/>
      <c r="M103" s="53">
        <f>IF($B103="","",$G103+$H103+$I103+$J103)</f>
        <v/>
      </c>
    </row>
    <row r="104" spans="2:13" ht="17" customHeight="1">
      <c r="B104" s="54">
        <f>IF(INDEX(Properties!$A$6:$A$105,ROW()-ROW($B$30))="","",INDEX(Properties!$A$6:$A$105,ROW()-ROW($B$30)))</f>
        <v/>
      </c>
      <c r="C104" s="54"/>
      <c r="D104" s="54"/>
      <c r="E104" s="54"/>
      <c r="F104" s="54"/>
      <c r="G104" s="53">
        <f>IF($B104="","",SUMPRODUCT(('Compliance Log'!$A$6:$A$1005=$B104)*('Compliance Log'!$H$6:$H$1005="Overdue")))</f>
        <v/>
      </c>
      <c r="H104" s="53">
        <f>IF($B104="","",SUMPRODUCT(('Compliance Log'!$A$6:$A$1005=$B104)*(('Compliance Log'!$H$6:$H$1005="Due &lt;=30")+('Compliance Log'!$H$6:$H$1005="Due 31-60"))))</f>
        <v/>
      </c>
      <c r="I104" s="53">
        <f>IF($B104="","",SUMPRODUCT(('Compliance Log'!$A$6:$A$1005=$B104)*('Compliance Log'!$H$6:$H$1005="OK")))</f>
        <v/>
      </c>
      <c r="J104" s="53">
        <f>IF($B104="","",SUMPRODUCT(('Compliance Log'!$A$6:$A$1005=$B104)*('Compliance Log'!$H$6:$H$1005="No date")))</f>
        <v/>
      </c>
      <c r="K104" s="51">
        <f>IF($B104="","",IF($G104&gt;0,"Overdue",IF(SUMPRODUCT(('Compliance Log'!$A$6:$A$1005=$B104)*('Compliance Log'!$H$6:$H$1005="Due &lt;=30"))&gt;0,"Due &lt;=30",IF($H104&gt;0,"Due 31-60",IF($J104&gt;0,"No date",IF($I104&gt;0,"OK","No checks"))))))</f>
        <v/>
      </c>
      <c r="L104" s="51"/>
      <c r="M104" s="53">
        <f>IF($B104="","",$G104+$H104+$I104+$J104)</f>
        <v/>
      </c>
    </row>
    <row r="105" spans="2:13" ht="17" customHeight="1">
      <c r="B105" s="54">
        <f>IF(INDEX(Properties!$A$6:$A$105,ROW()-ROW($B$30))="","",INDEX(Properties!$A$6:$A$105,ROW()-ROW($B$30)))</f>
        <v/>
      </c>
      <c r="C105" s="54"/>
      <c r="D105" s="54"/>
      <c r="E105" s="54"/>
      <c r="F105" s="54"/>
      <c r="G105" s="53">
        <f>IF($B105="","",SUMPRODUCT(('Compliance Log'!$A$6:$A$1005=$B105)*('Compliance Log'!$H$6:$H$1005="Overdue")))</f>
        <v/>
      </c>
      <c r="H105" s="53">
        <f>IF($B105="","",SUMPRODUCT(('Compliance Log'!$A$6:$A$1005=$B105)*(('Compliance Log'!$H$6:$H$1005="Due &lt;=30")+('Compliance Log'!$H$6:$H$1005="Due 31-60"))))</f>
        <v/>
      </c>
      <c r="I105" s="53">
        <f>IF($B105="","",SUMPRODUCT(('Compliance Log'!$A$6:$A$1005=$B105)*('Compliance Log'!$H$6:$H$1005="OK")))</f>
        <v/>
      </c>
      <c r="J105" s="53">
        <f>IF($B105="","",SUMPRODUCT(('Compliance Log'!$A$6:$A$1005=$B105)*('Compliance Log'!$H$6:$H$1005="No date")))</f>
        <v/>
      </c>
      <c r="K105" s="51">
        <f>IF($B105="","",IF($G105&gt;0,"Overdue",IF(SUMPRODUCT(('Compliance Log'!$A$6:$A$1005=$B105)*('Compliance Log'!$H$6:$H$1005="Due &lt;=30"))&gt;0,"Due &lt;=30",IF($H105&gt;0,"Due 31-60",IF($J105&gt;0,"No date",IF($I105&gt;0,"OK","No checks"))))))</f>
        <v/>
      </c>
      <c r="L105" s="51"/>
      <c r="M105" s="53">
        <f>IF($B105="","",$G105+$H105+$I105+$J105)</f>
        <v/>
      </c>
    </row>
    <row r="106" spans="2:13" ht="17" customHeight="1">
      <c r="B106" s="54">
        <f>IF(INDEX(Properties!$A$6:$A$105,ROW()-ROW($B$30))="","",INDEX(Properties!$A$6:$A$105,ROW()-ROW($B$30)))</f>
        <v/>
      </c>
      <c r="C106" s="54"/>
      <c r="D106" s="54"/>
      <c r="E106" s="54"/>
      <c r="F106" s="54"/>
      <c r="G106" s="53">
        <f>IF($B106="","",SUMPRODUCT(('Compliance Log'!$A$6:$A$1005=$B106)*('Compliance Log'!$H$6:$H$1005="Overdue")))</f>
        <v/>
      </c>
      <c r="H106" s="53">
        <f>IF($B106="","",SUMPRODUCT(('Compliance Log'!$A$6:$A$1005=$B106)*(('Compliance Log'!$H$6:$H$1005="Due &lt;=30")+('Compliance Log'!$H$6:$H$1005="Due 31-60"))))</f>
        <v/>
      </c>
      <c r="I106" s="53">
        <f>IF($B106="","",SUMPRODUCT(('Compliance Log'!$A$6:$A$1005=$B106)*('Compliance Log'!$H$6:$H$1005="OK")))</f>
        <v/>
      </c>
      <c r="J106" s="53">
        <f>IF($B106="","",SUMPRODUCT(('Compliance Log'!$A$6:$A$1005=$B106)*('Compliance Log'!$H$6:$H$1005="No date")))</f>
        <v/>
      </c>
      <c r="K106" s="51">
        <f>IF($B106="","",IF($G106&gt;0,"Overdue",IF(SUMPRODUCT(('Compliance Log'!$A$6:$A$1005=$B106)*('Compliance Log'!$H$6:$H$1005="Due &lt;=30"))&gt;0,"Due &lt;=30",IF($H106&gt;0,"Due 31-60",IF($J106&gt;0,"No date",IF($I106&gt;0,"OK","No checks"))))))</f>
        <v/>
      </c>
      <c r="L106" s="51"/>
      <c r="M106" s="53">
        <f>IF($B106="","",$G106+$H106+$I106+$J106)</f>
        <v/>
      </c>
    </row>
    <row r="107" spans="2:13" ht="17" customHeight="1">
      <c r="B107" s="54">
        <f>IF(INDEX(Properties!$A$6:$A$105,ROW()-ROW($B$30))="","",INDEX(Properties!$A$6:$A$105,ROW()-ROW($B$30)))</f>
        <v/>
      </c>
      <c r="C107" s="54"/>
      <c r="D107" s="54"/>
      <c r="E107" s="54"/>
      <c r="F107" s="54"/>
      <c r="G107" s="53">
        <f>IF($B107="","",SUMPRODUCT(('Compliance Log'!$A$6:$A$1005=$B107)*('Compliance Log'!$H$6:$H$1005="Overdue")))</f>
        <v/>
      </c>
      <c r="H107" s="53">
        <f>IF($B107="","",SUMPRODUCT(('Compliance Log'!$A$6:$A$1005=$B107)*(('Compliance Log'!$H$6:$H$1005="Due &lt;=30")+('Compliance Log'!$H$6:$H$1005="Due 31-60"))))</f>
        <v/>
      </c>
      <c r="I107" s="53">
        <f>IF($B107="","",SUMPRODUCT(('Compliance Log'!$A$6:$A$1005=$B107)*('Compliance Log'!$H$6:$H$1005="OK")))</f>
        <v/>
      </c>
      <c r="J107" s="53">
        <f>IF($B107="","",SUMPRODUCT(('Compliance Log'!$A$6:$A$1005=$B107)*('Compliance Log'!$H$6:$H$1005="No date")))</f>
        <v/>
      </c>
      <c r="K107" s="51">
        <f>IF($B107="","",IF($G107&gt;0,"Overdue",IF(SUMPRODUCT(('Compliance Log'!$A$6:$A$1005=$B107)*('Compliance Log'!$H$6:$H$1005="Due &lt;=30"))&gt;0,"Due &lt;=30",IF($H107&gt;0,"Due 31-60",IF($J107&gt;0,"No date",IF($I107&gt;0,"OK","No checks"))))))</f>
        <v/>
      </c>
      <c r="L107" s="51"/>
      <c r="M107" s="53">
        <f>IF($B107="","",$G107+$H107+$I107+$J107)</f>
        <v/>
      </c>
    </row>
    <row r="108" spans="2:13" ht="17" customHeight="1">
      <c r="B108" s="54">
        <f>IF(INDEX(Properties!$A$6:$A$105,ROW()-ROW($B$30))="","",INDEX(Properties!$A$6:$A$105,ROW()-ROW($B$30)))</f>
        <v/>
      </c>
      <c r="C108" s="54"/>
      <c r="D108" s="54"/>
      <c r="E108" s="54"/>
      <c r="F108" s="54"/>
      <c r="G108" s="53">
        <f>IF($B108="","",SUMPRODUCT(('Compliance Log'!$A$6:$A$1005=$B108)*('Compliance Log'!$H$6:$H$1005="Overdue")))</f>
        <v/>
      </c>
      <c r="H108" s="53">
        <f>IF($B108="","",SUMPRODUCT(('Compliance Log'!$A$6:$A$1005=$B108)*(('Compliance Log'!$H$6:$H$1005="Due &lt;=30")+('Compliance Log'!$H$6:$H$1005="Due 31-60"))))</f>
        <v/>
      </c>
      <c r="I108" s="53">
        <f>IF($B108="","",SUMPRODUCT(('Compliance Log'!$A$6:$A$1005=$B108)*('Compliance Log'!$H$6:$H$1005="OK")))</f>
        <v/>
      </c>
      <c r="J108" s="53">
        <f>IF($B108="","",SUMPRODUCT(('Compliance Log'!$A$6:$A$1005=$B108)*('Compliance Log'!$H$6:$H$1005="No date")))</f>
        <v/>
      </c>
      <c r="K108" s="51">
        <f>IF($B108="","",IF($G108&gt;0,"Overdue",IF(SUMPRODUCT(('Compliance Log'!$A$6:$A$1005=$B108)*('Compliance Log'!$H$6:$H$1005="Due &lt;=30"))&gt;0,"Due &lt;=30",IF($H108&gt;0,"Due 31-60",IF($J108&gt;0,"No date",IF($I108&gt;0,"OK","No checks"))))))</f>
        <v/>
      </c>
      <c r="L108" s="51"/>
      <c r="M108" s="53">
        <f>IF($B108="","",$G108+$H108+$I108+$J108)</f>
        <v/>
      </c>
    </row>
    <row r="109" spans="2:13" ht="17" customHeight="1">
      <c r="B109" s="54">
        <f>IF(INDEX(Properties!$A$6:$A$105,ROW()-ROW($B$30))="","",INDEX(Properties!$A$6:$A$105,ROW()-ROW($B$30)))</f>
        <v/>
      </c>
      <c r="C109" s="54"/>
      <c r="D109" s="54"/>
      <c r="E109" s="54"/>
      <c r="F109" s="54"/>
      <c r="G109" s="53">
        <f>IF($B109="","",SUMPRODUCT(('Compliance Log'!$A$6:$A$1005=$B109)*('Compliance Log'!$H$6:$H$1005="Overdue")))</f>
        <v/>
      </c>
      <c r="H109" s="53">
        <f>IF($B109="","",SUMPRODUCT(('Compliance Log'!$A$6:$A$1005=$B109)*(('Compliance Log'!$H$6:$H$1005="Due &lt;=30")+('Compliance Log'!$H$6:$H$1005="Due 31-60"))))</f>
        <v/>
      </c>
      <c r="I109" s="53">
        <f>IF($B109="","",SUMPRODUCT(('Compliance Log'!$A$6:$A$1005=$B109)*('Compliance Log'!$H$6:$H$1005="OK")))</f>
        <v/>
      </c>
      <c r="J109" s="53">
        <f>IF($B109="","",SUMPRODUCT(('Compliance Log'!$A$6:$A$1005=$B109)*('Compliance Log'!$H$6:$H$1005="No date")))</f>
        <v/>
      </c>
      <c r="K109" s="51">
        <f>IF($B109="","",IF($G109&gt;0,"Overdue",IF(SUMPRODUCT(('Compliance Log'!$A$6:$A$1005=$B109)*('Compliance Log'!$H$6:$H$1005="Due &lt;=30"))&gt;0,"Due &lt;=30",IF($H109&gt;0,"Due 31-60",IF($J109&gt;0,"No date",IF($I109&gt;0,"OK","No checks"))))))</f>
        <v/>
      </c>
      <c r="L109" s="51"/>
      <c r="M109" s="53">
        <f>IF($B109="","",$G109+$H109+$I109+$J109)</f>
        <v/>
      </c>
    </row>
    <row r="110" spans="2:13" ht="17" customHeight="1">
      <c r="B110" s="54">
        <f>IF(INDEX(Properties!$A$6:$A$105,ROW()-ROW($B$30))="","",INDEX(Properties!$A$6:$A$105,ROW()-ROW($B$30)))</f>
        <v/>
      </c>
      <c r="C110" s="54"/>
      <c r="D110" s="54"/>
      <c r="E110" s="54"/>
      <c r="F110" s="54"/>
      <c r="G110" s="53">
        <f>IF($B110="","",SUMPRODUCT(('Compliance Log'!$A$6:$A$1005=$B110)*('Compliance Log'!$H$6:$H$1005="Overdue")))</f>
        <v/>
      </c>
      <c r="H110" s="53">
        <f>IF($B110="","",SUMPRODUCT(('Compliance Log'!$A$6:$A$1005=$B110)*(('Compliance Log'!$H$6:$H$1005="Due &lt;=30")+('Compliance Log'!$H$6:$H$1005="Due 31-60"))))</f>
        <v/>
      </c>
      <c r="I110" s="53">
        <f>IF($B110="","",SUMPRODUCT(('Compliance Log'!$A$6:$A$1005=$B110)*('Compliance Log'!$H$6:$H$1005="OK")))</f>
        <v/>
      </c>
      <c r="J110" s="53">
        <f>IF($B110="","",SUMPRODUCT(('Compliance Log'!$A$6:$A$1005=$B110)*('Compliance Log'!$H$6:$H$1005="No date")))</f>
        <v/>
      </c>
      <c r="K110" s="51">
        <f>IF($B110="","",IF($G110&gt;0,"Overdue",IF(SUMPRODUCT(('Compliance Log'!$A$6:$A$1005=$B110)*('Compliance Log'!$H$6:$H$1005="Due &lt;=30"))&gt;0,"Due &lt;=30",IF($H110&gt;0,"Due 31-60",IF($J110&gt;0,"No date",IF($I110&gt;0,"OK","No checks"))))))</f>
        <v/>
      </c>
      <c r="L110" s="51"/>
      <c r="M110" s="53">
        <f>IF($B110="","",$G110+$H110+$I110+$J110)</f>
        <v/>
      </c>
    </row>
    <row r="111" spans="2:13" ht="17" customHeight="1">
      <c r="B111" s="54">
        <f>IF(INDEX(Properties!$A$6:$A$105,ROW()-ROW($B$30))="","",INDEX(Properties!$A$6:$A$105,ROW()-ROW($B$30)))</f>
        <v/>
      </c>
      <c r="C111" s="54"/>
      <c r="D111" s="54"/>
      <c r="E111" s="54"/>
      <c r="F111" s="54"/>
      <c r="G111" s="53">
        <f>IF($B111="","",SUMPRODUCT(('Compliance Log'!$A$6:$A$1005=$B111)*('Compliance Log'!$H$6:$H$1005="Overdue")))</f>
        <v/>
      </c>
      <c r="H111" s="53">
        <f>IF($B111="","",SUMPRODUCT(('Compliance Log'!$A$6:$A$1005=$B111)*(('Compliance Log'!$H$6:$H$1005="Due &lt;=30")+('Compliance Log'!$H$6:$H$1005="Due 31-60"))))</f>
        <v/>
      </c>
      <c r="I111" s="53">
        <f>IF($B111="","",SUMPRODUCT(('Compliance Log'!$A$6:$A$1005=$B111)*('Compliance Log'!$H$6:$H$1005="OK")))</f>
        <v/>
      </c>
      <c r="J111" s="53">
        <f>IF($B111="","",SUMPRODUCT(('Compliance Log'!$A$6:$A$1005=$B111)*('Compliance Log'!$H$6:$H$1005="No date")))</f>
        <v/>
      </c>
      <c r="K111" s="51">
        <f>IF($B111="","",IF($G111&gt;0,"Overdue",IF(SUMPRODUCT(('Compliance Log'!$A$6:$A$1005=$B111)*('Compliance Log'!$H$6:$H$1005="Due &lt;=30"))&gt;0,"Due &lt;=30",IF($H111&gt;0,"Due 31-60",IF($J111&gt;0,"No date",IF($I111&gt;0,"OK","No checks"))))))</f>
        <v/>
      </c>
      <c r="L111" s="51"/>
      <c r="M111" s="53">
        <f>IF($B111="","",$G111+$H111+$I111+$J111)</f>
        <v/>
      </c>
    </row>
    <row r="112" spans="2:13" ht="17" customHeight="1">
      <c r="B112" s="54">
        <f>IF(INDEX(Properties!$A$6:$A$105,ROW()-ROW($B$30))="","",INDEX(Properties!$A$6:$A$105,ROW()-ROW($B$30)))</f>
        <v/>
      </c>
      <c r="C112" s="54"/>
      <c r="D112" s="54"/>
      <c r="E112" s="54"/>
      <c r="F112" s="54"/>
      <c r="G112" s="53">
        <f>IF($B112="","",SUMPRODUCT(('Compliance Log'!$A$6:$A$1005=$B112)*('Compliance Log'!$H$6:$H$1005="Overdue")))</f>
        <v/>
      </c>
      <c r="H112" s="53">
        <f>IF($B112="","",SUMPRODUCT(('Compliance Log'!$A$6:$A$1005=$B112)*(('Compliance Log'!$H$6:$H$1005="Due &lt;=30")+('Compliance Log'!$H$6:$H$1005="Due 31-60"))))</f>
        <v/>
      </c>
      <c r="I112" s="53">
        <f>IF($B112="","",SUMPRODUCT(('Compliance Log'!$A$6:$A$1005=$B112)*('Compliance Log'!$H$6:$H$1005="OK")))</f>
        <v/>
      </c>
      <c r="J112" s="53">
        <f>IF($B112="","",SUMPRODUCT(('Compliance Log'!$A$6:$A$1005=$B112)*('Compliance Log'!$H$6:$H$1005="No date")))</f>
        <v/>
      </c>
      <c r="K112" s="51">
        <f>IF($B112="","",IF($G112&gt;0,"Overdue",IF(SUMPRODUCT(('Compliance Log'!$A$6:$A$1005=$B112)*('Compliance Log'!$H$6:$H$1005="Due &lt;=30"))&gt;0,"Due &lt;=30",IF($H112&gt;0,"Due 31-60",IF($J112&gt;0,"No date",IF($I112&gt;0,"OK","No checks"))))))</f>
        <v/>
      </c>
      <c r="L112" s="51"/>
      <c r="M112" s="53">
        <f>IF($B112="","",$G112+$H112+$I112+$J112)</f>
        <v/>
      </c>
    </row>
    <row r="113" spans="2:13" ht="17" customHeight="1">
      <c r="B113" s="54">
        <f>IF(INDEX(Properties!$A$6:$A$105,ROW()-ROW($B$30))="","",INDEX(Properties!$A$6:$A$105,ROW()-ROW($B$30)))</f>
        <v/>
      </c>
      <c r="C113" s="54"/>
      <c r="D113" s="54"/>
      <c r="E113" s="54"/>
      <c r="F113" s="54"/>
      <c r="G113" s="53">
        <f>IF($B113="","",SUMPRODUCT(('Compliance Log'!$A$6:$A$1005=$B113)*('Compliance Log'!$H$6:$H$1005="Overdue")))</f>
        <v/>
      </c>
      <c r="H113" s="53">
        <f>IF($B113="","",SUMPRODUCT(('Compliance Log'!$A$6:$A$1005=$B113)*(('Compliance Log'!$H$6:$H$1005="Due &lt;=30")+('Compliance Log'!$H$6:$H$1005="Due 31-60"))))</f>
        <v/>
      </c>
      <c r="I113" s="53">
        <f>IF($B113="","",SUMPRODUCT(('Compliance Log'!$A$6:$A$1005=$B113)*('Compliance Log'!$H$6:$H$1005="OK")))</f>
        <v/>
      </c>
      <c r="J113" s="53">
        <f>IF($B113="","",SUMPRODUCT(('Compliance Log'!$A$6:$A$1005=$B113)*('Compliance Log'!$H$6:$H$1005="No date")))</f>
        <v/>
      </c>
      <c r="K113" s="51">
        <f>IF($B113="","",IF($G113&gt;0,"Overdue",IF(SUMPRODUCT(('Compliance Log'!$A$6:$A$1005=$B113)*('Compliance Log'!$H$6:$H$1005="Due &lt;=30"))&gt;0,"Due &lt;=30",IF($H113&gt;0,"Due 31-60",IF($J113&gt;0,"No date",IF($I113&gt;0,"OK","No checks"))))))</f>
        <v/>
      </c>
      <c r="L113" s="51"/>
      <c r="M113" s="53">
        <f>IF($B113="","",$G113+$H113+$I113+$J113)</f>
        <v/>
      </c>
    </row>
    <row r="114" spans="2:13" ht="17" customHeight="1">
      <c r="B114" s="54">
        <f>IF(INDEX(Properties!$A$6:$A$105,ROW()-ROW($B$30))="","",INDEX(Properties!$A$6:$A$105,ROW()-ROW($B$30)))</f>
        <v/>
      </c>
      <c r="C114" s="54"/>
      <c r="D114" s="54"/>
      <c r="E114" s="54"/>
      <c r="F114" s="54"/>
      <c r="G114" s="53">
        <f>IF($B114="","",SUMPRODUCT(('Compliance Log'!$A$6:$A$1005=$B114)*('Compliance Log'!$H$6:$H$1005="Overdue")))</f>
        <v/>
      </c>
      <c r="H114" s="53">
        <f>IF($B114="","",SUMPRODUCT(('Compliance Log'!$A$6:$A$1005=$B114)*(('Compliance Log'!$H$6:$H$1005="Due &lt;=30")+('Compliance Log'!$H$6:$H$1005="Due 31-60"))))</f>
        <v/>
      </c>
      <c r="I114" s="53">
        <f>IF($B114="","",SUMPRODUCT(('Compliance Log'!$A$6:$A$1005=$B114)*('Compliance Log'!$H$6:$H$1005="OK")))</f>
        <v/>
      </c>
      <c r="J114" s="53">
        <f>IF($B114="","",SUMPRODUCT(('Compliance Log'!$A$6:$A$1005=$B114)*('Compliance Log'!$H$6:$H$1005="No date")))</f>
        <v/>
      </c>
      <c r="K114" s="51">
        <f>IF($B114="","",IF($G114&gt;0,"Overdue",IF(SUMPRODUCT(('Compliance Log'!$A$6:$A$1005=$B114)*('Compliance Log'!$H$6:$H$1005="Due &lt;=30"))&gt;0,"Due &lt;=30",IF($H114&gt;0,"Due 31-60",IF($J114&gt;0,"No date",IF($I114&gt;0,"OK","No checks"))))))</f>
        <v/>
      </c>
      <c r="L114" s="51"/>
      <c r="M114" s="53">
        <f>IF($B114="","",$G114+$H114+$I114+$J114)</f>
        <v/>
      </c>
    </row>
    <row r="115" spans="2:13" ht="17" customHeight="1">
      <c r="B115" s="54">
        <f>IF(INDEX(Properties!$A$6:$A$105,ROW()-ROW($B$30))="","",INDEX(Properties!$A$6:$A$105,ROW()-ROW($B$30)))</f>
        <v/>
      </c>
      <c r="C115" s="54"/>
      <c r="D115" s="54"/>
      <c r="E115" s="54"/>
      <c r="F115" s="54"/>
      <c r="G115" s="53">
        <f>IF($B115="","",SUMPRODUCT(('Compliance Log'!$A$6:$A$1005=$B115)*('Compliance Log'!$H$6:$H$1005="Overdue")))</f>
        <v/>
      </c>
      <c r="H115" s="53">
        <f>IF($B115="","",SUMPRODUCT(('Compliance Log'!$A$6:$A$1005=$B115)*(('Compliance Log'!$H$6:$H$1005="Due &lt;=30")+('Compliance Log'!$H$6:$H$1005="Due 31-60"))))</f>
        <v/>
      </c>
      <c r="I115" s="53">
        <f>IF($B115="","",SUMPRODUCT(('Compliance Log'!$A$6:$A$1005=$B115)*('Compliance Log'!$H$6:$H$1005="OK")))</f>
        <v/>
      </c>
      <c r="J115" s="53">
        <f>IF($B115="","",SUMPRODUCT(('Compliance Log'!$A$6:$A$1005=$B115)*('Compliance Log'!$H$6:$H$1005="No date")))</f>
        <v/>
      </c>
      <c r="K115" s="51">
        <f>IF($B115="","",IF($G115&gt;0,"Overdue",IF(SUMPRODUCT(('Compliance Log'!$A$6:$A$1005=$B115)*('Compliance Log'!$H$6:$H$1005="Due &lt;=30"))&gt;0,"Due &lt;=30",IF($H115&gt;0,"Due 31-60",IF($J115&gt;0,"No date",IF($I115&gt;0,"OK","No checks"))))))</f>
        <v/>
      </c>
      <c r="L115" s="51"/>
      <c r="M115" s="53">
        <f>IF($B115="","",$G115+$H115+$I115+$J115)</f>
        <v/>
      </c>
    </row>
    <row r="116" spans="2:13" ht="17" customHeight="1">
      <c r="B116" s="54">
        <f>IF(INDEX(Properties!$A$6:$A$105,ROW()-ROW($B$30))="","",INDEX(Properties!$A$6:$A$105,ROW()-ROW($B$30)))</f>
        <v/>
      </c>
      <c r="C116" s="54"/>
      <c r="D116" s="54"/>
      <c r="E116" s="54"/>
      <c r="F116" s="54"/>
      <c r="G116" s="53">
        <f>IF($B116="","",SUMPRODUCT(('Compliance Log'!$A$6:$A$1005=$B116)*('Compliance Log'!$H$6:$H$1005="Overdue")))</f>
        <v/>
      </c>
      <c r="H116" s="53">
        <f>IF($B116="","",SUMPRODUCT(('Compliance Log'!$A$6:$A$1005=$B116)*(('Compliance Log'!$H$6:$H$1005="Due &lt;=30")+('Compliance Log'!$H$6:$H$1005="Due 31-60"))))</f>
        <v/>
      </c>
      <c r="I116" s="53">
        <f>IF($B116="","",SUMPRODUCT(('Compliance Log'!$A$6:$A$1005=$B116)*('Compliance Log'!$H$6:$H$1005="OK")))</f>
        <v/>
      </c>
      <c r="J116" s="53">
        <f>IF($B116="","",SUMPRODUCT(('Compliance Log'!$A$6:$A$1005=$B116)*('Compliance Log'!$H$6:$H$1005="No date")))</f>
        <v/>
      </c>
      <c r="K116" s="51">
        <f>IF($B116="","",IF($G116&gt;0,"Overdue",IF(SUMPRODUCT(('Compliance Log'!$A$6:$A$1005=$B116)*('Compliance Log'!$H$6:$H$1005="Due &lt;=30"))&gt;0,"Due &lt;=30",IF($H116&gt;0,"Due 31-60",IF($J116&gt;0,"No date",IF($I116&gt;0,"OK","No checks"))))))</f>
        <v/>
      </c>
      <c r="L116" s="51"/>
      <c r="M116" s="53">
        <f>IF($B116="","",$G116+$H116+$I116+$J116)</f>
        <v/>
      </c>
    </row>
    <row r="117" spans="2:13" ht="17" customHeight="1">
      <c r="B117" s="54">
        <f>IF(INDEX(Properties!$A$6:$A$105,ROW()-ROW($B$30))="","",INDEX(Properties!$A$6:$A$105,ROW()-ROW($B$30)))</f>
        <v/>
      </c>
      <c r="C117" s="54"/>
      <c r="D117" s="54"/>
      <c r="E117" s="54"/>
      <c r="F117" s="54"/>
      <c r="G117" s="53">
        <f>IF($B117="","",SUMPRODUCT(('Compliance Log'!$A$6:$A$1005=$B117)*('Compliance Log'!$H$6:$H$1005="Overdue")))</f>
        <v/>
      </c>
      <c r="H117" s="53">
        <f>IF($B117="","",SUMPRODUCT(('Compliance Log'!$A$6:$A$1005=$B117)*(('Compliance Log'!$H$6:$H$1005="Due &lt;=30")+('Compliance Log'!$H$6:$H$1005="Due 31-60"))))</f>
        <v/>
      </c>
      <c r="I117" s="53">
        <f>IF($B117="","",SUMPRODUCT(('Compliance Log'!$A$6:$A$1005=$B117)*('Compliance Log'!$H$6:$H$1005="OK")))</f>
        <v/>
      </c>
      <c r="J117" s="53">
        <f>IF($B117="","",SUMPRODUCT(('Compliance Log'!$A$6:$A$1005=$B117)*('Compliance Log'!$H$6:$H$1005="No date")))</f>
        <v/>
      </c>
      <c r="K117" s="51">
        <f>IF($B117="","",IF($G117&gt;0,"Overdue",IF(SUMPRODUCT(('Compliance Log'!$A$6:$A$1005=$B117)*('Compliance Log'!$H$6:$H$1005="Due &lt;=30"))&gt;0,"Due &lt;=30",IF($H117&gt;0,"Due 31-60",IF($J117&gt;0,"No date",IF($I117&gt;0,"OK","No checks"))))))</f>
        <v/>
      </c>
      <c r="L117" s="51"/>
      <c r="M117" s="53">
        <f>IF($B117="","",$G117+$H117+$I117+$J117)</f>
        <v/>
      </c>
    </row>
    <row r="118" spans="2:13" ht="17" customHeight="1">
      <c r="B118" s="54">
        <f>IF(INDEX(Properties!$A$6:$A$105,ROW()-ROW($B$30))="","",INDEX(Properties!$A$6:$A$105,ROW()-ROW($B$30)))</f>
        <v/>
      </c>
      <c r="C118" s="54"/>
      <c r="D118" s="54"/>
      <c r="E118" s="54"/>
      <c r="F118" s="54"/>
      <c r="G118" s="53">
        <f>IF($B118="","",SUMPRODUCT(('Compliance Log'!$A$6:$A$1005=$B118)*('Compliance Log'!$H$6:$H$1005="Overdue")))</f>
        <v/>
      </c>
      <c r="H118" s="53">
        <f>IF($B118="","",SUMPRODUCT(('Compliance Log'!$A$6:$A$1005=$B118)*(('Compliance Log'!$H$6:$H$1005="Due &lt;=30")+('Compliance Log'!$H$6:$H$1005="Due 31-60"))))</f>
        <v/>
      </c>
      <c r="I118" s="53">
        <f>IF($B118="","",SUMPRODUCT(('Compliance Log'!$A$6:$A$1005=$B118)*('Compliance Log'!$H$6:$H$1005="OK")))</f>
        <v/>
      </c>
      <c r="J118" s="53">
        <f>IF($B118="","",SUMPRODUCT(('Compliance Log'!$A$6:$A$1005=$B118)*('Compliance Log'!$H$6:$H$1005="No date")))</f>
        <v/>
      </c>
      <c r="K118" s="51">
        <f>IF($B118="","",IF($G118&gt;0,"Overdue",IF(SUMPRODUCT(('Compliance Log'!$A$6:$A$1005=$B118)*('Compliance Log'!$H$6:$H$1005="Due &lt;=30"))&gt;0,"Due &lt;=30",IF($H118&gt;0,"Due 31-60",IF($J118&gt;0,"No date",IF($I118&gt;0,"OK","No checks"))))))</f>
        <v/>
      </c>
      <c r="L118" s="51"/>
      <c r="M118" s="53">
        <f>IF($B118="","",$G118+$H118+$I118+$J118)</f>
        <v/>
      </c>
    </row>
    <row r="119" spans="2:13" ht="17" customHeight="1">
      <c r="B119" s="54">
        <f>IF(INDEX(Properties!$A$6:$A$105,ROW()-ROW($B$30))="","",INDEX(Properties!$A$6:$A$105,ROW()-ROW($B$30)))</f>
        <v/>
      </c>
      <c r="C119" s="54"/>
      <c r="D119" s="54"/>
      <c r="E119" s="54"/>
      <c r="F119" s="54"/>
      <c r="G119" s="53">
        <f>IF($B119="","",SUMPRODUCT(('Compliance Log'!$A$6:$A$1005=$B119)*('Compliance Log'!$H$6:$H$1005="Overdue")))</f>
        <v/>
      </c>
      <c r="H119" s="53">
        <f>IF($B119="","",SUMPRODUCT(('Compliance Log'!$A$6:$A$1005=$B119)*(('Compliance Log'!$H$6:$H$1005="Due &lt;=30")+('Compliance Log'!$H$6:$H$1005="Due 31-60"))))</f>
        <v/>
      </c>
      <c r="I119" s="53">
        <f>IF($B119="","",SUMPRODUCT(('Compliance Log'!$A$6:$A$1005=$B119)*('Compliance Log'!$H$6:$H$1005="OK")))</f>
        <v/>
      </c>
      <c r="J119" s="53">
        <f>IF($B119="","",SUMPRODUCT(('Compliance Log'!$A$6:$A$1005=$B119)*('Compliance Log'!$H$6:$H$1005="No date")))</f>
        <v/>
      </c>
      <c r="K119" s="51">
        <f>IF($B119="","",IF($G119&gt;0,"Overdue",IF(SUMPRODUCT(('Compliance Log'!$A$6:$A$1005=$B119)*('Compliance Log'!$H$6:$H$1005="Due &lt;=30"))&gt;0,"Due &lt;=30",IF($H119&gt;0,"Due 31-60",IF($J119&gt;0,"No date",IF($I119&gt;0,"OK","No checks"))))))</f>
        <v/>
      </c>
      <c r="L119" s="51"/>
      <c r="M119" s="53">
        <f>IF($B119="","",$G119+$H119+$I119+$J119)</f>
        <v/>
      </c>
    </row>
    <row r="120" spans="2:13" ht="17" customHeight="1">
      <c r="B120" s="54">
        <f>IF(INDEX(Properties!$A$6:$A$105,ROW()-ROW($B$30))="","",INDEX(Properties!$A$6:$A$105,ROW()-ROW($B$30)))</f>
        <v/>
      </c>
      <c r="C120" s="54"/>
      <c r="D120" s="54"/>
      <c r="E120" s="54"/>
      <c r="F120" s="54"/>
      <c r="G120" s="53">
        <f>IF($B120="","",SUMPRODUCT(('Compliance Log'!$A$6:$A$1005=$B120)*('Compliance Log'!$H$6:$H$1005="Overdue")))</f>
        <v/>
      </c>
      <c r="H120" s="53">
        <f>IF($B120="","",SUMPRODUCT(('Compliance Log'!$A$6:$A$1005=$B120)*(('Compliance Log'!$H$6:$H$1005="Due &lt;=30")+('Compliance Log'!$H$6:$H$1005="Due 31-60"))))</f>
        <v/>
      </c>
      <c r="I120" s="53">
        <f>IF($B120="","",SUMPRODUCT(('Compliance Log'!$A$6:$A$1005=$B120)*('Compliance Log'!$H$6:$H$1005="OK")))</f>
        <v/>
      </c>
      <c r="J120" s="53">
        <f>IF($B120="","",SUMPRODUCT(('Compliance Log'!$A$6:$A$1005=$B120)*('Compliance Log'!$H$6:$H$1005="No date")))</f>
        <v/>
      </c>
      <c r="K120" s="51">
        <f>IF($B120="","",IF($G120&gt;0,"Overdue",IF(SUMPRODUCT(('Compliance Log'!$A$6:$A$1005=$B120)*('Compliance Log'!$H$6:$H$1005="Due &lt;=30"))&gt;0,"Due &lt;=30",IF($H120&gt;0,"Due 31-60",IF($J120&gt;0,"No date",IF($I120&gt;0,"OK","No checks"))))))</f>
        <v/>
      </c>
      <c r="L120" s="51"/>
      <c r="M120" s="53">
        <f>IF($B120="","",$G120+$H120+$I120+$J120)</f>
        <v/>
      </c>
    </row>
    <row r="121" spans="2:13" ht="17" customHeight="1">
      <c r="B121" s="54">
        <f>IF(INDEX(Properties!$A$6:$A$105,ROW()-ROW($B$30))="","",INDEX(Properties!$A$6:$A$105,ROW()-ROW($B$30)))</f>
        <v/>
      </c>
      <c r="C121" s="54"/>
      <c r="D121" s="54"/>
      <c r="E121" s="54"/>
      <c r="F121" s="54"/>
      <c r="G121" s="53">
        <f>IF($B121="","",SUMPRODUCT(('Compliance Log'!$A$6:$A$1005=$B121)*('Compliance Log'!$H$6:$H$1005="Overdue")))</f>
        <v/>
      </c>
      <c r="H121" s="53">
        <f>IF($B121="","",SUMPRODUCT(('Compliance Log'!$A$6:$A$1005=$B121)*(('Compliance Log'!$H$6:$H$1005="Due &lt;=30")+('Compliance Log'!$H$6:$H$1005="Due 31-60"))))</f>
        <v/>
      </c>
      <c r="I121" s="53">
        <f>IF($B121="","",SUMPRODUCT(('Compliance Log'!$A$6:$A$1005=$B121)*('Compliance Log'!$H$6:$H$1005="OK")))</f>
        <v/>
      </c>
      <c r="J121" s="53">
        <f>IF($B121="","",SUMPRODUCT(('Compliance Log'!$A$6:$A$1005=$B121)*('Compliance Log'!$H$6:$H$1005="No date")))</f>
        <v/>
      </c>
      <c r="K121" s="51">
        <f>IF($B121="","",IF($G121&gt;0,"Overdue",IF(SUMPRODUCT(('Compliance Log'!$A$6:$A$1005=$B121)*('Compliance Log'!$H$6:$H$1005="Due &lt;=30"))&gt;0,"Due &lt;=30",IF($H121&gt;0,"Due 31-60",IF($J121&gt;0,"No date",IF($I121&gt;0,"OK","No checks"))))))</f>
        <v/>
      </c>
      <c r="L121" s="51"/>
      <c r="M121" s="53">
        <f>IF($B121="","",$G121+$H121+$I121+$J121)</f>
        <v/>
      </c>
    </row>
    <row r="122" spans="2:13" ht="17" customHeight="1">
      <c r="B122" s="54">
        <f>IF(INDEX(Properties!$A$6:$A$105,ROW()-ROW($B$30))="","",INDEX(Properties!$A$6:$A$105,ROW()-ROW($B$30)))</f>
        <v/>
      </c>
      <c r="C122" s="54"/>
      <c r="D122" s="54"/>
      <c r="E122" s="54"/>
      <c r="F122" s="54"/>
      <c r="G122" s="53">
        <f>IF($B122="","",SUMPRODUCT(('Compliance Log'!$A$6:$A$1005=$B122)*('Compliance Log'!$H$6:$H$1005="Overdue")))</f>
        <v/>
      </c>
      <c r="H122" s="53">
        <f>IF($B122="","",SUMPRODUCT(('Compliance Log'!$A$6:$A$1005=$B122)*(('Compliance Log'!$H$6:$H$1005="Due &lt;=30")+('Compliance Log'!$H$6:$H$1005="Due 31-60"))))</f>
        <v/>
      </c>
      <c r="I122" s="53">
        <f>IF($B122="","",SUMPRODUCT(('Compliance Log'!$A$6:$A$1005=$B122)*('Compliance Log'!$H$6:$H$1005="OK")))</f>
        <v/>
      </c>
      <c r="J122" s="53">
        <f>IF($B122="","",SUMPRODUCT(('Compliance Log'!$A$6:$A$1005=$B122)*('Compliance Log'!$H$6:$H$1005="No date")))</f>
        <v/>
      </c>
      <c r="K122" s="51">
        <f>IF($B122="","",IF($G122&gt;0,"Overdue",IF(SUMPRODUCT(('Compliance Log'!$A$6:$A$1005=$B122)*('Compliance Log'!$H$6:$H$1005="Due &lt;=30"))&gt;0,"Due &lt;=30",IF($H122&gt;0,"Due 31-60",IF($J122&gt;0,"No date",IF($I122&gt;0,"OK","No checks"))))))</f>
        <v/>
      </c>
      <c r="L122" s="51"/>
      <c r="M122" s="53">
        <f>IF($B122="","",$G122+$H122+$I122+$J122)</f>
        <v/>
      </c>
    </row>
    <row r="123" spans="2:13" ht="17" customHeight="1">
      <c r="B123" s="54">
        <f>IF(INDEX(Properties!$A$6:$A$105,ROW()-ROW($B$30))="","",INDEX(Properties!$A$6:$A$105,ROW()-ROW($B$30)))</f>
        <v/>
      </c>
      <c r="C123" s="54"/>
      <c r="D123" s="54"/>
      <c r="E123" s="54"/>
      <c r="F123" s="54"/>
      <c r="G123" s="53">
        <f>IF($B123="","",SUMPRODUCT(('Compliance Log'!$A$6:$A$1005=$B123)*('Compliance Log'!$H$6:$H$1005="Overdue")))</f>
        <v/>
      </c>
      <c r="H123" s="53">
        <f>IF($B123="","",SUMPRODUCT(('Compliance Log'!$A$6:$A$1005=$B123)*(('Compliance Log'!$H$6:$H$1005="Due &lt;=30")+('Compliance Log'!$H$6:$H$1005="Due 31-60"))))</f>
        <v/>
      </c>
      <c r="I123" s="53">
        <f>IF($B123="","",SUMPRODUCT(('Compliance Log'!$A$6:$A$1005=$B123)*('Compliance Log'!$H$6:$H$1005="OK")))</f>
        <v/>
      </c>
      <c r="J123" s="53">
        <f>IF($B123="","",SUMPRODUCT(('Compliance Log'!$A$6:$A$1005=$B123)*('Compliance Log'!$H$6:$H$1005="No date")))</f>
        <v/>
      </c>
      <c r="K123" s="51">
        <f>IF($B123="","",IF($G123&gt;0,"Overdue",IF(SUMPRODUCT(('Compliance Log'!$A$6:$A$1005=$B123)*('Compliance Log'!$H$6:$H$1005="Due &lt;=30"))&gt;0,"Due &lt;=30",IF($H123&gt;0,"Due 31-60",IF($J123&gt;0,"No date",IF($I123&gt;0,"OK","No checks"))))))</f>
        <v/>
      </c>
      <c r="L123" s="51"/>
      <c r="M123" s="53">
        <f>IF($B123="","",$G123+$H123+$I123+$J123)</f>
        <v/>
      </c>
    </row>
    <row r="124" spans="2:13" ht="17" customHeight="1">
      <c r="B124" s="54">
        <f>IF(INDEX(Properties!$A$6:$A$105,ROW()-ROW($B$30))="","",INDEX(Properties!$A$6:$A$105,ROW()-ROW($B$30)))</f>
        <v/>
      </c>
      <c r="C124" s="54"/>
      <c r="D124" s="54"/>
      <c r="E124" s="54"/>
      <c r="F124" s="54"/>
      <c r="G124" s="53">
        <f>IF($B124="","",SUMPRODUCT(('Compliance Log'!$A$6:$A$1005=$B124)*('Compliance Log'!$H$6:$H$1005="Overdue")))</f>
        <v/>
      </c>
      <c r="H124" s="53">
        <f>IF($B124="","",SUMPRODUCT(('Compliance Log'!$A$6:$A$1005=$B124)*(('Compliance Log'!$H$6:$H$1005="Due &lt;=30")+('Compliance Log'!$H$6:$H$1005="Due 31-60"))))</f>
        <v/>
      </c>
      <c r="I124" s="53">
        <f>IF($B124="","",SUMPRODUCT(('Compliance Log'!$A$6:$A$1005=$B124)*('Compliance Log'!$H$6:$H$1005="OK")))</f>
        <v/>
      </c>
      <c r="J124" s="53">
        <f>IF($B124="","",SUMPRODUCT(('Compliance Log'!$A$6:$A$1005=$B124)*('Compliance Log'!$H$6:$H$1005="No date")))</f>
        <v/>
      </c>
      <c r="K124" s="51">
        <f>IF($B124="","",IF($G124&gt;0,"Overdue",IF(SUMPRODUCT(('Compliance Log'!$A$6:$A$1005=$B124)*('Compliance Log'!$H$6:$H$1005="Due &lt;=30"))&gt;0,"Due &lt;=30",IF($H124&gt;0,"Due 31-60",IF($J124&gt;0,"No date",IF($I124&gt;0,"OK","No checks"))))))</f>
        <v/>
      </c>
      <c r="L124" s="51"/>
      <c r="M124" s="53">
        <f>IF($B124="","",$G124+$H124+$I124+$J124)</f>
        <v/>
      </c>
    </row>
    <row r="125" spans="2:13" ht="17" customHeight="1">
      <c r="B125" s="54">
        <f>IF(INDEX(Properties!$A$6:$A$105,ROW()-ROW($B$30))="","",INDEX(Properties!$A$6:$A$105,ROW()-ROW($B$30)))</f>
        <v/>
      </c>
      <c r="C125" s="54"/>
      <c r="D125" s="54"/>
      <c r="E125" s="54"/>
      <c r="F125" s="54"/>
      <c r="G125" s="53">
        <f>IF($B125="","",SUMPRODUCT(('Compliance Log'!$A$6:$A$1005=$B125)*('Compliance Log'!$H$6:$H$1005="Overdue")))</f>
        <v/>
      </c>
      <c r="H125" s="53">
        <f>IF($B125="","",SUMPRODUCT(('Compliance Log'!$A$6:$A$1005=$B125)*(('Compliance Log'!$H$6:$H$1005="Due &lt;=30")+('Compliance Log'!$H$6:$H$1005="Due 31-60"))))</f>
        <v/>
      </c>
      <c r="I125" s="53">
        <f>IF($B125="","",SUMPRODUCT(('Compliance Log'!$A$6:$A$1005=$B125)*('Compliance Log'!$H$6:$H$1005="OK")))</f>
        <v/>
      </c>
      <c r="J125" s="53">
        <f>IF($B125="","",SUMPRODUCT(('Compliance Log'!$A$6:$A$1005=$B125)*('Compliance Log'!$H$6:$H$1005="No date")))</f>
        <v/>
      </c>
      <c r="K125" s="51">
        <f>IF($B125="","",IF($G125&gt;0,"Overdue",IF(SUMPRODUCT(('Compliance Log'!$A$6:$A$1005=$B125)*('Compliance Log'!$H$6:$H$1005="Due &lt;=30"))&gt;0,"Due &lt;=30",IF($H125&gt;0,"Due 31-60",IF($J125&gt;0,"No date",IF($I125&gt;0,"OK","No checks"))))))</f>
        <v/>
      </c>
      <c r="L125" s="51"/>
      <c r="M125" s="53">
        <f>IF($B125="","",$G125+$H125+$I125+$J125)</f>
        <v/>
      </c>
    </row>
    <row r="126" spans="2:13" ht="17" customHeight="1">
      <c r="B126" s="54">
        <f>IF(INDEX(Properties!$A$6:$A$105,ROW()-ROW($B$30))="","",INDEX(Properties!$A$6:$A$105,ROW()-ROW($B$30)))</f>
        <v/>
      </c>
      <c r="C126" s="54"/>
      <c r="D126" s="54"/>
      <c r="E126" s="54"/>
      <c r="F126" s="54"/>
      <c r="G126" s="53">
        <f>IF($B126="","",SUMPRODUCT(('Compliance Log'!$A$6:$A$1005=$B126)*('Compliance Log'!$H$6:$H$1005="Overdue")))</f>
        <v/>
      </c>
      <c r="H126" s="53">
        <f>IF($B126="","",SUMPRODUCT(('Compliance Log'!$A$6:$A$1005=$B126)*(('Compliance Log'!$H$6:$H$1005="Due &lt;=30")+('Compliance Log'!$H$6:$H$1005="Due 31-60"))))</f>
        <v/>
      </c>
      <c r="I126" s="53">
        <f>IF($B126="","",SUMPRODUCT(('Compliance Log'!$A$6:$A$1005=$B126)*('Compliance Log'!$H$6:$H$1005="OK")))</f>
        <v/>
      </c>
      <c r="J126" s="53">
        <f>IF($B126="","",SUMPRODUCT(('Compliance Log'!$A$6:$A$1005=$B126)*('Compliance Log'!$H$6:$H$1005="No date")))</f>
        <v/>
      </c>
      <c r="K126" s="51">
        <f>IF($B126="","",IF($G126&gt;0,"Overdue",IF(SUMPRODUCT(('Compliance Log'!$A$6:$A$1005=$B126)*('Compliance Log'!$H$6:$H$1005="Due &lt;=30"))&gt;0,"Due &lt;=30",IF($H126&gt;0,"Due 31-60",IF($J126&gt;0,"No date",IF($I126&gt;0,"OK","No checks"))))))</f>
        <v/>
      </c>
      <c r="L126" s="51"/>
      <c r="M126" s="53">
        <f>IF($B126="","",$G126+$H126+$I126+$J126)</f>
        <v/>
      </c>
    </row>
    <row r="127" spans="2:13" ht="17" customHeight="1">
      <c r="B127" s="54">
        <f>IF(INDEX(Properties!$A$6:$A$105,ROW()-ROW($B$30))="","",INDEX(Properties!$A$6:$A$105,ROW()-ROW($B$30)))</f>
        <v/>
      </c>
      <c r="C127" s="54"/>
      <c r="D127" s="54"/>
      <c r="E127" s="54"/>
      <c r="F127" s="54"/>
      <c r="G127" s="53">
        <f>IF($B127="","",SUMPRODUCT(('Compliance Log'!$A$6:$A$1005=$B127)*('Compliance Log'!$H$6:$H$1005="Overdue")))</f>
        <v/>
      </c>
      <c r="H127" s="53">
        <f>IF($B127="","",SUMPRODUCT(('Compliance Log'!$A$6:$A$1005=$B127)*(('Compliance Log'!$H$6:$H$1005="Due &lt;=30")+('Compliance Log'!$H$6:$H$1005="Due 31-60"))))</f>
        <v/>
      </c>
      <c r="I127" s="53">
        <f>IF($B127="","",SUMPRODUCT(('Compliance Log'!$A$6:$A$1005=$B127)*('Compliance Log'!$H$6:$H$1005="OK")))</f>
        <v/>
      </c>
      <c r="J127" s="53">
        <f>IF($B127="","",SUMPRODUCT(('Compliance Log'!$A$6:$A$1005=$B127)*('Compliance Log'!$H$6:$H$1005="No date")))</f>
        <v/>
      </c>
      <c r="K127" s="51">
        <f>IF($B127="","",IF($G127&gt;0,"Overdue",IF(SUMPRODUCT(('Compliance Log'!$A$6:$A$1005=$B127)*('Compliance Log'!$H$6:$H$1005="Due &lt;=30"))&gt;0,"Due &lt;=30",IF($H127&gt;0,"Due 31-60",IF($J127&gt;0,"No date",IF($I127&gt;0,"OK","No checks"))))))</f>
        <v/>
      </c>
      <c r="L127" s="51"/>
      <c r="M127" s="53">
        <f>IF($B127="","",$G127+$H127+$I127+$J127)</f>
        <v/>
      </c>
    </row>
    <row r="128" spans="2:13" ht="17" customHeight="1">
      <c r="B128" s="54">
        <f>IF(INDEX(Properties!$A$6:$A$105,ROW()-ROW($B$30))="","",INDEX(Properties!$A$6:$A$105,ROW()-ROW($B$30)))</f>
        <v/>
      </c>
      <c r="C128" s="54"/>
      <c r="D128" s="54"/>
      <c r="E128" s="54"/>
      <c r="F128" s="54"/>
      <c r="G128" s="53">
        <f>IF($B128="","",SUMPRODUCT(('Compliance Log'!$A$6:$A$1005=$B128)*('Compliance Log'!$H$6:$H$1005="Overdue")))</f>
        <v/>
      </c>
      <c r="H128" s="53">
        <f>IF($B128="","",SUMPRODUCT(('Compliance Log'!$A$6:$A$1005=$B128)*(('Compliance Log'!$H$6:$H$1005="Due &lt;=30")+('Compliance Log'!$H$6:$H$1005="Due 31-60"))))</f>
        <v/>
      </c>
      <c r="I128" s="53">
        <f>IF($B128="","",SUMPRODUCT(('Compliance Log'!$A$6:$A$1005=$B128)*('Compliance Log'!$H$6:$H$1005="OK")))</f>
        <v/>
      </c>
      <c r="J128" s="53">
        <f>IF($B128="","",SUMPRODUCT(('Compliance Log'!$A$6:$A$1005=$B128)*('Compliance Log'!$H$6:$H$1005="No date")))</f>
        <v/>
      </c>
      <c r="K128" s="51">
        <f>IF($B128="","",IF($G128&gt;0,"Overdue",IF(SUMPRODUCT(('Compliance Log'!$A$6:$A$1005=$B128)*('Compliance Log'!$H$6:$H$1005="Due &lt;=30"))&gt;0,"Due &lt;=30",IF($H128&gt;0,"Due 31-60",IF($J128&gt;0,"No date",IF($I128&gt;0,"OK","No checks"))))))</f>
        <v/>
      </c>
      <c r="L128" s="51"/>
      <c r="M128" s="53">
        <f>IF($B128="","",$G128+$H128+$I128+$J128)</f>
        <v/>
      </c>
    </row>
    <row r="129" spans="2:13" ht="17" customHeight="1">
      <c r="B129" s="54">
        <f>IF(INDEX(Properties!$A$6:$A$105,ROW()-ROW($B$30))="","",INDEX(Properties!$A$6:$A$105,ROW()-ROW($B$30)))</f>
        <v/>
      </c>
      <c r="C129" s="54"/>
      <c r="D129" s="54"/>
      <c r="E129" s="54"/>
      <c r="F129" s="54"/>
      <c r="G129" s="53">
        <f>IF($B129="","",SUMPRODUCT(('Compliance Log'!$A$6:$A$1005=$B129)*('Compliance Log'!$H$6:$H$1005="Overdue")))</f>
        <v/>
      </c>
      <c r="H129" s="53">
        <f>IF($B129="","",SUMPRODUCT(('Compliance Log'!$A$6:$A$1005=$B129)*(('Compliance Log'!$H$6:$H$1005="Due &lt;=30")+('Compliance Log'!$H$6:$H$1005="Due 31-60"))))</f>
        <v/>
      </c>
      <c r="I129" s="53">
        <f>IF($B129="","",SUMPRODUCT(('Compliance Log'!$A$6:$A$1005=$B129)*('Compliance Log'!$H$6:$H$1005="OK")))</f>
        <v/>
      </c>
      <c r="J129" s="53">
        <f>IF($B129="","",SUMPRODUCT(('Compliance Log'!$A$6:$A$1005=$B129)*('Compliance Log'!$H$6:$H$1005="No date")))</f>
        <v/>
      </c>
      <c r="K129" s="51">
        <f>IF($B129="","",IF($G129&gt;0,"Overdue",IF(SUMPRODUCT(('Compliance Log'!$A$6:$A$1005=$B129)*('Compliance Log'!$H$6:$H$1005="Due &lt;=30"))&gt;0,"Due &lt;=30",IF($H129&gt;0,"Due 31-60",IF($J129&gt;0,"No date",IF($I129&gt;0,"OK","No checks"))))))</f>
        <v/>
      </c>
      <c r="L129" s="51"/>
      <c r="M129" s="53">
        <f>IF($B129="","",$G129+$H129+$I129+$J129)</f>
        <v/>
      </c>
    </row>
    <row r="130" spans="2:13" ht="17" customHeight="1">
      <c r="B130" s="54">
        <f>IF(INDEX(Properties!$A$6:$A$105,ROW()-ROW($B$30))="","",INDEX(Properties!$A$6:$A$105,ROW()-ROW($B$30)))</f>
        <v/>
      </c>
      <c r="C130" s="54"/>
      <c r="D130" s="54"/>
      <c r="E130" s="54"/>
      <c r="F130" s="54"/>
      <c r="G130" s="53">
        <f>IF($B130="","",SUMPRODUCT(('Compliance Log'!$A$6:$A$1005=$B130)*('Compliance Log'!$H$6:$H$1005="Overdue")))</f>
        <v/>
      </c>
      <c r="H130" s="53">
        <f>IF($B130="","",SUMPRODUCT(('Compliance Log'!$A$6:$A$1005=$B130)*(('Compliance Log'!$H$6:$H$1005="Due &lt;=30")+('Compliance Log'!$H$6:$H$1005="Due 31-60"))))</f>
        <v/>
      </c>
      <c r="I130" s="53">
        <f>IF($B130="","",SUMPRODUCT(('Compliance Log'!$A$6:$A$1005=$B130)*('Compliance Log'!$H$6:$H$1005="OK")))</f>
        <v/>
      </c>
      <c r="J130" s="53">
        <f>IF($B130="","",SUMPRODUCT(('Compliance Log'!$A$6:$A$1005=$B130)*('Compliance Log'!$H$6:$H$1005="No date")))</f>
        <v/>
      </c>
      <c r="K130" s="51">
        <f>IF($B130="","",IF($G130&gt;0,"Overdue",IF(SUMPRODUCT(('Compliance Log'!$A$6:$A$1005=$B130)*('Compliance Log'!$H$6:$H$1005="Due &lt;=30"))&gt;0,"Due &lt;=30",IF($H130&gt;0,"Due 31-60",IF($J130&gt;0,"No date",IF($I130&gt;0,"OK","No checks"))))))</f>
        <v/>
      </c>
      <c r="L130" s="51"/>
      <c r="M130" s="53">
        <f>IF($B130="","",$G130+$H130+$I130+$J130)</f>
        <v/>
      </c>
    </row>
  </sheetData>
  <mergeCells count="277">
    <mergeCell ref="B3:M3"/>
    <mergeCell ref="B5:C5"/>
    <mergeCell ref="B6:C6"/>
    <mergeCell ref="D5:E5"/>
    <mergeCell ref="D6:E6"/>
    <mergeCell ref="F5:G5"/>
    <mergeCell ref="F6:G6"/>
    <mergeCell ref="H5:I5"/>
    <mergeCell ref="H6:I6"/>
    <mergeCell ref="J5:K5"/>
    <mergeCell ref="J6:K6"/>
    <mergeCell ref="L5:M5"/>
    <mergeCell ref="L6:M6"/>
    <mergeCell ref="B8:C8"/>
    <mergeCell ref="B9:C9"/>
    <mergeCell ref="D8:E8"/>
    <mergeCell ref="D9:E9"/>
    <mergeCell ref="F8:G8"/>
    <mergeCell ref="F9:G9"/>
    <mergeCell ref="H8:I8"/>
    <mergeCell ref="H9:I9"/>
    <mergeCell ref="J8:K8"/>
    <mergeCell ref="J9:K9"/>
    <mergeCell ref="L8:M8"/>
    <mergeCell ref="L9:M9"/>
    <mergeCell ref="B11:M11"/>
    <mergeCell ref="E12:G12"/>
    <mergeCell ref="H12:K12"/>
    <mergeCell ref="L12:M12"/>
    <mergeCell ref="E13:G13"/>
    <mergeCell ref="H13:K13"/>
    <mergeCell ref="L13:M13"/>
    <mergeCell ref="E14:G14"/>
    <mergeCell ref="H14:K14"/>
    <mergeCell ref="L14:M14"/>
    <mergeCell ref="E15:G15"/>
    <mergeCell ref="H15:K15"/>
    <mergeCell ref="L15:M15"/>
    <mergeCell ref="E16:G16"/>
    <mergeCell ref="H16:K16"/>
    <mergeCell ref="L16:M16"/>
    <mergeCell ref="E17:G17"/>
    <mergeCell ref="H17:K17"/>
    <mergeCell ref="L17:M17"/>
    <mergeCell ref="E18:G18"/>
    <mergeCell ref="H18:K18"/>
    <mergeCell ref="L18:M18"/>
    <mergeCell ref="E19:G19"/>
    <mergeCell ref="H19:K19"/>
    <mergeCell ref="L19:M19"/>
    <mergeCell ref="E20:G20"/>
    <mergeCell ref="H20:K20"/>
    <mergeCell ref="L20:M20"/>
    <mergeCell ref="E21:G21"/>
    <mergeCell ref="H21:K21"/>
    <mergeCell ref="L21:M21"/>
    <mergeCell ref="E22:G22"/>
    <mergeCell ref="H22:K22"/>
    <mergeCell ref="L22:M22"/>
    <mergeCell ref="E23:G23"/>
    <mergeCell ref="H23:K23"/>
    <mergeCell ref="L23:M23"/>
    <mergeCell ref="E24:G24"/>
    <mergeCell ref="H24:K24"/>
    <mergeCell ref="L24:M24"/>
    <mergeCell ref="E25:G25"/>
    <mergeCell ref="H25:K25"/>
    <mergeCell ref="L25:M25"/>
    <mergeCell ref="E26:G26"/>
    <mergeCell ref="H26:K26"/>
    <mergeCell ref="L26:M26"/>
    <mergeCell ref="E27:G27"/>
    <mergeCell ref="H27:K27"/>
    <mergeCell ref="L27:M27"/>
    <mergeCell ref="B29:M29"/>
    <mergeCell ref="B30:F30"/>
    <mergeCell ref="K30:L30"/>
    <mergeCell ref="B31:F31"/>
    <mergeCell ref="K31:L31"/>
    <mergeCell ref="B32:F32"/>
    <mergeCell ref="K32:L32"/>
    <mergeCell ref="B33:F33"/>
    <mergeCell ref="K33:L33"/>
    <mergeCell ref="B34:F34"/>
    <mergeCell ref="K34:L34"/>
    <mergeCell ref="B35:F35"/>
    <mergeCell ref="K35:L35"/>
    <mergeCell ref="B36:F36"/>
    <mergeCell ref="K36:L36"/>
    <mergeCell ref="B37:F37"/>
    <mergeCell ref="K37:L37"/>
    <mergeCell ref="B38:F38"/>
    <mergeCell ref="K38:L38"/>
    <mergeCell ref="B39:F39"/>
    <mergeCell ref="K39:L39"/>
    <mergeCell ref="B40:F40"/>
    <mergeCell ref="K40:L40"/>
    <mergeCell ref="B41:F41"/>
    <mergeCell ref="K41:L41"/>
    <mergeCell ref="B42:F42"/>
    <mergeCell ref="K42:L42"/>
    <mergeCell ref="B43:F43"/>
    <mergeCell ref="K43:L43"/>
    <mergeCell ref="B44:F44"/>
    <mergeCell ref="K44:L44"/>
    <mergeCell ref="B45:F45"/>
    <mergeCell ref="K45:L45"/>
    <mergeCell ref="B46:F46"/>
    <mergeCell ref="K46:L46"/>
    <mergeCell ref="B47:F47"/>
    <mergeCell ref="K47:L47"/>
    <mergeCell ref="B48:F48"/>
    <mergeCell ref="K48:L48"/>
    <mergeCell ref="B49:F49"/>
    <mergeCell ref="K49:L49"/>
    <mergeCell ref="B50:F50"/>
    <mergeCell ref="K50:L50"/>
    <mergeCell ref="B51:F51"/>
    <mergeCell ref="K51:L51"/>
    <mergeCell ref="B52:F52"/>
    <mergeCell ref="K52:L52"/>
    <mergeCell ref="B53:F53"/>
    <mergeCell ref="K53:L53"/>
    <mergeCell ref="B54:F54"/>
    <mergeCell ref="K54:L54"/>
    <mergeCell ref="B55:F55"/>
    <mergeCell ref="K55:L55"/>
    <mergeCell ref="B56:F56"/>
    <mergeCell ref="K56:L56"/>
    <mergeCell ref="B57:F57"/>
    <mergeCell ref="K57:L57"/>
    <mergeCell ref="B58:F58"/>
    <mergeCell ref="K58:L58"/>
    <mergeCell ref="B59:F59"/>
    <mergeCell ref="K59:L59"/>
    <mergeCell ref="B60:F60"/>
    <mergeCell ref="K60:L60"/>
    <mergeCell ref="B61:F61"/>
    <mergeCell ref="K61:L61"/>
    <mergeCell ref="B62:F62"/>
    <mergeCell ref="K62:L62"/>
    <mergeCell ref="B63:F63"/>
    <mergeCell ref="K63:L63"/>
    <mergeCell ref="B64:F64"/>
    <mergeCell ref="K64:L64"/>
    <mergeCell ref="B65:F65"/>
    <mergeCell ref="K65:L65"/>
    <mergeCell ref="B66:F66"/>
    <mergeCell ref="K66:L66"/>
    <mergeCell ref="B67:F67"/>
    <mergeCell ref="K67:L67"/>
    <mergeCell ref="B68:F68"/>
    <mergeCell ref="K68:L68"/>
    <mergeCell ref="B69:F69"/>
    <mergeCell ref="K69:L69"/>
    <mergeCell ref="B70:F70"/>
    <mergeCell ref="K70:L70"/>
    <mergeCell ref="B71:F71"/>
    <mergeCell ref="K71:L71"/>
    <mergeCell ref="B72:F72"/>
    <mergeCell ref="K72:L72"/>
    <mergeCell ref="B73:F73"/>
    <mergeCell ref="K73:L73"/>
    <mergeCell ref="B74:F74"/>
    <mergeCell ref="K74:L74"/>
    <mergeCell ref="B75:F75"/>
    <mergeCell ref="K75:L75"/>
    <mergeCell ref="B76:F76"/>
    <mergeCell ref="K76:L76"/>
    <mergeCell ref="B77:F77"/>
    <mergeCell ref="K77:L77"/>
    <mergeCell ref="B78:F78"/>
    <mergeCell ref="K78:L78"/>
    <mergeCell ref="B79:F79"/>
    <mergeCell ref="K79:L79"/>
    <mergeCell ref="B80:F80"/>
    <mergeCell ref="K80:L80"/>
    <mergeCell ref="B81:F81"/>
    <mergeCell ref="K81:L81"/>
    <mergeCell ref="B82:F82"/>
    <mergeCell ref="K82:L82"/>
    <mergeCell ref="B83:F83"/>
    <mergeCell ref="K83:L83"/>
    <mergeCell ref="B84:F84"/>
    <mergeCell ref="K84:L84"/>
    <mergeCell ref="B85:F85"/>
    <mergeCell ref="K85:L85"/>
    <mergeCell ref="B86:F86"/>
    <mergeCell ref="K86:L86"/>
    <mergeCell ref="B87:F87"/>
    <mergeCell ref="K87:L87"/>
    <mergeCell ref="B88:F88"/>
    <mergeCell ref="K88:L88"/>
    <mergeCell ref="B89:F89"/>
    <mergeCell ref="K89:L89"/>
    <mergeCell ref="B90:F90"/>
    <mergeCell ref="K90:L90"/>
    <mergeCell ref="B91:F91"/>
    <mergeCell ref="K91:L91"/>
    <mergeCell ref="B92:F92"/>
    <mergeCell ref="K92:L92"/>
    <mergeCell ref="B93:F93"/>
    <mergeCell ref="K93:L93"/>
    <mergeCell ref="B94:F94"/>
    <mergeCell ref="K94:L94"/>
    <mergeCell ref="B95:F95"/>
    <mergeCell ref="K95:L95"/>
    <mergeCell ref="B96:F96"/>
    <mergeCell ref="K96:L96"/>
    <mergeCell ref="B97:F97"/>
    <mergeCell ref="K97:L97"/>
    <mergeCell ref="B98:F98"/>
    <mergeCell ref="K98:L98"/>
    <mergeCell ref="B99:F99"/>
    <mergeCell ref="K99:L99"/>
    <mergeCell ref="B100:F100"/>
    <mergeCell ref="K100:L100"/>
    <mergeCell ref="B101:F101"/>
    <mergeCell ref="K101:L101"/>
    <mergeCell ref="B102:F102"/>
    <mergeCell ref="K102:L102"/>
    <mergeCell ref="B103:F103"/>
    <mergeCell ref="K103:L103"/>
    <mergeCell ref="B104:F104"/>
    <mergeCell ref="K104:L104"/>
    <mergeCell ref="B105:F105"/>
    <mergeCell ref="K105:L105"/>
    <mergeCell ref="B106:F106"/>
    <mergeCell ref="K106:L106"/>
    <mergeCell ref="B107:F107"/>
    <mergeCell ref="K107:L107"/>
    <mergeCell ref="B108:F108"/>
    <mergeCell ref="K108:L108"/>
    <mergeCell ref="B109:F109"/>
    <mergeCell ref="K109:L109"/>
    <mergeCell ref="B110:F110"/>
    <mergeCell ref="K110:L110"/>
    <mergeCell ref="B111:F111"/>
    <mergeCell ref="K111:L111"/>
    <mergeCell ref="B112:F112"/>
    <mergeCell ref="K112:L112"/>
    <mergeCell ref="B113:F113"/>
    <mergeCell ref="K113:L113"/>
    <mergeCell ref="B114:F114"/>
    <mergeCell ref="K114:L114"/>
    <mergeCell ref="B115:F115"/>
    <mergeCell ref="K115:L115"/>
    <mergeCell ref="B116:F116"/>
    <mergeCell ref="K116:L116"/>
    <mergeCell ref="B117:F117"/>
    <mergeCell ref="K117:L117"/>
    <mergeCell ref="B118:F118"/>
    <mergeCell ref="K118:L118"/>
    <mergeCell ref="B119:F119"/>
    <mergeCell ref="K119:L119"/>
    <mergeCell ref="B120:F120"/>
    <mergeCell ref="K120:L120"/>
    <mergeCell ref="B121:F121"/>
    <mergeCell ref="K121:L121"/>
    <mergeCell ref="B122:F122"/>
    <mergeCell ref="K122:L122"/>
    <mergeCell ref="B123:F123"/>
    <mergeCell ref="K123:L123"/>
    <mergeCell ref="B124:F124"/>
    <mergeCell ref="K124:L124"/>
    <mergeCell ref="B125:F125"/>
    <mergeCell ref="K125:L125"/>
    <mergeCell ref="B126:F126"/>
    <mergeCell ref="K126:L126"/>
    <mergeCell ref="B127:F127"/>
    <mergeCell ref="K127:L127"/>
    <mergeCell ref="B128:F128"/>
    <mergeCell ref="K128:L128"/>
    <mergeCell ref="B129:F129"/>
    <mergeCell ref="K129:L129"/>
    <mergeCell ref="B130:F130"/>
    <mergeCell ref="K130:L130"/>
  </mergeCells>
  <conditionalFormatting sqref="C13:D27">
    <cfRule type="expression" dxfId="0" priority="6">
      <formula>$L13="Overdue"</formula>
    </cfRule>
    <cfRule type="expression" dxfId="1" priority="7">
      <formula>$L13="Due &lt;=30"</formula>
    </cfRule>
    <cfRule type="expression" dxfId="2" priority="8">
      <formula>$L13="Due 31-60"</formula>
    </cfRule>
    <cfRule type="expression" dxfId="3" priority="9">
      <formula>$L13="OK"</formula>
    </cfRule>
    <cfRule type="expression" dxfId="4" priority="10">
      <formula>$L13="No date"</formula>
    </cfRule>
  </conditionalFormatting>
  <conditionalFormatting sqref="G31:G130">
    <cfRule type="expression" dxfId="0" priority="16">
      <formula>AND(ISNUMBER($G31),$G31&gt;0)</formula>
    </cfRule>
  </conditionalFormatting>
  <conditionalFormatting sqref="H31:H130">
    <cfRule type="expression" dxfId="2" priority="17">
      <formula>AND(ISNUMBER($H31),$H31&gt;0)</formula>
    </cfRule>
  </conditionalFormatting>
  <conditionalFormatting sqref="K31:L130">
    <cfRule type="expression" dxfId="0" priority="11">
      <formula>$K31="Overdue"</formula>
    </cfRule>
    <cfRule type="expression" dxfId="1" priority="12">
      <formula>$K31="Due &lt;=30"</formula>
    </cfRule>
    <cfRule type="expression" dxfId="2" priority="13">
      <formula>$K31="Due 31-60"</formula>
    </cfRule>
    <cfRule type="expression" dxfId="3" priority="14">
      <formula>$K31="OK"</formula>
    </cfRule>
    <cfRule type="expression" dxfId="4" priority="15">
      <formula>$K31="No date"</formula>
    </cfRule>
  </conditionalFormatting>
  <conditionalFormatting sqref="L13:M27">
    <cfRule type="expression" dxfId="0" priority="1">
      <formula>$L13="Overdue"</formula>
    </cfRule>
    <cfRule type="expression" dxfId="1" priority="2">
      <formula>$L13="Due &lt;=30"</formula>
    </cfRule>
    <cfRule type="expression" dxfId="2" priority="3">
      <formula>$L13="Due 31-60"</formula>
    </cfRule>
    <cfRule type="expression" dxfId="3" priority="4">
      <formula>$L13="OK"</formula>
    </cfRule>
    <cfRule type="expression" dxfId="4" priority="5">
      <formula>$L13="No date"</formula>
    </cfRule>
  </conditionalFormatting>
  <pageMargins left="0.4" right="0.4" top="0.5" bottom="0.55" header="0.3" footer="0.3"/>
  <pageSetup paperSize="9" orientation="landscape"/>
  <headerFooter>
    <oddFooter>&amp;L&amp;8&amp;A&amp;C&amp;8Page &amp;P of &amp;N&amp;R&amp;8Printed &amp;D</oddFooter>
  </headerFooter>
  <ignoredErrors>
    <ignoredError sqref="A1:Z2000" numberStoredAsText="1"/>
    <ignoredError sqref="A1:Z2000" formula="1"/>
  </ignoredErrors>
</worksheet>
</file>

<file path=xl/worksheets/sheet3.xml><?xml version="1.0" encoding="utf-8"?>
<worksheet xmlns="http://schemas.openxmlformats.org/spreadsheetml/2006/main" xmlns:r="http://schemas.openxmlformats.org/officeDocument/2006/relationships">
  <sheetPr>
    <tabColor rgb="FFAD1457"/>
    <pageSetUpPr fitToPage="1"/>
  </sheetPr>
  <dimension ref="A1:AJ133"/>
  <sheetViews>
    <sheetView workbookViewId="0">
      <pane xSplit="1" ySplit="8" topLeftCell="B9" activePane="bottomRight" state="frozen"/>
      <selection pane="topRight" activeCell="B1" sqref="B1"/>
      <selection pane="bottomLeft" activeCell="A9" sqref="A9"/>
      <selection pane="bottomRight"/>
    </sheetView>
  </sheetViews>
  <sheetFormatPr defaultRowHeight="15"/>
  <cols>
    <col min="1" max="1" width="42.7109375" customWidth="1"/>
    <col min="2" max="2" width="20.7109375" customWidth="1"/>
    <col min="3" max="4" width="12.7109375" customWidth="1"/>
    <col min="5" max="5" width="9.7109375" customWidth="1"/>
    <col min="6" max="6" width="8.7109375" customWidth="1"/>
    <col min="7" max="7" width="10.7109375" customWidth="1"/>
    <col min="8" max="8" width="9.7109375" customWidth="1"/>
    <col min="9" max="9" width="12.7109375" customWidth="1"/>
    <col min="10" max="10" width="26.7109375" customWidth="1"/>
    <col min="11" max="29" width="13.28515625" customWidth="1"/>
    <col min="30" max="30" width="12.7109375" customWidth="1"/>
    <col min="31" max="31" width="18.7109375" customWidth="1"/>
    <col min="32" max="32" width="12.7109375" customWidth="1"/>
    <col min="33" max="34" width="13.7109375" customWidth="1"/>
    <col min="35" max="35" width="40.7109375" customWidth="1"/>
    <col min="36" max="36" width="4.7109375" hidden="1" customWidth="1"/>
  </cols>
  <sheetData>
    <row r="1" spans="1:36" ht="17" customHeight="1">
      <c r="A1" s="25" t="str">
        <f>IF(TRIM('Start Here'!$C$20)="","HMO Compliance Tracker 2026",TRIM('Start Here'!$C$20))&amp;IF(TRIM('Start Here'!$C$21)="","","  |  "&amp;TRIM('Start Here'!$C$21))&amp;IF(TRIM('Start Here'!$C$22)="","","  |  "&amp;TRIM('Start Here'!$C$22))&amp;IF(TRIM('Start Here'!$C$23)="","","  |  "&amp;TRIM('Start Here'!$C$23))</f>
        <v>HMO Compliance Tracker 2026</v>
      </c>
      <c r="B1" s="26"/>
      <c r="C1" s="26"/>
      <c r="D1" s="26"/>
      <c r="E1" s="26"/>
      <c r="F1" s="26"/>
      <c r="G1" s="26"/>
      <c r="H1" s="26"/>
      <c r="I1" s="26"/>
      <c r="J1" s="26"/>
    </row>
    <row r="2" spans="1:36" ht="30" customHeight="1">
      <c r="A2" s="55" t="s">
        <v>50</v>
      </c>
      <c r="F2" s="56" t="s">
        <v>91</v>
      </c>
      <c r="G2" s="57"/>
      <c r="H2" s="57"/>
      <c r="I2" s="57"/>
      <c r="J2" s="57"/>
    </row>
    <row r="3" spans="1:36" ht="46" customHeight="1">
      <c r="A3" s="58" t="s">
        <v>92</v>
      </c>
      <c r="B3" s="58"/>
      <c r="C3" s="58"/>
      <c r="D3" s="58"/>
      <c r="E3" s="58"/>
      <c r="F3" s="58"/>
      <c r="G3" s="58"/>
      <c r="H3" s="58"/>
      <c r="I3" s="58"/>
      <c r="J3" s="58"/>
    </row>
    <row r="4" spans="1:36">
      <c r="A4" s="59" t="s">
        <v>93</v>
      </c>
      <c r="B4" s="60" t="s">
        <v>94</v>
      </c>
      <c r="C4" s="60"/>
      <c r="D4" s="61" t="s">
        <v>95</v>
      </c>
      <c r="E4" s="61"/>
      <c r="F4" s="62" t="s">
        <v>96</v>
      </c>
      <c r="G4" s="62"/>
      <c r="H4" s="63" t="s">
        <v>97</v>
      </c>
      <c r="I4" s="63"/>
      <c r="J4" s="64" t="s">
        <v>98</v>
      </c>
    </row>
    <row r="5" spans="1:36" ht="28" customHeight="1">
      <c r="A5" s="65">
        <f>COUNTA($A$9:$A$108)</f>
        <v>2</v>
      </c>
      <c r="B5" s="66">
        <f>SUMPRODUCT(--($I$9:$I$108="Ready"))</f>
        <v>0</v>
      </c>
      <c r="C5" s="66"/>
      <c r="D5" s="67">
        <f>SUMPRODUCT(--($I$9:$I$108="Nearly"))</f>
        <v>1</v>
      </c>
      <c r="E5" s="67"/>
      <c r="F5" s="68">
        <f>SUMPRODUCT(--($I$9:$I$108="Not ready"))</f>
        <v>1</v>
      </c>
      <c r="G5" s="68"/>
      <c r="H5" s="69">
        <f>SUMPRODUCT(--($I$9:$I$108="Registered"))</f>
        <v>0</v>
      </c>
      <c r="I5" s="69"/>
      <c r="J5" s="70">
        <f>IF(COUNT($AJ$9:$AJ$108)=0,"n/a",MIN($AJ$9:$AJ$108))</f>
        <v>46460.0</v>
      </c>
    </row>
    <row r="6" spans="1:36" ht="22" customHeight="1">
      <c r="A6" s="71" t="s">
        <v>99</v>
      </c>
      <c r="B6" s="72">
        <v>65</v>
      </c>
      <c r="C6" s="71" t="s">
        <v>100</v>
      </c>
      <c r="D6" s="71"/>
      <c r="E6" s="71"/>
      <c r="F6" s="73">
        <f>COUNTA($A$9:$A$108)*$B$6</f>
        <v>130</v>
      </c>
      <c r="G6" s="73"/>
      <c r="H6" s="74" t="s">
        <v>101</v>
      </c>
      <c r="I6" s="74"/>
      <c r="J6" s="74"/>
    </row>
    <row r="7" spans="1:36" ht="17" customHeight="1">
      <c r="A7" s="75" t="s">
        <v>102</v>
      </c>
      <c r="B7" s="75"/>
      <c r="C7" s="75"/>
      <c r="D7" s="75"/>
      <c r="E7" s="75"/>
      <c r="F7" s="75"/>
      <c r="G7" s="75"/>
      <c r="H7" s="75"/>
      <c r="I7" s="75"/>
      <c r="J7" s="75"/>
      <c r="K7" s="76" t="s">
        <v>103</v>
      </c>
      <c r="L7" s="76"/>
      <c r="M7" s="76"/>
      <c r="N7" s="76"/>
      <c r="O7" s="76"/>
      <c r="P7" s="76"/>
      <c r="Q7" s="76"/>
      <c r="R7" s="77" t="s">
        <v>104</v>
      </c>
      <c r="S7" s="77"/>
      <c r="T7" s="77"/>
      <c r="U7" s="77"/>
      <c r="V7" s="77"/>
      <c r="W7" s="77"/>
      <c r="X7" s="77"/>
      <c r="Y7" s="77"/>
      <c r="Z7" s="77"/>
      <c r="AA7" s="77"/>
      <c r="AB7" s="77"/>
      <c r="AC7" s="77"/>
      <c r="AD7" s="78" t="s">
        <v>105</v>
      </c>
      <c r="AE7" s="78"/>
      <c r="AF7" s="78"/>
      <c r="AG7" s="78"/>
      <c r="AH7" s="78"/>
      <c r="AI7" s="78"/>
    </row>
    <row r="8" spans="1:36" ht="98" customHeight="1">
      <c r="A8" s="79" t="s">
        <v>82</v>
      </c>
      <c r="B8" s="79" t="s">
        <v>106</v>
      </c>
      <c r="C8" s="80" t="s">
        <v>107</v>
      </c>
      <c r="D8" s="80" t="s">
        <v>108</v>
      </c>
      <c r="E8" s="80" t="s">
        <v>109</v>
      </c>
      <c r="F8" s="80" t="s">
        <v>110</v>
      </c>
      <c r="G8" s="80" t="s">
        <v>111</v>
      </c>
      <c r="H8" s="80" t="s">
        <v>112</v>
      </c>
      <c r="I8" s="80" t="s">
        <v>113</v>
      </c>
      <c r="J8" s="80" t="s">
        <v>114</v>
      </c>
      <c r="K8" s="79" t="s">
        <v>115</v>
      </c>
      <c r="L8" s="79" t="s">
        <v>116</v>
      </c>
      <c r="M8" s="79" t="s">
        <v>117</v>
      </c>
      <c r="N8" s="79" t="s">
        <v>118</v>
      </c>
      <c r="O8" s="79" t="s">
        <v>119</v>
      </c>
      <c r="P8" s="79" t="s">
        <v>120</v>
      </c>
      <c r="Q8" s="79" t="s">
        <v>121</v>
      </c>
      <c r="R8" s="79" t="s">
        <v>122</v>
      </c>
      <c r="S8" s="79" t="s">
        <v>123</v>
      </c>
      <c r="T8" s="79" t="s">
        <v>124</v>
      </c>
      <c r="U8" s="79" t="s">
        <v>125</v>
      </c>
      <c r="V8" s="79" t="s">
        <v>126</v>
      </c>
      <c r="W8" s="79" t="s">
        <v>127</v>
      </c>
      <c r="X8" s="79" t="s">
        <v>128</v>
      </c>
      <c r="Y8" s="79" t="s">
        <v>129</v>
      </c>
      <c r="Z8" s="79" t="s">
        <v>130</v>
      </c>
      <c r="AA8" s="79" t="s">
        <v>131</v>
      </c>
      <c r="AB8" s="79" t="s">
        <v>132</v>
      </c>
      <c r="AC8" s="79" t="s">
        <v>133</v>
      </c>
      <c r="AD8" s="79" t="s">
        <v>134</v>
      </c>
      <c r="AE8" s="79" t="s">
        <v>135</v>
      </c>
      <c r="AF8" s="80" t="s">
        <v>136</v>
      </c>
      <c r="AG8" s="79" t="s">
        <v>137</v>
      </c>
      <c r="AH8" s="80" t="s">
        <v>138</v>
      </c>
      <c r="AI8" s="79" t="s">
        <v>139</v>
      </c>
    </row>
    <row r="9" spans="1:36">
      <c r="A9" s="54" t="s">
        <v>169</v>
      </c>
      <c r="B9" s="81" t="s">
        <v>145</v>
      </c>
      <c r="C9" s="82">
        <f>IF($B9="","",IFERROR(VLOOKUP($B9,$A$112:$C$120,2,FALSE),""))</f>
        <v>46371.0</v>
      </c>
      <c r="D9" s="82">
        <f>IF($B9="","",IFERROR(VLOOKUP($B9,$A$112:$C$120,3,FALSE),""))</f>
        <v>46460.0</v>
      </c>
      <c r="E9" s="83">
        <f>IF(OR($D9="",ISNUMBER($AD9)),"",$D9-TODAY())</f>
        <v>163</v>
      </c>
      <c r="F9" s="83">
        <f>IF($A9="","",COUNTIF($K9:$T9,"Yes")+COUNTIF($K9:$T9,"N/A")+IF(OR($U9="N/A",AND($U9="Yes",ISNUMBER($V9))),1,0)+IF(OR($W9="N/A",AND($W9="Yes",ISNUMBER($X9))),1,0)+COUNTIF($Y9:$AC9,"Yes")+COUNTIF($Y9:$AC9,"N/A"))</f>
        <v>15</v>
      </c>
      <c r="G9" s="83">
        <f>IF($A9="","",17-$F9)</f>
        <v>2</v>
      </c>
      <c r="H9" s="84">
        <f>IF($A9="","",$F9/17)</f>
        <v>0.882352941176471</v>
      </c>
      <c r="I9" s="85" t="str">
        <f>IF($A9="","",IF(ISNUMBER($AD9),"Registered",IF($G9=0,"Ready",IF($G9&lt;=3,"Nearly","Not ready"))))</f>
        <v>Nearly</v>
      </c>
      <c r="J9" s="86" t="str">
        <f>IF($A9="","",IF(ISNUMBER($AD9),"Registered",IF($D9="","Pick a region",IF(TODAY()&gt;$D9,"OVERDUE: register now",IF(TODAY()&gt;=$C9,"Open: register by "&amp;TEXT($D9,"dd/mm/yyyy"),"Opens "&amp;TEXT($C9,"dd/mm/yyyy"))))))</f>
        <v>Opens 15/12/2026</v>
      </c>
      <c r="K9" s="51" t="s">
        <v>170</v>
      </c>
      <c r="L9" s="51" t="s">
        <v>170</v>
      </c>
      <c r="M9" s="51" t="s">
        <v>170</v>
      </c>
      <c r="N9" s="51" t="s">
        <v>170</v>
      </c>
      <c r="O9" s="51" t="s">
        <v>170</v>
      </c>
      <c r="P9" s="51" t="s">
        <v>170</v>
      </c>
      <c r="Q9" s="51" t="s">
        <v>170</v>
      </c>
      <c r="R9" s="51" t="s">
        <v>170</v>
      </c>
      <c r="S9" s="51" t="s">
        <v>170</v>
      </c>
      <c r="T9" s="51" t="s">
        <v>170</v>
      </c>
      <c r="U9" s="51" t="s">
        <v>170</v>
      </c>
      <c r="V9" s="52">
        <f>TODAY()-(45)</f>
        <v>46252.0</v>
      </c>
      <c r="W9" s="51" t="s">
        <v>170</v>
      </c>
      <c r="X9" s="52">
        <f>TODAY()+(300)</f>
        <v>46597.0</v>
      </c>
      <c r="Y9" s="51" t="s">
        <v>170</v>
      </c>
      <c r="Z9" s="51" t="s">
        <v>171</v>
      </c>
      <c r="AA9" s="51" t="s">
        <v>171</v>
      </c>
      <c r="AB9" s="51" t="s">
        <v>172</v>
      </c>
      <c r="AC9" s="51" t="s">
        <v>172</v>
      </c>
      <c r="AD9" s="52"/>
      <c r="AE9" s="54"/>
      <c r="AF9" s="82">
        <f>IF(ISNUMBER($AD9),EDATE($AD9,12)-1,"")</f>
        <v/>
      </c>
      <c r="AG9" s="52"/>
      <c r="AH9" s="82">
        <f>IF(ISNUMBER($AG9),$AG9+27,"")</f>
        <v/>
      </c>
      <c r="AI9" s="54" t="s">
        <v>173</v>
      </c>
      <c r="AJ9" s="87">
        <f>IF(AND($A9&lt;&gt;"",ISNUMBER($D9),NOT(ISNUMBER($AD9))),$D9,"")</f>
        <v>46460.0</v>
      </c>
    </row>
    <row r="10" spans="1:36">
      <c r="A10" s="54" t="s">
        <v>174</v>
      </c>
      <c r="B10" s="81" t="s">
        <v>151</v>
      </c>
      <c r="C10" s="82">
        <f>IF($B10="","",IFERROR(VLOOKUP($B10,$A$112:$C$120,2,FALSE),""))</f>
        <v>46522.0</v>
      </c>
      <c r="D10" s="82">
        <f>IF($B10="","",IFERROR(VLOOKUP($B10,$A$112:$C$120,3,FALSE),""))</f>
        <v>46613.0</v>
      </c>
      <c r="E10" s="83">
        <f>IF(OR($D10="",ISNUMBER($AD10)),"",$D10-TODAY())</f>
        <v>316</v>
      </c>
      <c r="F10" s="83">
        <f>IF($A10="","",COUNTIF($K10:$T10,"Yes")+COUNTIF($K10:$T10,"N/A")+IF(OR($U10="N/A",AND($U10="Yes",ISNUMBER($V10))),1,0)+IF(OR($W10="N/A",AND($W10="Yes",ISNUMBER($X10))),1,0)+COUNTIF($Y10:$AC10,"Yes")+COUNTIF($Y10:$AC10,"N/A"))</f>
        <v>12</v>
      </c>
      <c r="G10" s="83">
        <f>IF($A10="","",17-$F10)</f>
        <v>5</v>
      </c>
      <c r="H10" s="84">
        <f>IF($A10="","",$F10/17)</f>
        <v>0.705882352941177</v>
      </c>
      <c r="I10" s="85" t="str">
        <f>IF($A10="","",IF(ISNUMBER($AD10),"Registered",IF($G10=0,"Ready",IF($G10&lt;=3,"Nearly","Not ready"))))</f>
        <v>Not ready</v>
      </c>
      <c r="J10" s="86" t="str">
        <f>IF($A10="","",IF(ISNUMBER($AD10),"Registered",IF($D10="","Pick a region",IF(TODAY()&gt;$D10,"OVERDUE: register now",IF(TODAY()&gt;=$C10,"Open: register by "&amp;TEXT($D10,"dd/mm/yyyy"),"Opens "&amp;TEXT($C10,"dd/mm/yyyy"))))))</f>
        <v>Opens 15/05/2027</v>
      </c>
      <c r="K10" s="51" t="s">
        <v>170</v>
      </c>
      <c r="L10" s="51" t="s">
        <v>170</v>
      </c>
      <c r="M10" s="51" t="s">
        <v>170</v>
      </c>
      <c r="N10" s="51" t="s">
        <v>170</v>
      </c>
      <c r="O10" s="51" t="s">
        <v>170</v>
      </c>
      <c r="P10" s="51" t="s">
        <v>170</v>
      </c>
      <c r="Q10" s="51" t="s">
        <v>172</v>
      </c>
      <c r="R10" s="51" t="s">
        <v>170</v>
      </c>
      <c r="S10" s="51" t="s">
        <v>170</v>
      </c>
      <c r="T10" s="51" t="s">
        <v>172</v>
      </c>
      <c r="U10" s="51" t="s">
        <v>170</v>
      </c>
      <c r="V10" s="52"/>
      <c r="W10" s="51" t="s">
        <v>172</v>
      </c>
      <c r="X10" s="52"/>
      <c r="Y10" s="51" t="s">
        <v>170</v>
      </c>
      <c r="Z10" s="51" t="s">
        <v>171</v>
      </c>
      <c r="AA10" s="51" t="s">
        <v>171</v>
      </c>
      <c r="AB10" s="51" t="s">
        <v>172</v>
      </c>
      <c r="AC10" s="51" t="s">
        <v>170</v>
      </c>
      <c r="AD10" s="52"/>
      <c r="AE10" s="54"/>
      <c r="AF10" s="82">
        <f>IF(ISNUMBER($AD10),EDATE($AD10,12)-1,"")</f>
        <v/>
      </c>
      <c r="AG10" s="52"/>
      <c r="AH10" s="82">
        <f>IF(ISNUMBER($AG10),$AG10+27,"")</f>
        <v/>
      </c>
      <c r="AI10" s="54" t="s">
        <v>175</v>
      </c>
      <c r="AJ10" s="87">
        <f>IF(AND($A10&lt;&gt;"",ISNUMBER($D10),NOT(ISNUMBER($AD10))),$D10,"")</f>
        <v>46613.0</v>
      </c>
    </row>
    <row r="11" spans="1:36">
      <c r="A11" s="54"/>
      <c r="B11" s="81"/>
      <c r="C11" s="82">
        <f>IF($B11="","",IFERROR(VLOOKUP($B11,$A$112:$C$120,2,FALSE),""))</f>
        <v/>
      </c>
      <c r="D11" s="82">
        <f>IF($B11="","",IFERROR(VLOOKUP($B11,$A$112:$C$120,3,FALSE),""))</f>
        <v/>
      </c>
      <c r="E11" s="83">
        <f>IF(OR($D11="",ISNUMBER($AD11)),"",$D11-TODAY())</f>
        <v/>
      </c>
      <c r="F11" s="83">
        <f>IF($A11="","",COUNTIF($K11:$T11,"Yes")+COUNTIF($K11:$T11,"N/A")+IF(OR($U11="N/A",AND($U11="Yes",ISNUMBER($V11))),1,0)+IF(OR($W11="N/A",AND($W11="Yes",ISNUMBER($X11))),1,0)+COUNTIF($Y11:$AC11,"Yes")+COUNTIF($Y11:$AC11,"N/A"))</f>
        <v/>
      </c>
      <c r="G11" s="83">
        <f>IF($A11="","",17-$F11)</f>
        <v/>
      </c>
      <c r="H11" s="84">
        <f>IF($A11="","",$F11/17)</f>
        <v/>
      </c>
      <c r="I11" s="85">
        <f>IF($A11="","",IF(ISNUMBER($AD11),"Registered",IF($G11=0,"Ready",IF($G11&lt;=3,"Nearly","Not ready"))))</f>
        <v/>
      </c>
      <c r="J11" s="86">
        <f>IF($A11="","",IF(ISNUMBER($AD11),"Registered",IF($D11="","Pick a region",IF(TODAY()&gt;$D11,"OVERDUE: register now",IF(TODAY()&gt;=$C11,"Open: register by "&amp;TEXT($D11,"dd/mm/yyyy"),"Opens "&amp;TEXT($C11,"dd/mm/yyyy"))))))</f>
        <v/>
      </c>
      <c r="K11" s="51"/>
      <c r="L11" s="51"/>
      <c r="M11" s="51"/>
      <c r="N11" s="51"/>
      <c r="O11" s="51"/>
      <c r="P11" s="51"/>
      <c r="Q11" s="51"/>
      <c r="R11" s="51"/>
      <c r="S11" s="51"/>
      <c r="T11" s="51"/>
      <c r="U11" s="51"/>
      <c r="V11" s="52"/>
      <c r="W11" s="51"/>
      <c r="X11" s="52"/>
      <c r="Y11" s="51"/>
      <c r="Z11" s="51"/>
      <c r="AA11" s="51"/>
      <c r="AB11" s="51"/>
      <c r="AC11" s="51"/>
      <c r="AD11" s="52"/>
      <c r="AE11" s="54"/>
      <c r="AF11" s="82">
        <f>IF(ISNUMBER($AD11),EDATE($AD11,12)-1,"")</f>
        <v/>
      </c>
      <c r="AG11" s="52"/>
      <c r="AH11" s="82">
        <f>IF(ISNUMBER($AG11),$AG11+27,"")</f>
        <v/>
      </c>
      <c r="AI11" s="54"/>
      <c r="AJ11" s="87">
        <f>IF(AND($A11&lt;&gt;"",ISNUMBER($D11),NOT(ISNUMBER($AD11))),$D11,"")</f>
        <v/>
      </c>
    </row>
    <row r="12" spans="1:36">
      <c r="A12" s="54"/>
      <c r="B12" s="81"/>
      <c r="C12" s="82">
        <f>IF($B12="","",IFERROR(VLOOKUP($B12,$A$112:$C$120,2,FALSE),""))</f>
        <v/>
      </c>
      <c r="D12" s="82">
        <f>IF($B12="","",IFERROR(VLOOKUP($B12,$A$112:$C$120,3,FALSE),""))</f>
        <v/>
      </c>
      <c r="E12" s="83">
        <f>IF(OR($D12="",ISNUMBER($AD12)),"",$D12-TODAY())</f>
        <v/>
      </c>
      <c r="F12" s="83">
        <f>IF($A12="","",COUNTIF($K12:$T12,"Yes")+COUNTIF($K12:$T12,"N/A")+IF(OR($U12="N/A",AND($U12="Yes",ISNUMBER($V12))),1,0)+IF(OR($W12="N/A",AND($W12="Yes",ISNUMBER($X12))),1,0)+COUNTIF($Y12:$AC12,"Yes")+COUNTIF($Y12:$AC12,"N/A"))</f>
        <v/>
      </c>
      <c r="G12" s="83">
        <f>IF($A12="","",17-$F12)</f>
        <v/>
      </c>
      <c r="H12" s="84">
        <f>IF($A12="","",$F12/17)</f>
        <v/>
      </c>
      <c r="I12" s="85">
        <f>IF($A12="","",IF(ISNUMBER($AD12),"Registered",IF($G12=0,"Ready",IF($G12&lt;=3,"Nearly","Not ready"))))</f>
        <v/>
      </c>
      <c r="J12" s="86">
        <f>IF($A12="","",IF(ISNUMBER($AD12),"Registered",IF($D12="","Pick a region",IF(TODAY()&gt;$D12,"OVERDUE: register now",IF(TODAY()&gt;=$C12,"Open: register by "&amp;TEXT($D12,"dd/mm/yyyy"),"Opens "&amp;TEXT($C12,"dd/mm/yyyy"))))))</f>
        <v/>
      </c>
      <c r="K12" s="51"/>
      <c r="L12" s="51"/>
      <c r="M12" s="51"/>
      <c r="N12" s="51"/>
      <c r="O12" s="51"/>
      <c r="P12" s="51"/>
      <c r="Q12" s="51"/>
      <c r="R12" s="51"/>
      <c r="S12" s="51"/>
      <c r="T12" s="51"/>
      <c r="U12" s="51"/>
      <c r="V12" s="52"/>
      <c r="W12" s="51"/>
      <c r="X12" s="52"/>
      <c r="Y12" s="51"/>
      <c r="Z12" s="51"/>
      <c r="AA12" s="51"/>
      <c r="AB12" s="51"/>
      <c r="AC12" s="51"/>
      <c r="AD12" s="52"/>
      <c r="AE12" s="54"/>
      <c r="AF12" s="82">
        <f>IF(ISNUMBER($AD12),EDATE($AD12,12)-1,"")</f>
        <v/>
      </c>
      <c r="AG12" s="52"/>
      <c r="AH12" s="82">
        <f>IF(ISNUMBER($AG12),$AG12+27,"")</f>
        <v/>
      </c>
      <c r="AI12" s="54"/>
      <c r="AJ12" s="87">
        <f>IF(AND($A12&lt;&gt;"",ISNUMBER($D12),NOT(ISNUMBER($AD12))),$D12,"")</f>
        <v/>
      </c>
    </row>
    <row r="13" spans="1:36">
      <c r="A13" s="54"/>
      <c r="B13" s="81"/>
      <c r="C13" s="82">
        <f>IF($B13="","",IFERROR(VLOOKUP($B13,$A$112:$C$120,2,FALSE),""))</f>
        <v/>
      </c>
      <c r="D13" s="82">
        <f>IF($B13="","",IFERROR(VLOOKUP($B13,$A$112:$C$120,3,FALSE),""))</f>
        <v/>
      </c>
      <c r="E13" s="83">
        <f>IF(OR($D13="",ISNUMBER($AD13)),"",$D13-TODAY())</f>
        <v/>
      </c>
      <c r="F13" s="83">
        <f>IF($A13="","",COUNTIF($K13:$T13,"Yes")+COUNTIF($K13:$T13,"N/A")+IF(OR($U13="N/A",AND($U13="Yes",ISNUMBER($V13))),1,0)+IF(OR($W13="N/A",AND($W13="Yes",ISNUMBER($X13))),1,0)+COUNTIF($Y13:$AC13,"Yes")+COUNTIF($Y13:$AC13,"N/A"))</f>
        <v/>
      </c>
      <c r="G13" s="83">
        <f>IF($A13="","",17-$F13)</f>
        <v/>
      </c>
      <c r="H13" s="84">
        <f>IF($A13="","",$F13/17)</f>
        <v/>
      </c>
      <c r="I13" s="85">
        <f>IF($A13="","",IF(ISNUMBER($AD13),"Registered",IF($G13=0,"Ready",IF($G13&lt;=3,"Nearly","Not ready"))))</f>
        <v/>
      </c>
      <c r="J13" s="86">
        <f>IF($A13="","",IF(ISNUMBER($AD13),"Registered",IF($D13="","Pick a region",IF(TODAY()&gt;$D13,"OVERDUE: register now",IF(TODAY()&gt;=$C13,"Open: register by "&amp;TEXT($D13,"dd/mm/yyyy"),"Opens "&amp;TEXT($C13,"dd/mm/yyyy"))))))</f>
        <v/>
      </c>
      <c r="K13" s="51"/>
      <c r="L13" s="51"/>
      <c r="M13" s="51"/>
      <c r="N13" s="51"/>
      <c r="O13" s="51"/>
      <c r="P13" s="51"/>
      <c r="Q13" s="51"/>
      <c r="R13" s="51"/>
      <c r="S13" s="51"/>
      <c r="T13" s="51"/>
      <c r="U13" s="51"/>
      <c r="V13" s="52"/>
      <c r="W13" s="51"/>
      <c r="X13" s="52"/>
      <c r="Y13" s="51"/>
      <c r="Z13" s="51"/>
      <c r="AA13" s="51"/>
      <c r="AB13" s="51"/>
      <c r="AC13" s="51"/>
      <c r="AD13" s="52"/>
      <c r="AE13" s="54"/>
      <c r="AF13" s="82">
        <f>IF(ISNUMBER($AD13),EDATE($AD13,12)-1,"")</f>
        <v/>
      </c>
      <c r="AG13" s="52"/>
      <c r="AH13" s="82">
        <f>IF(ISNUMBER($AG13),$AG13+27,"")</f>
        <v/>
      </c>
      <c r="AI13" s="54"/>
      <c r="AJ13" s="87">
        <f>IF(AND($A13&lt;&gt;"",ISNUMBER($D13),NOT(ISNUMBER($AD13))),$D13,"")</f>
        <v/>
      </c>
    </row>
    <row r="14" spans="1:36">
      <c r="A14" s="54"/>
      <c r="B14" s="81"/>
      <c r="C14" s="82">
        <f>IF($B14="","",IFERROR(VLOOKUP($B14,$A$112:$C$120,2,FALSE),""))</f>
        <v/>
      </c>
      <c r="D14" s="82">
        <f>IF($B14="","",IFERROR(VLOOKUP($B14,$A$112:$C$120,3,FALSE),""))</f>
        <v/>
      </c>
      <c r="E14" s="83">
        <f>IF(OR($D14="",ISNUMBER($AD14)),"",$D14-TODAY())</f>
        <v/>
      </c>
      <c r="F14" s="83">
        <f>IF($A14="","",COUNTIF($K14:$T14,"Yes")+COUNTIF($K14:$T14,"N/A")+IF(OR($U14="N/A",AND($U14="Yes",ISNUMBER($V14))),1,0)+IF(OR($W14="N/A",AND($W14="Yes",ISNUMBER($X14))),1,0)+COUNTIF($Y14:$AC14,"Yes")+COUNTIF($Y14:$AC14,"N/A"))</f>
        <v/>
      </c>
      <c r="G14" s="83">
        <f>IF($A14="","",17-$F14)</f>
        <v/>
      </c>
      <c r="H14" s="84">
        <f>IF($A14="","",$F14/17)</f>
        <v/>
      </c>
      <c r="I14" s="85">
        <f>IF($A14="","",IF(ISNUMBER($AD14),"Registered",IF($G14=0,"Ready",IF($G14&lt;=3,"Nearly","Not ready"))))</f>
        <v/>
      </c>
      <c r="J14" s="86">
        <f>IF($A14="","",IF(ISNUMBER($AD14),"Registered",IF($D14="","Pick a region",IF(TODAY()&gt;$D14,"OVERDUE: register now",IF(TODAY()&gt;=$C14,"Open: register by "&amp;TEXT($D14,"dd/mm/yyyy"),"Opens "&amp;TEXT($C14,"dd/mm/yyyy"))))))</f>
        <v/>
      </c>
      <c r="K14" s="51"/>
      <c r="L14" s="51"/>
      <c r="M14" s="51"/>
      <c r="N14" s="51"/>
      <c r="O14" s="51"/>
      <c r="P14" s="51"/>
      <c r="Q14" s="51"/>
      <c r="R14" s="51"/>
      <c r="S14" s="51"/>
      <c r="T14" s="51"/>
      <c r="U14" s="51"/>
      <c r="V14" s="52"/>
      <c r="W14" s="51"/>
      <c r="X14" s="52"/>
      <c r="Y14" s="51"/>
      <c r="Z14" s="51"/>
      <c r="AA14" s="51"/>
      <c r="AB14" s="51"/>
      <c r="AC14" s="51"/>
      <c r="AD14" s="52"/>
      <c r="AE14" s="54"/>
      <c r="AF14" s="82">
        <f>IF(ISNUMBER($AD14),EDATE($AD14,12)-1,"")</f>
        <v/>
      </c>
      <c r="AG14" s="52"/>
      <c r="AH14" s="82">
        <f>IF(ISNUMBER($AG14),$AG14+27,"")</f>
        <v/>
      </c>
      <c r="AI14" s="54"/>
      <c r="AJ14" s="87">
        <f>IF(AND($A14&lt;&gt;"",ISNUMBER($D14),NOT(ISNUMBER($AD14))),$D14,"")</f>
        <v/>
      </c>
    </row>
    <row r="15" spans="1:36">
      <c r="A15" s="54"/>
      <c r="B15" s="81"/>
      <c r="C15" s="82">
        <f>IF($B15="","",IFERROR(VLOOKUP($B15,$A$112:$C$120,2,FALSE),""))</f>
        <v/>
      </c>
      <c r="D15" s="82">
        <f>IF($B15="","",IFERROR(VLOOKUP($B15,$A$112:$C$120,3,FALSE),""))</f>
        <v/>
      </c>
      <c r="E15" s="83">
        <f>IF(OR($D15="",ISNUMBER($AD15)),"",$D15-TODAY())</f>
        <v/>
      </c>
      <c r="F15" s="83">
        <f>IF($A15="","",COUNTIF($K15:$T15,"Yes")+COUNTIF($K15:$T15,"N/A")+IF(OR($U15="N/A",AND($U15="Yes",ISNUMBER($V15))),1,0)+IF(OR($W15="N/A",AND($W15="Yes",ISNUMBER($X15))),1,0)+COUNTIF($Y15:$AC15,"Yes")+COUNTIF($Y15:$AC15,"N/A"))</f>
        <v/>
      </c>
      <c r="G15" s="83">
        <f>IF($A15="","",17-$F15)</f>
        <v/>
      </c>
      <c r="H15" s="84">
        <f>IF($A15="","",$F15/17)</f>
        <v/>
      </c>
      <c r="I15" s="85">
        <f>IF($A15="","",IF(ISNUMBER($AD15),"Registered",IF($G15=0,"Ready",IF($G15&lt;=3,"Nearly","Not ready"))))</f>
        <v/>
      </c>
      <c r="J15" s="86">
        <f>IF($A15="","",IF(ISNUMBER($AD15),"Registered",IF($D15="","Pick a region",IF(TODAY()&gt;$D15,"OVERDUE: register now",IF(TODAY()&gt;=$C15,"Open: register by "&amp;TEXT($D15,"dd/mm/yyyy"),"Opens "&amp;TEXT($C15,"dd/mm/yyyy"))))))</f>
        <v/>
      </c>
      <c r="K15" s="51"/>
      <c r="L15" s="51"/>
      <c r="M15" s="51"/>
      <c r="N15" s="51"/>
      <c r="O15" s="51"/>
      <c r="P15" s="51"/>
      <c r="Q15" s="51"/>
      <c r="R15" s="51"/>
      <c r="S15" s="51"/>
      <c r="T15" s="51"/>
      <c r="U15" s="51"/>
      <c r="V15" s="52"/>
      <c r="W15" s="51"/>
      <c r="X15" s="52"/>
      <c r="Y15" s="51"/>
      <c r="Z15" s="51"/>
      <c r="AA15" s="51"/>
      <c r="AB15" s="51"/>
      <c r="AC15" s="51"/>
      <c r="AD15" s="52"/>
      <c r="AE15" s="54"/>
      <c r="AF15" s="82">
        <f>IF(ISNUMBER($AD15),EDATE($AD15,12)-1,"")</f>
        <v/>
      </c>
      <c r="AG15" s="52"/>
      <c r="AH15" s="82">
        <f>IF(ISNUMBER($AG15),$AG15+27,"")</f>
        <v/>
      </c>
      <c r="AI15" s="54"/>
      <c r="AJ15" s="87">
        <f>IF(AND($A15&lt;&gt;"",ISNUMBER($D15),NOT(ISNUMBER($AD15))),$D15,"")</f>
        <v/>
      </c>
    </row>
    <row r="16" spans="1:36">
      <c r="A16" s="54"/>
      <c r="B16" s="81"/>
      <c r="C16" s="82">
        <f>IF($B16="","",IFERROR(VLOOKUP($B16,$A$112:$C$120,2,FALSE),""))</f>
        <v/>
      </c>
      <c r="D16" s="82">
        <f>IF($B16="","",IFERROR(VLOOKUP($B16,$A$112:$C$120,3,FALSE),""))</f>
        <v/>
      </c>
      <c r="E16" s="83">
        <f>IF(OR($D16="",ISNUMBER($AD16)),"",$D16-TODAY())</f>
        <v/>
      </c>
      <c r="F16" s="83">
        <f>IF($A16="","",COUNTIF($K16:$T16,"Yes")+COUNTIF($K16:$T16,"N/A")+IF(OR($U16="N/A",AND($U16="Yes",ISNUMBER($V16))),1,0)+IF(OR($W16="N/A",AND($W16="Yes",ISNUMBER($X16))),1,0)+COUNTIF($Y16:$AC16,"Yes")+COUNTIF($Y16:$AC16,"N/A"))</f>
        <v/>
      </c>
      <c r="G16" s="83">
        <f>IF($A16="","",17-$F16)</f>
        <v/>
      </c>
      <c r="H16" s="84">
        <f>IF($A16="","",$F16/17)</f>
        <v/>
      </c>
      <c r="I16" s="85">
        <f>IF($A16="","",IF(ISNUMBER($AD16),"Registered",IF($G16=0,"Ready",IF($G16&lt;=3,"Nearly","Not ready"))))</f>
        <v/>
      </c>
      <c r="J16" s="86">
        <f>IF($A16="","",IF(ISNUMBER($AD16),"Registered",IF($D16="","Pick a region",IF(TODAY()&gt;$D16,"OVERDUE: register now",IF(TODAY()&gt;=$C16,"Open: register by "&amp;TEXT($D16,"dd/mm/yyyy"),"Opens "&amp;TEXT($C16,"dd/mm/yyyy"))))))</f>
        <v/>
      </c>
      <c r="K16" s="51"/>
      <c r="L16" s="51"/>
      <c r="M16" s="51"/>
      <c r="N16" s="51"/>
      <c r="O16" s="51"/>
      <c r="P16" s="51"/>
      <c r="Q16" s="51"/>
      <c r="R16" s="51"/>
      <c r="S16" s="51"/>
      <c r="T16" s="51"/>
      <c r="U16" s="51"/>
      <c r="V16" s="52"/>
      <c r="W16" s="51"/>
      <c r="X16" s="52"/>
      <c r="Y16" s="51"/>
      <c r="Z16" s="51"/>
      <c r="AA16" s="51"/>
      <c r="AB16" s="51"/>
      <c r="AC16" s="51"/>
      <c r="AD16" s="52"/>
      <c r="AE16" s="54"/>
      <c r="AF16" s="82">
        <f>IF(ISNUMBER($AD16),EDATE($AD16,12)-1,"")</f>
        <v/>
      </c>
      <c r="AG16" s="52"/>
      <c r="AH16" s="82">
        <f>IF(ISNUMBER($AG16),$AG16+27,"")</f>
        <v/>
      </c>
      <c r="AI16" s="54"/>
      <c r="AJ16" s="87">
        <f>IF(AND($A16&lt;&gt;"",ISNUMBER($D16),NOT(ISNUMBER($AD16))),$D16,"")</f>
        <v/>
      </c>
    </row>
    <row r="17" spans="1:36">
      <c r="A17" s="54"/>
      <c r="B17" s="81"/>
      <c r="C17" s="82">
        <f>IF($B17="","",IFERROR(VLOOKUP($B17,$A$112:$C$120,2,FALSE),""))</f>
        <v/>
      </c>
      <c r="D17" s="82">
        <f>IF($B17="","",IFERROR(VLOOKUP($B17,$A$112:$C$120,3,FALSE),""))</f>
        <v/>
      </c>
      <c r="E17" s="83">
        <f>IF(OR($D17="",ISNUMBER($AD17)),"",$D17-TODAY())</f>
        <v/>
      </c>
      <c r="F17" s="83">
        <f>IF($A17="","",COUNTIF($K17:$T17,"Yes")+COUNTIF($K17:$T17,"N/A")+IF(OR($U17="N/A",AND($U17="Yes",ISNUMBER($V17))),1,0)+IF(OR($W17="N/A",AND($W17="Yes",ISNUMBER($X17))),1,0)+COUNTIF($Y17:$AC17,"Yes")+COUNTIF($Y17:$AC17,"N/A"))</f>
        <v/>
      </c>
      <c r="G17" s="83">
        <f>IF($A17="","",17-$F17)</f>
        <v/>
      </c>
      <c r="H17" s="84">
        <f>IF($A17="","",$F17/17)</f>
        <v/>
      </c>
      <c r="I17" s="85">
        <f>IF($A17="","",IF(ISNUMBER($AD17),"Registered",IF($G17=0,"Ready",IF($G17&lt;=3,"Nearly","Not ready"))))</f>
        <v/>
      </c>
      <c r="J17" s="86">
        <f>IF($A17="","",IF(ISNUMBER($AD17),"Registered",IF($D17="","Pick a region",IF(TODAY()&gt;$D17,"OVERDUE: register now",IF(TODAY()&gt;=$C17,"Open: register by "&amp;TEXT($D17,"dd/mm/yyyy"),"Opens "&amp;TEXT($C17,"dd/mm/yyyy"))))))</f>
        <v/>
      </c>
      <c r="K17" s="51"/>
      <c r="L17" s="51"/>
      <c r="M17" s="51"/>
      <c r="N17" s="51"/>
      <c r="O17" s="51"/>
      <c r="P17" s="51"/>
      <c r="Q17" s="51"/>
      <c r="R17" s="51"/>
      <c r="S17" s="51"/>
      <c r="T17" s="51"/>
      <c r="U17" s="51"/>
      <c r="V17" s="52"/>
      <c r="W17" s="51"/>
      <c r="X17" s="52"/>
      <c r="Y17" s="51"/>
      <c r="Z17" s="51"/>
      <c r="AA17" s="51"/>
      <c r="AB17" s="51"/>
      <c r="AC17" s="51"/>
      <c r="AD17" s="52"/>
      <c r="AE17" s="54"/>
      <c r="AF17" s="82">
        <f>IF(ISNUMBER($AD17),EDATE($AD17,12)-1,"")</f>
        <v/>
      </c>
      <c r="AG17" s="52"/>
      <c r="AH17" s="82">
        <f>IF(ISNUMBER($AG17),$AG17+27,"")</f>
        <v/>
      </c>
      <c r="AI17" s="54"/>
      <c r="AJ17" s="87">
        <f>IF(AND($A17&lt;&gt;"",ISNUMBER($D17),NOT(ISNUMBER($AD17))),$D17,"")</f>
        <v/>
      </c>
    </row>
    <row r="18" spans="1:36">
      <c r="A18" s="54"/>
      <c r="B18" s="81"/>
      <c r="C18" s="82">
        <f>IF($B18="","",IFERROR(VLOOKUP($B18,$A$112:$C$120,2,FALSE),""))</f>
        <v/>
      </c>
      <c r="D18" s="82">
        <f>IF($B18="","",IFERROR(VLOOKUP($B18,$A$112:$C$120,3,FALSE),""))</f>
        <v/>
      </c>
      <c r="E18" s="83">
        <f>IF(OR($D18="",ISNUMBER($AD18)),"",$D18-TODAY())</f>
        <v/>
      </c>
      <c r="F18" s="83">
        <f>IF($A18="","",COUNTIF($K18:$T18,"Yes")+COUNTIF($K18:$T18,"N/A")+IF(OR($U18="N/A",AND($U18="Yes",ISNUMBER($V18))),1,0)+IF(OR($W18="N/A",AND($W18="Yes",ISNUMBER($X18))),1,0)+COUNTIF($Y18:$AC18,"Yes")+COUNTIF($Y18:$AC18,"N/A"))</f>
        <v/>
      </c>
      <c r="G18" s="83">
        <f>IF($A18="","",17-$F18)</f>
        <v/>
      </c>
      <c r="H18" s="84">
        <f>IF($A18="","",$F18/17)</f>
        <v/>
      </c>
      <c r="I18" s="85">
        <f>IF($A18="","",IF(ISNUMBER($AD18),"Registered",IF($G18=0,"Ready",IF($G18&lt;=3,"Nearly","Not ready"))))</f>
        <v/>
      </c>
      <c r="J18" s="86">
        <f>IF($A18="","",IF(ISNUMBER($AD18),"Registered",IF($D18="","Pick a region",IF(TODAY()&gt;$D18,"OVERDUE: register now",IF(TODAY()&gt;=$C18,"Open: register by "&amp;TEXT($D18,"dd/mm/yyyy"),"Opens "&amp;TEXT($C18,"dd/mm/yyyy"))))))</f>
        <v/>
      </c>
      <c r="K18" s="51"/>
      <c r="L18" s="51"/>
      <c r="M18" s="51"/>
      <c r="N18" s="51"/>
      <c r="O18" s="51"/>
      <c r="P18" s="51"/>
      <c r="Q18" s="51"/>
      <c r="R18" s="51"/>
      <c r="S18" s="51"/>
      <c r="T18" s="51"/>
      <c r="U18" s="51"/>
      <c r="V18" s="52"/>
      <c r="W18" s="51"/>
      <c r="X18" s="52"/>
      <c r="Y18" s="51"/>
      <c r="Z18" s="51"/>
      <c r="AA18" s="51"/>
      <c r="AB18" s="51"/>
      <c r="AC18" s="51"/>
      <c r="AD18" s="52"/>
      <c r="AE18" s="54"/>
      <c r="AF18" s="82">
        <f>IF(ISNUMBER($AD18),EDATE($AD18,12)-1,"")</f>
        <v/>
      </c>
      <c r="AG18" s="52"/>
      <c r="AH18" s="82">
        <f>IF(ISNUMBER($AG18),$AG18+27,"")</f>
        <v/>
      </c>
      <c r="AI18" s="54"/>
      <c r="AJ18" s="87">
        <f>IF(AND($A18&lt;&gt;"",ISNUMBER($D18),NOT(ISNUMBER($AD18))),$D18,"")</f>
        <v/>
      </c>
    </row>
    <row r="19" spans="1:36">
      <c r="A19" s="54"/>
      <c r="B19" s="81"/>
      <c r="C19" s="82">
        <f>IF($B19="","",IFERROR(VLOOKUP($B19,$A$112:$C$120,2,FALSE),""))</f>
        <v/>
      </c>
      <c r="D19" s="82">
        <f>IF($B19="","",IFERROR(VLOOKUP($B19,$A$112:$C$120,3,FALSE),""))</f>
        <v/>
      </c>
      <c r="E19" s="83">
        <f>IF(OR($D19="",ISNUMBER($AD19)),"",$D19-TODAY())</f>
        <v/>
      </c>
      <c r="F19" s="83">
        <f>IF($A19="","",COUNTIF($K19:$T19,"Yes")+COUNTIF($K19:$T19,"N/A")+IF(OR($U19="N/A",AND($U19="Yes",ISNUMBER($V19))),1,0)+IF(OR($W19="N/A",AND($W19="Yes",ISNUMBER($X19))),1,0)+COUNTIF($Y19:$AC19,"Yes")+COUNTIF($Y19:$AC19,"N/A"))</f>
        <v/>
      </c>
      <c r="G19" s="83">
        <f>IF($A19="","",17-$F19)</f>
        <v/>
      </c>
      <c r="H19" s="84">
        <f>IF($A19="","",$F19/17)</f>
        <v/>
      </c>
      <c r="I19" s="85">
        <f>IF($A19="","",IF(ISNUMBER($AD19),"Registered",IF($G19=0,"Ready",IF($G19&lt;=3,"Nearly","Not ready"))))</f>
        <v/>
      </c>
      <c r="J19" s="86">
        <f>IF($A19="","",IF(ISNUMBER($AD19),"Registered",IF($D19="","Pick a region",IF(TODAY()&gt;$D19,"OVERDUE: register now",IF(TODAY()&gt;=$C19,"Open: register by "&amp;TEXT($D19,"dd/mm/yyyy"),"Opens "&amp;TEXT($C19,"dd/mm/yyyy"))))))</f>
        <v/>
      </c>
      <c r="K19" s="51"/>
      <c r="L19" s="51"/>
      <c r="M19" s="51"/>
      <c r="N19" s="51"/>
      <c r="O19" s="51"/>
      <c r="P19" s="51"/>
      <c r="Q19" s="51"/>
      <c r="R19" s="51"/>
      <c r="S19" s="51"/>
      <c r="T19" s="51"/>
      <c r="U19" s="51"/>
      <c r="V19" s="52"/>
      <c r="W19" s="51"/>
      <c r="X19" s="52"/>
      <c r="Y19" s="51"/>
      <c r="Z19" s="51"/>
      <c r="AA19" s="51"/>
      <c r="AB19" s="51"/>
      <c r="AC19" s="51"/>
      <c r="AD19" s="52"/>
      <c r="AE19" s="54"/>
      <c r="AF19" s="82">
        <f>IF(ISNUMBER($AD19),EDATE($AD19,12)-1,"")</f>
        <v/>
      </c>
      <c r="AG19" s="52"/>
      <c r="AH19" s="82">
        <f>IF(ISNUMBER($AG19),$AG19+27,"")</f>
        <v/>
      </c>
      <c r="AI19" s="54"/>
      <c r="AJ19" s="87">
        <f>IF(AND($A19&lt;&gt;"",ISNUMBER($D19),NOT(ISNUMBER($AD19))),$D19,"")</f>
        <v/>
      </c>
    </row>
    <row r="20" spans="1:36">
      <c r="A20" s="54"/>
      <c r="B20" s="81"/>
      <c r="C20" s="82">
        <f>IF($B20="","",IFERROR(VLOOKUP($B20,$A$112:$C$120,2,FALSE),""))</f>
        <v/>
      </c>
      <c r="D20" s="82">
        <f>IF($B20="","",IFERROR(VLOOKUP($B20,$A$112:$C$120,3,FALSE),""))</f>
        <v/>
      </c>
      <c r="E20" s="83">
        <f>IF(OR($D20="",ISNUMBER($AD20)),"",$D20-TODAY())</f>
        <v/>
      </c>
      <c r="F20" s="83">
        <f>IF($A20="","",COUNTIF($K20:$T20,"Yes")+COUNTIF($K20:$T20,"N/A")+IF(OR($U20="N/A",AND($U20="Yes",ISNUMBER($V20))),1,0)+IF(OR($W20="N/A",AND($W20="Yes",ISNUMBER($X20))),1,0)+COUNTIF($Y20:$AC20,"Yes")+COUNTIF($Y20:$AC20,"N/A"))</f>
        <v/>
      </c>
      <c r="G20" s="83">
        <f>IF($A20="","",17-$F20)</f>
        <v/>
      </c>
      <c r="H20" s="84">
        <f>IF($A20="","",$F20/17)</f>
        <v/>
      </c>
      <c r="I20" s="85">
        <f>IF($A20="","",IF(ISNUMBER($AD20),"Registered",IF($G20=0,"Ready",IF($G20&lt;=3,"Nearly","Not ready"))))</f>
        <v/>
      </c>
      <c r="J20" s="86">
        <f>IF($A20="","",IF(ISNUMBER($AD20),"Registered",IF($D20="","Pick a region",IF(TODAY()&gt;$D20,"OVERDUE: register now",IF(TODAY()&gt;=$C20,"Open: register by "&amp;TEXT($D20,"dd/mm/yyyy"),"Opens "&amp;TEXT($C20,"dd/mm/yyyy"))))))</f>
        <v/>
      </c>
      <c r="K20" s="51"/>
      <c r="L20" s="51"/>
      <c r="M20" s="51"/>
      <c r="N20" s="51"/>
      <c r="O20" s="51"/>
      <c r="P20" s="51"/>
      <c r="Q20" s="51"/>
      <c r="R20" s="51"/>
      <c r="S20" s="51"/>
      <c r="T20" s="51"/>
      <c r="U20" s="51"/>
      <c r="V20" s="52"/>
      <c r="W20" s="51"/>
      <c r="X20" s="52"/>
      <c r="Y20" s="51"/>
      <c r="Z20" s="51"/>
      <c r="AA20" s="51"/>
      <c r="AB20" s="51"/>
      <c r="AC20" s="51"/>
      <c r="AD20" s="52"/>
      <c r="AE20" s="54"/>
      <c r="AF20" s="82">
        <f>IF(ISNUMBER($AD20),EDATE($AD20,12)-1,"")</f>
        <v/>
      </c>
      <c r="AG20" s="52"/>
      <c r="AH20" s="82">
        <f>IF(ISNUMBER($AG20),$AG20+27,"")</f>
        <v/>
      </c>
      <c r="AI20" s="54"/>
      <c r="AJ20" s="87">
        <f>IF(AND($A20&lt;&gt;"",ISNUMBER($D20),NOT(ISNUMBER($AD20))),$D20,"")</f>
        <v/>
      </c>
    </row>
    <row r="21" spans="1:36">
      <c r="A21" s="54"/>
      <c r="B21" s="81"/>
      <c r="C21" s="82">
        <f>IF($B21="","",IFERROR(VLOOKUP($B21,$A$112:$C$120,2,FALSE),""))</f>
        <v/>
      </c>
      <c r="D21" s="82">
        <f>IF($B21="","",IFERROR(VLOOKUP($B21,$A$112:$C$120,3,FALSE),""))</f>
        <v/>
      </c>
      <c r="E21" s="83">
        <f>IF(OR($D21="",ISNUMBER($AD21)),"",$D21-TODAY())</f>
        <v/>
      </c>
      <c r="F21" s="83">
        <f>IF($A21="","",COUNTIF($K21:$T21,"Yes")+COUNTIF($K21:$T21,"N/A")+IF(OR($U21="N/A",AND($U21="Yes",ISNUMBER($V21))),1,0)+IF(OR($W21="N/A",AND($W21="Yes",ISNUMBER($X21))),1,0)+COUNTIF($Y21:$AC21,"Yes")+COUNTIF($Y21:$AC21,"N/A"))</f>
        <v/>
      </c>
      <c r="G21" s="83">
        <f>IF($A21="","",17-$F21)</f>
        <v/>
      </c>
      <c r="H21" s="84">
        <f>IF($A21="","",$F21/17)</f>
        <v/>
      </c>
      <c r="I21" s="85">
        <f>IF($A21="","",IF(ISNUMBER($AD21),"Registered",IF($G21=0,"Ready",IF($G21&lt;=3,"Nearly","Not ready"))))</f>
        <v/>
      </c>
      <c r="J21" s="86">
        <f>IF($A21="","",IF(ISNUMBER($AD21),"Registered",IF($D21="","Pick a region",IF(TODAY()&gt;$D21,"OVERDUE: register now",IF(TODAY()&gt;=$C21,"Open: register by "&amp;TEXT($D21,"dd/mm/yyyy"),"Opens "&amp;TEXT($C21,"dd/mm/yyyy"))))))</f>
        <v/>
      </c>
      <c r="K21" s="51"/>
      <c r="L21" s="51"/>
      <c r="M21" s="51"/>
      <c r="N21" s="51"/>
      <c r="O21" s="51"/>
      <c r="P21" s="51"/>
      <c r="Q21" s="51"/>
      <c r="R21" s="51"/>
      <c r="S21" s="51"/>
      <c r="T21" s="51"/>
      <c r="U21" s="51"/>
      <c r="V21" s="52"/>
      <c r="W21" s="51"/>
      <c r="X21" s="52"/>
      <c r="Y21" s="51"/>
      <c r="Z21" s="51"/>
      <c r="AA21" s="51"/>
      <c r="AB21" s="51"/>
      <c r="AC21" s="51"/>
      <c r="AD21" s="52"/>
      <c r="AE21" s="54"/>
      <c r="AF21" s="82">
        <f>IF(ISNUMBER($AD21),EDATE($AD21,12)-1,"")</f>
        <v/>
      </c>
      <c r="AG21" s="52"/>
      <c r="AH21" s="82">
        <f>IF(ISNUMBER($AG21),$AG21+27,"")</f>
        <v/>
      </c>
      <c r="AI21" s="54"/>
      <c r="AJ21" s="87">
        <f>IF(AND($A21&lt;&gt;"",ISNUMBER($D21),NOT(ISNUMBER($AD21))),$D21,"")</f>
        <v/>
      </c>
    </row>
    <row r="22" spans="1:36">
      <c r="A22" s="54"/>
      <c r="B22" s="81"/>
      <c r="C22" s="82">
        <f>IF($B22="","",IFERROR(VLOOKUP($B22,$A$112:$C$120,2,FALSE),""))</f>
        <v/>
      </c>
      <c r="D22" s="82">
        <f>IF($B22="","",IFERROR(VLOOKUP($B22,$A$112:$C$120,3,FALSE),""))</f>
        <v/>
      </c>
      <c r="E22" s="83">
        <f>IF(OR($D22="",ISNUMBER($AD22)),"",$D22-TODAY())</f>
        <v/>
      </c>
      <c r="F22" s="83">
        <f>IF($A22="","",COUNTIF($K22:$T22,"Yes")+COUNTIF($K22:$T22,"N/A")+IF(OR($U22="N/A",AND($U22="Yes",ISNUMBER($V22))),1,0)+IF(OR($W22="N/A",AND($W22="Yes",ISNUMBER($X22))),1,0)+COUNTIF($Y22:$AC22,"Yes")+COUNTIF($Y22:$AC22,"N/A"))</f>
        <v/>
      </c>
      <c r="G22" s="83">
        <f>IF($A22="","",17-$F22)</f>
        <v/>
      </c>
      <c r="H22" s="84">
        <f>IF($A22="","",$F22/17)</f>
        <v/>
      </c>
      <c r="I22" s="85">
        <f>IF($A22="","",IF(ISNUMBER($AD22),"Registered",IF($G22=0,"Ready",IF($G22&lt;=3,"Nearly","Not ready"))))</f>
        <v/>
      </c>
      <c r="J22" s="86">
        <f>IF($A22="","",IF(ISNUMBER($AD22),"Registered",IF($D22="","Pick a region",IF(TODAY()&gt;$D22,"OVERDUE: register now",IF(TODAY()&gt;=$C22,"Open: register by "&amp;TEXT($D22,"dd/mm/yyyy"),"Opens "&amp;TEXT($C22,"dd/mm/yyyy"))))))</f>
        <v/>
      </c>
      <c r="K22" s="51"/>
      <c r="L22" s="51"/>
      <c r="M22" s="51"/>
      <c r="N22" s="51"/>
      <c r="O22" s="51"/>
      <c r="P22" s="51"/>
      <c r="Q22" s="51"/>
      <c r="R22" s="51"/>
      <c r="S22" s="51"/>
      <c r="T22" s="51"/>
      <c r="U22" s="51"/>
      <c r="V22" s="52"/>
      <c r="W22" s="51"/>
      <c r="X22" s="52"/>
      <c r="Y22" s="51"/>
      <c r="Z22" s="51"/>
      <c r="AA22" s="51"/>
      <c r="AB22" s="51"/>
      <c r="AC22" s="51"/>
      <c r="AD22" s="52"/>
      <c r="AE22" s="54"/>
      <c r="AF22" s="82">
        <f>IF(ISNUMBER($AD22),EDATE($AD22,12)-1,"")</f>
        <v/>
      </c>
      <c r="AG22" s="52"/>
      <c r="AH22" s="82">
        <f>IF(ISNUMBER($AG22),$AG22+27,"")</f>
        <v/>
      </c>
      <c r="AI22" s="54"/>
      <c r="AJ22" s="87">
        <f>IF(AND($A22&lt;&gt;"",ISNUMBER($D22),NOT(ISNUMBER($AD22))),$D22,"")</f>
        <v/>
      </c>
    </row>
    <row r="23" spans="1:36">
      <c r="A23" s="54"/>
      <c r="B23" s="81"/>
      <c r="C23" s="82">
        <f>IF($B23="","",IFERROR(VLOOKUP($B23,$A$112:$C$120,2,FALSE),""))</f>
        <v/>
      </c>
      <c r="D23" s="82">
        <f>IF($B23="","",IFERROR(VLOOKUP($B23,$A$112:$C$120,3,FALSE),""))</f>
        <v/>
      </c>
      <c r="E23" s="83">
        <f>IF(OR($D23="",ISNUMBER($AD23)),"",$D23-TODAY())</f>
        <v/>
      </c>
      <c r="F23" s="83">
        <f>IF($A23="","",COUNTIF($K23:$T23,"Yes")+COUNTIF($K23:$T23,"N/A")+IF(OR($U23="N/A",AND($U23="Yes",ISNUMBER($V23))),1,0)+IF(OR($W23="N/A",AND($W23="Yes",ISNUMBER($X23))),1,0)+COUNTIF($Y23:$AC23,"Yes")+COUNTIF($Y23:$AC23,"N/A"))</f>
        <v/>
      </c>
      <c r="G23" s="83">
        <f>IF($A23="","",17-$F23)</f>
        <v/>
      </c>
      <c r="H23" s="84">
        <f>IF($A23="","",$F23/17)</f>
        <v/>
      </c>
      <c r="I23" s="85">
        <f>IF($A23="","",IF(ISNUMBER($AD23),"Registered",IF($G23=0,"Ready",IF($G23&lt;=3,"Nearly","Not ready"))))</f>
        <v/>
      </c>
      <c r="J23" s="86">
        <f>IF($A23="","",IF(ISNUMBER($AD23),"Registered",IF($D23="","Pick a region",IF(TODAY()&gt;$D23,"OVERDUE: register now",IF(TODAY()&gt;=$C23,"Open: register by "&amp;TEXT($D23,"dd/mm/yyyy"),"Opens "&amp;TEXT($C23,"dd/mm/yyyy"))))))</f>
        <v/>
      </c>
      <c r="K23" s="51"/>
      <c r="L23" s="51"/>
      <c r="M23" s="51"/>
      <c r="N23" s="51"/>
      <c r="O23" s="51"/>
      <c r="P23" s="51"/>
      <c r="Q23" s="51"/>
      <c r="R23" s="51"/>
      <c r="S23" s="51"/>
      <c r="T23" s="51"/>
      <c r="U23" s="51"/>
      <c r="V23" s="52"/>
      <c r="W23" s="51"/>
      <c r="X23" s="52"/>
      <c r="Y23" s="51"/>
      <c r="Z23" s="51"/>
      <c r="AA23" s="51"/>
      <c r="AB23" s="51"/>
      <c r="AC23" s="51"/>
      <c r="AD23" s="52"/>
      <c r="AE23" s="54"/>
      <c r="AF23" s="82">
        <f>IF(ISNUMBER($AD23),EDATE($AD23,12)-1,"")</f>
        <v/>
      </c>
      <c r="AG23" s="52"/>
      <c r="AH23" s="82">
        <f>IF(ISNUMBER($AG23),$AG23+27,"")</f>
        <v/>
      </c>
      <c r="AI23" s="54"/>
      <c r="AJ23" s="87">
        <f>IF(AND($A23&lt;&gt;"",ISNUMBER($D23),NOT(ISNUMBER($AD23))),$D23,"")</f>
        <v/>
      </c>
    </row>
    <row r="24" spans="1:36">
      <c r="A24" s="54"/>
      <c r="B24" s="81"/>
      <c r="C24" s="82">
        <f>IF($B24="","",IFERROR(VLOOKUP($B24,$A$112:$C$120,2,FALSE),""))</f>
        <v/>
      </c>
      <c r="D24" s="82">
        <f>IF($B24="","",IFERROR(VLOOKUP($B24,$A$112:$C$120,3,FALSE),""))</f>
        <v/>
      </c>
      <c r="E24" s="83">
        <f>IF(OR($D24="",ISNUMBER($AD24)),"",$D24-TODAY())</f>
        <v/>
      </c>
      <c r="F24" s="83">
        <f>IF($A24="","",COUNTIF($K24:$T24,"Yes")+COUNTIF($K24:$T24,"N/A")+IF(OR($U24="N/A",AND($U24="Yes",ISNUMBER($V24))),1,0)+IF(OR($W24="N/A",AND($W24="Yes",ISNUMBER($X24))),1,0)+COUNTIF($Y24:$AC24,"Yes")+COUNTIF($Y24:$AC24,"N/A"))</f>
        <v/>
      </c>
      <c r="G24" s="83">
        <f>IF($A24="","",17-$F24)</f>
        <v/>
      </c>
      <c r="H24" s="84">
        <f>IF($A24="","",$F24/17)</f>
        <v/>
      </c>
      <c r="I24" s="85">
        <f>IF($A24="","",IF(ISNUMBER($AD24),"Registered",IF($G24=0,"Ready",IF($G24&lt;=3,"Nearly","Not ready"))))</f>
        <v/>
      </c>
      <c r="J24" s="86">
        <f>IF($A24="","",IF(ISNUMBER($AD24),"Registered",IF($D24="","Pick a region",IF(TODAY()&gt;$D24,"OVERDUE: register now",IF(TODAY()&gt;=$C24,"Open: register by "&amp;TEXT($D24,"dd/mm/yyyy"),"Opens "&amp;TEXT($C24,"dd/mm/yyyy"))))))</f>
        <v/>
      </c>
      <c r="K24" s="51"/>
      <c r="L24" s="51"/>
      <c r="M24" s="51"/>
      <c r="N24" s="51"/>
      <c r="O24" s="51"/>
      <c r="P24" s="51"/>
      <c r="Q24" s="51"/>
      <c r="R24" s="51"/>
      <c r="S24" s="51"/>
      <c r="T24" s="51"/>
      <c r="U24" s="51"/>
      <c r="V24" s="52"/>
      <c r="W24" s="51"/>
      <c r="X24" s="52"/>
      <c r="Y24" s="51"/>
      <c r="Z24" s="51"/>
      <c r="AA24" s="51"/>
      <c r="AB24" s="51"/>
      <c r="AC24" s="51"/>
      <c r="AD24" s="52"/>
      <c r="AE24" s="54"/>
      <c r="AF24" s="82">
        <f>IF(ISNUMBER($AD24),EDATE($AD24,12)-1,"")</f>
        <v/>
      </c>
      <c r="AG24" s="52"/>
      <c r="AH24" s="82">
        <f>IF(ISNUMBER($AG24),$AG24+27,"")</f>
        <v/>
      </c>
      <c r="AI24" s="54"/>
      <c r="AJ24" s="87">
        <f>IF(AND($A24&lt;&gt;"",ISNUMBER($D24),NOT(ISNUMBER($AD24))),$D24,"")</f>
        <v/>
      </c>
    </row>
    <row r="25" spans="1:36">
      <c r="A25" s="54"/>
      <c r="B25" s="81"/>
      <c r="C25" s="82">
        <f>IF($B25="","",IFERROR(VLOOKUP($B25,$A$112:$C$120,2,FALSE),""))</f>
        <v/>
      </c>
      <c r="D25" s="82">
        <f>IF($B25="","",IFERROR(VLOOKUP($B25,$A$112:$C$120,3,FALSE),""))</f>
        <v/>
      </c>
      <c r="E25" s="83">
        <f>IF(OR($D25="",ISNUMBER($AD25)),"",$D25-TODAY())</f>
        <v/>
      </c>
      <c r="F25" s="83">
        <f>IF($A25="","",COUNTIF($K25:$T25,"Yes")+COUNTIF($K25:$T25,"N/A")+IF(OR($U25="N/A",AND($U25="Yes",ISNUMBER($V25))),1,0)+IF(OR($W25="N/A",AND($W25="Yes",ISNUMBER($X25))),1,0)+COUNTIF($Y25:$AC25,"Yes")+COUNTIF($Y25:$AC25,"N/A"))</f>
        <v/>
      </c>
      <c r="G25" s="83">
        <f>IF($A25="","",17-$F25)</f>
        <v/>
      </c>
      <c r="H25" s="84">
        <f>IF($A25="","",$F25/17)</f>
        <v/>
      </c>
      <c r="I25" s="85">
        <f>IF($A25="","",IF(ISNUMBER($AD25),"Registered",IF($G25=0,"Ready",IF($G25&lt;=3,"Nearly","Not ready"))))</f>
        <v/>
      </c>
      <c r="J25" s="86">
        <f>IF($A25="","",IF(ISNUMBER($AD25),"Registered",IF($D25="","Pick a region",IF(TODAY()&gt;$D25,"OVERDUE: register now",IF(TODAY()&gt;=$C25,"Open: register by "&amp;TEXT($D25,"dd/mm/yyyy"),"Opens "&amp;TEXT($C25,"dd/mm/yyyy"))))))</f>
        <v/>
      </c>
      <c r="K25" s="51"/>
      <c r="L25" s="51"/>
      <c r="M25" s="51"/>
      <c r="N25" s="51"/>
      <c r="O25" s="51"/>
      <c r="P25" s="51"/>
      <c r="Q25" s="51"/>
      <c r="R25" s="51"/>
      <c r="S25" s="51"/>
      <c r="T25" s="51"/>
      <c r="U25" s="51"/>
      <c r="V25" s="52"/>
      <c r="W25" s="51"/>
      <c r="X25" s="52"/>
      <c r="Y25" s="51"/>
      <c r="Z25" s="51"/>
      <c r="AA25" s="51"/>
      <c r="AB25" s="51"/>
      <c r="AC25" s="51"/>
      <c r="AD25" s="52"/>
      <c r="AE25" s="54"/>
      <c r="AF25" s="82">
        <f>IF(ISNUMBER($AD25),EDATE($AD25,12)-1,"")</f>
        <v/>
      </c>
      <c r="AG25" s="52"/>
      <c r="AH25" s="82">
        <f>IF(ISNUMBER($AG25),$AG25+27,"")</f>
        <v/>
      </c>
      <c r="AI25" s="54"/>
      <c r="AJ25" s="87">
        <f>IF(AND($A25&lt;&gt;"",ISNUMBER($D25),NOT(ISNUMBER($AD25))),$D25,"")</f>
        <v/>
      </c>
    </row>
    <row r="26" spans="1:36">
      <c r="A26" s="54"/>
      <c r="B26" s="81"/>
      <c r="C26" s="82">
        <f>IF($B26="","",IFERROR(VLOOKUP($B26,$A$112:$C$120,2,FALSE),""))</f>
        <v/>
      </c>
      <c r="D26" s="82">
        <f>IF($B26="","",IFERROR(VLOOKUP($B26,$A$112:$C$120,3,FALSE),""))</f>
        <v/>
      </c>
      <c r="E26" s="83">
        <f>IF(OR($D26="",ISNUMBER($AD26)),"",$D26-TODAY())</f>
        <v/>
      </c>
      <c r="F26" s="83">
        <f>IF($A26="","",COUNTIF($K26:$T26,"Yes")+COUNTIF($K26:$T26,"N/A")+IF(OR($U26="N/A",AND($U26="Yes",ISNUMBER($V26))),1,0)+IF(OR($W26="N/A",AND($W26="Yes",ISNUMBER($X26))),1,0)+COUNTIF($Y26:$AC26,"Yes")+COUNTIF($Y26:$AC26,"N/A"))</f>
        <v/>
      </c>
      <c r="G26" s="83">
        <f>IF($A26="","",17-$F26)</f>
        <v/>
      </c>
      <c r="H26" s="84">
        <f>IF($A26="","",$F26/17)</f>
        <v/>
      </c>
      <c r="I26" s="85">
        <f>IF($A26="","",IF(ISNUMBER($AD26),"Registered",IF($G26=0,"Ready",IF($G26&lt;=3,"Nearly","Not ready"))))</f>
        <v/>
      </c>
      <c r="J26" s="86">
        <f>IF($A26="","",IF(ISNUMBER($AD26),"Registered",IF($D26="","Pick a region",IF(TODAY()&gt;$D26,"OVERDUE: register now",IF(TODAY()&gt;=$C26,"Open: register by "&amp;TEXT($D26,"dd/mm/yyyy"),"Opens "&amp;TEXT($C26,"dd/mm/yyyy"))))))</f>
        <v/>
      </c>
      <c r="K26" s="51"/>
      <c r="L26" s="51"/>
      <c r="M26" s="51"/>
      <c r="N26" s="51"/>
      <c r="O26" s="51"/>
      <c r="P26" s="51"/>
      <c r="Q26" s="51"/>
      <c r="R26" s="51"/>
      <c r="S26" s="51"/>
      <c r="T26" s="51"/>
      <c r="U26" s="51"/>
      <c r="V26" s="52"/>
      <c r="W26" s="51"/>
      <c r="X26" s="52"/>
      <c r="Y26" s="51"/>
      <c r="Z26" s="51"/>
      <c r="AA26" s="51"/>
      <c r="AB26" s="51"/>
      <c r="AC26" s="51"/>
      <c r="AD26" s="52"/>
      <c r="AE26" s="54"/>
      <c r="AF26" s="82">
        <f>IF(ISNUMBER($AD26),EDATE($AD26,12)-1,"")</f>
        <v/>
      </c>
      <c r="AG26" s="52"/>
      <c r="AH26" s="82">
        <f>IF(ISNUMBER($AG26),$AG26+27,"")</f>
        <v/>
      </c>
      <c r="AI26" s="54"/>
      <c r="AJ26" s="87">
        <f>IF(AND($A26&lt;&gt;"",ISNUMBER($D26),NOT(ISNUMBER($AD26))),$D26,"")</f>
        <v/>
      </c>
    </row>
    <row r="27" spans="1:36">
      <c r="A27" s="54"/>
      <c r="B27" s="81"/>
      <c r="C27" s="82">
        <f>IF($B27="","",IFERROR(VLOOKUP($B27,$A$112:$C$120,2,FALSE),""))</f>
        <v/>
      </c>
      <c r="D27" s="82">
        <f>IF($B27="","",IFERROR(VLOOKUP($B27,$A$112:$C$120,3,FALSE),""))</f>
        <v/>
      </c>
      <c r="E27" s="83">
        <f>IF(OR($D27="",ISNUMBER($AD27)),"",$D27-TODAY())</f>
        <v/>
      </c>
      <c r="F27" s="83">
        <f>IF($A27="","",COUNTIF($K27:$T27,"Yes")+COUNTIF($K27:$T27,"N/A")+IF(OR($U27="N/A",AND($U27="Yes",ISNUMBER($V27))),1,0)+IF(OR($W27="N/A",AND($W27="Yes",ISNUMBER($X27))),1,0)+COUNTIF($Y27:$AC27,"Yes")+COUNTIF($Y27:$AC27,"N/A"))</f>
        <v/>
      </c>
      <c r="G27" s="83">
        <f>IF($A27="","",17-$F27)</f>
        <v/>
      </c>
      <c r="H27" s="84">
        <f>IF($A27="","",$F27/17)</f>
        <v/>
      </c>
      <c r="I27" s="85">
        <f>IF($A27="","",IF(ISNUMBER($AD27),"Registered",IF($G27=0,"Ready",IF($G27&lt;=3,"Nearly","Not ready"))))</f>
        <v/>
      </c>
      <c r="J27" s="86">
        <f>IF($A27="","",IF(ISNUMBER($AD27),"Registered",IF($D27="","Pick a region",IF(TODAY()&gt;$D27,"OVERDUE: register now",IF(TODAY()&gt;=$C27,"Open: register by "&amp;TEXT($D27,"dd/mm/yyyy"),"Opens "&amp;TEXT($C27,"dd/mm/yyyy"))))))</f>
        <v/>
      </c>
      <c r="K27" s="51"/>
      <c r="L27" s="51"/>
      <c r="M27" s="51"/>
      <c r="N27" s="51"/>
      <c r="O27" s="51"/>
      <c r="P27" s="51"/>
      <c r="Q27" s="51"/>
      <c r="R27" s="51"/>
      <c r="S27" s="51"/>
      <c r="T27" s="51"/>
      <c r="U27" s="51"/>
      <c r="V27" s="52"/>
      <c r="W27" s="51"/>
      <c r="X27" s="52"/>
      <c r="Y27" s="51"/>
      <c r="Z27" s="51"/>
      <c r="AA27" s="51"/>
      <c r="AB27" s="51"/>
      <c r="AC27" s="51"/>
      <c r="AD27" s="52"/>
      <c r="AE27" s="54"/>
      <c r="AF27" s="82">
        <f>IF(ISNUMBER($AD27),EDATE($AD27,12)-1,"")</f>
        <v/>
      </c>
      <c r="AG27" s="52"/>
      <c r="AH27" s="82">
        <f>IF(ISNUMBER($AG27),$AG27+27,"")</f>
        <v/>
      </c>
      <c r="AI27" s="54"/>
      <c r="AJ27" s="87">
        <f>IF(AND($A27&lt;&gt;"",ISNUMBER($D27),NOT(ISNUMBER($AD27))),$D27,"")</f>
        <v/>
      </c>
    </row>
    <row r="28" spans="1:36">
      <c r="A28" s="54"/>
      <c r="B28" s="81"/>
      <c r="C28" s="82">
        <f>IF($B28="","",IFERROR(VLOOKUP($B28,$A$112:$C$120,2,FALSE),""))</f>
        <v/>
      </c>
      <c r="D28" s="82">
        <f>IF($B28="","",IFERROR(VLOOKUP($B28,$A$112:$C$120,3,FALSE),""))</f>
        <v/>
      </c>
      <c r="E28" s="83">
        <f>IF(OR($D28="",ISNUMBER($AD28)),"",$D28-TODAY())</f>
        <v/>
      </c>
      <c r="F28" s="83">
        <f>IF($A28="","",COUNTIF($K28:$T28,"Yes")+COUNTIF($K28:$T28,"N/A")+IF(OR($U28="N/A",AND($U28="Yes",ISNUMBER($V28))),1,0)+IF(OR($W28="N/A",AND($W28="Yes",ISNUMBER($X28))),1,0)+COUNTIF($Y28:$AC28,"Yes")+COUNTIF($Y28:$AC28,"N/A"))</f>
        <v/>
      </c>
      <c r="G28" s="83">
        <f>IF($A28="","",17-$F28)</f>
        <v/>
      </c>
      <c r="H28" s="84">
        <f>IF($A28="","",$F28/17)</f>
        <v/>
      </c>
      <c r="I28" s="85">
        <f>IF($A28="","",IF(ISNUMBER($AD28),"Registered",IF($G28=0,"Ready",IF($G28&lt;=3,"Nearly","Not ready"))))</f>
        <v/>
      </c>
      <c r="J28" s="86">
        <f>IF($A28="","",IF(ISNUMBER($AD28),"Registered",IF($D28="","Pick a region",IF(TODAY()&gt;$D28,"OVERDUE: register now",IF(TODAY()&gt;=$C28,"Open: register by "&amp;TEXT($D28,"dd/mm/yyyy"),"Opens "&amp;TEXT($C28,"dd/mm/yyyy"))))))</f>
        <v/>
      </c>
      <c r="K28" s="51"/>
      <c r="L28" s="51"/>
      <c r="M28" s="51"/>
      <c r="N28" s="51"/>
      <c r="O28" s="51"/>
      <c r="P28" s="51"/>
      <c r="Q28" s="51"/>
      <c r="R28" s="51"/>
      <c r="S28" s="51"/>
      <c r="T28" s="51"/>
      <c r="U28" s="51"/>
      <c r="V28" s="52"/>
      <c r="W28" s="51"/>
      <c r="X28" s="52"/>
      <c r="Y28" s="51"/>
      <c r="Z28" s="51"/>
      <c r="AA28" s="51"/>
      <c r="AB28" s="51"/>
      <c r="AC28" s="51"/>
      <c r="AD28" s="52"/>
      <c r="AE28" s="54"/>
      <c r="AF28" s="82">
        <f>IF(ISNUMBER($AD28),EDATE($AD28,12)-1,"")</f>
        <v/>
      </c>
      <c r="AG28" s="52"/>
      <c r="AH28" s="82">
        <f>IF(ISNUMBER($AG28),$AG28+27,"")</f>
        <v/>
      </c>
      <c r="AI28" s="54"/>
      <c r="AJ28" s="87">
        <f>IF(AND($A28&lt;&gt;"",ISNUMBER($D28),NOT(ISNUMBER($AD28))),$D28,"")</f>
        <v/>
      </c>
    </row>
    <row r="29" spans="1:36">
      <c r="A29" s="54"/>
      <c r="B29" s="81"/>
      <c r="C29" s="82">
        <f>IF($B29="","",IFERROR(VLOOKUP($B29,$A$112:$C$120,2,FALSE),""))</f>
        <v/>
      </c>
      <c r="D29" s="82">
        <f>IF($B29="","",IFERROR(VLOOKUP($B29,$A$112:$C$120,3,FALSE),""))</f>
        <v/>
      </c>
      <c r="E29" s="83">
        <f>IF(OR($D29="",ISNUMBER($AD29)),"",$D29-TODAY())</f>
        <v/>
      </c>
      <c r="F29" s="83">
        <f>IF($A29="","",COUNTIF($K29:$T29,"Yes")+COUNTIF($K29:$T29,"N/A")+IF(OR($U29="N/A",AND($U29="Yes",ISNUMBER($V29))),1,0)+IF(OR($W29="N/A",AND($W29="Yes",ISNUMBER($X29))),1,0)+COUNTIF($Y29:$AC29,"Yes")+COUNTIF($Y29:$AC29,"N/A"))</f>
        <v/>
      </c>
      <c r="G29" s="83">
        <f>IF($A29="","",17-$F29)</f>
        <v/>
      </c>
      <c r="H29" s="84">
        <f>IF($A29="","",$F29/17)</f>
        <v/>
      </c>
      <c r="I29" s="85">
        <f>IF($A29="","",IF(ISNUMBER($AD29),"Registered",IF($G29=0,"Ready",IF($G29&lt;=3,"Nearly","Not ready"))))</f>
        <v/>
      </c>
      <c r="J29" s="86">
        <f>IF($A29="","",IF(ISNUMBER($AD29),"Registered",IF($D29="","Pick a region",IF(TODAY()&gt;$D29,"OVERDUE: register now",IF(TODAY()&gt;=$C29,"Open: register by "&amp;TEXT($D29,"dd/mm/yyyy"),"Opens "&amp;TEXT($C29,"dd/mm/yyyy"))))))</f>
        <v/>
      </c>
      <c r="K29" s="51"/>
      <c r="L29" s="51"/>
      <c r="M29" s="51"/>
      <c r="N29" s="51"/>
      <c r="O29" s="51"/>
      <c r="P29" s="51"/>
      <c r="Q29" s="51"/>
      <c r="R29" s="51"/>
      <c r="S29" s="51"/>
      <c r="T29" s="51"/>
      <c r="U29" s="51"/>
      <c r="V29" s="52"/>
      <c r="W29" s="51"/>
      <c r="X29" s="52"/>
      <c r="Y29" s="51"/>
      <c r="Z29" s="51"/>
      <c r="AA29" s="51"/>
      <c r="AB29" s="51"/>
      <c r="AC29" s="51"/>
      <c r="AD29" s="52"/>
      <c r="AE29" s="54"/>
      <c r="AF29" s="82">
        <f>IF(ISNUMBER($AD29),EDATE($AD29,12)-1,"")</f>
        <v/>
      </c>
      <c r="AG29" s="52"/>
      <c r="AH29" s="82">
        <f>IF(ISNUMBER($AG29),$AG29+27,"")</f>
        <v/>
      </c>
      <c r="AI29" s="54"/>
      <c r="AJ29" s="87">
        <f>IF(AND($A29&lt;&gt;"",ISNUMBER($D29),NOT(ISNUMBER($AD29))),$D29,"")</f>
        <v/>
      </c>
    </row>
    <row r="30" spans="1:36">
      <c r="A30" s="54"/>
      <c r="B30" s="81"/>
      <c r="C30" s="82">
        <f>IF($B30="","",IFERROR(VLOOKUP($B30,$A$112:$C$120,2,FALSE),""))</f>
        <v/>
      </c>
      <c r="D30" s="82">
        <f>IF($B30="","",IFERROR(VLOOKUP($B30,$A$112:$C$120,3,FALSE),""))</f>
        <v/>
      </c>
      <c r="E30" s="83">
        <f>IF(OR($D30="",ISNUMBER($AD30)),"",$D30-TODAY())</f>
        <v/>
      </c>
      <c r="F30" s="83">
        <f>IF($A30="","",COUNTIF($K30:$T30,"Yes")+COUNTIF($K30:$T30,"N/A")+IF(OR($U30="N/A",AND($U30="Yes",ISNUMBER($V30))),1,0)+IF(OR($W30="N/A",AND($W30="Yes",ISNUMBER($X30))),1,0)+COUNTIF($Y30:$AC30,"Yes")+COUNTIF($Y30:$AC30,"N/A"))</f>
        <v/>
      </c>
      <c r="G30" s="83">
        <f>IF($A30="","",17-$F30)</f>
        <v/>
      </c>
      <c r="H30" s="84">
        <f>IF($A30="","",$F30/17)</f>
        <v/>
      </c>
      <c r="I30" s="85">
        <f>IF($A30="","",IF(ISNUMBER($AD30),"Registered",IF($G30=0,"Ready",IF($G30&lt;=3,"Nearly","Not ready"))))</f>
        <v/>
      </c>
      <c r="J30" s="86">
        <f>IF($A30="","",IF(ISNUMBER($AD30),"Registered",IF($D30="","Pick a region",IF(TODAY()&gt;$D30,"OVERDUE: register now",IF(TODAY()&gt;=$C30,"Open: register by "&amp;TEXT($D30,"dd/mm/yyyy"),"Opens "&amp;TEXT($C30,"dd/mm/yyyy"))))))</f>
        <v/>
      </c>
      <c r="K30" s="51"/>
      <c r="L30" s="51"/>
      <c r="M30" s="51"/>
      <c r="N30" s="51"/>
      <c r="O30" s="51"/>
      <c r="P30" s="51"/>
      <c r="Q30" s="51"/>
      <c r="R30" s="51"/>
      <c r="S30" s="51"/>
      <c r="T30" s="51"/>
      <c r="U30" s="51"/>
      <c r="V30" s="52"/>
      <c r="W30" s="51"/>
      <c r="X30" s="52"/>
      <c r="Y30" s="51"/>
      <c r="Z30" s="51"/>
      <c r="AA30" s="51"/>
      <c r="AB30" s="51"/>
      <c r="AC30" s="51"/>
      <c r="AD30" s="52"/>
      <c r="AE30" s="54"/>
      <c r="AF30" s="82">
        <f>IF(ISNUMBER($AD30),EDATE($AD30,12)-1,"")</f>
        <v/>
      </c>
      <c r="AG30" s="52"/>
      <c r="AH30" s="82">
        <f>IF(ISNUMBER($AG30),$AG30+27,"")</f>
        <v/>
      </c>
      <c r="AI30" s="54"/>
      <c r="AJ30" s="87">
        <f>IF(AND($A30&lt;&gt;"",ISNUMBER($D30),NOT(ISNUMBER($AD30))),$D30,"")</f>
        <v/>
      </c>
    </row>
    <row r="31" spans="1:36">
      <c r="A31" s="54"/>
      <c r="B31" s="81"/>
      <c r="C31" s="82">
        <f>IF($B31="","",IFERROR(VLOOKUP($B31,$A$112:$C$120,2,FALSE),""))</f>
        <v/>
      </c>
      <c r="D31" s="82">
        <f>IF($B31="","",IFERROR(VLOOKUP($B31,$A$112:$C$120,3,FALSE),""))</f>
        <v/>
      </c>
      <c r="E31" s="83">
        <f>IF(OR($D31="",ISNUMBER($AD31)),"",$D31-TODAY())</f>
        <v/>
      </c>
      <c r="F31" s="83">
        <f>IF($A31="","",COUNTIF($K31:$T31,"Yes")+COUNTIF($K31:$T31,"N/A")+IF(OR($U31="N/A",AND($U31="Yes",ISNUMBER($V31))),1,0)+IF(OR($W31="N/A",AND($W31="Yes",ISNUMBER($X31))),1,0)+COUNTIF($Y31:$AC31,"Yes")+COUNTIF($Y31:$AC31,"N/A"))</f>
        <v/>
      </c>
      <c r="G31" s="83">
        <f>IF($A31="","",17-$F31)</f>
        <v/>
      </c>
      <c r="H31" s="84">
        <f>IF($A31="","",$F31/17)</f>
        <v/>
      </c>
      <c r="I31" s="85">
        <f>IF($A31="","",IF(ISNUMBER($AD31),"Registered",IF($G31=0,"Ready",IF($G31&lt;=3,"Nearly","Not ready"))))</f>
        <v/>
      </c>
      <c r="J31" s="86">
        <f>IF($A31="","",IF(ISNUMBER($AD31),"Registered",IF($D31="","Pick a region",IF(TODAY()&gt;$D31,"OVERDUE: register now",IF(TODAY()&gt;=$C31,"Open: register by "&amp;TEXT($D31,"dd/mm/yyyy"),"Opens "&amp;TEXT($C31,"dd/mm/yyyy"))))))</f>
        <v/>
      </c>
      <c r="K31" s="51"/>
      <c r="L31" s="51"/>
      <c r="M31" s="51"/>
      <c r="N31" s="51"/>
      <c r="O31" s="51"/>
      <c r="P31" s="51"/>
      <c r="Q31" s="51"/>
      <c r="R31" s="51"/>
      <c r="S31" s="51"/>
      <c r="T31" s="51"/>
      <c r="U31" s="51"/>
      <c r="V31" s="52"/>
      <c r="W31" s="51"/>
      <c r="X31" s="52"/>
      <c r="Y31" s="51"/>
      <c r="Z31" s="51"/>
      <c r="AA31" s="51"/>
      <c r="AB31" s="51"/>
      <c r="AC31" s="51"/>
      <c r="AD31" s="52"/>
      <c r="AE31" s="54"/>
      <c r="AF31" s="82">
        <f>IF(ISNUMBER($AD31),EDATE($AD31,12)-1,"")</f>
        <v/>
      </c>
      <c r="AG31" s="52"/>
      <c r="AH31" s="82">
        <f>IF(ISNUMBER($AG31),$AG31+27,"")</f>
        <v/>
      </c>
      <c r="AI31" s="54"/>
      <c r="AJ31" s="87">
        <f>IF(AND($A31&lt;&gt;"",ISNUMBER($D31),NOT(ISNUMBER($AD31))),$D31,"")</f>
        <v/>
      </c>
    </row>
    <row r="32" spans="1:36">
      <c r="A32" s="54"/>
      <c r="B32" s="81"/>
      <c r="C32" s="82">
        <f>IF($B32="","",IFERROR(VLOOKUP($B32,$A$112:$C$120,2,FALSE),""))</f>
        <v/>
      </c>
      <c r="D32" s="82">
        <f>IF($B32="","",IFERROR(VLOOKUP($B32,$A$112:$C$120,3,FALSE),""))</f>
        <v/>
      </c>
      <c r="E32" s="83">
        <f>IF(OR($D32="",ISNUMBER($AD32)),"",$D32-TODAY())</f>
        <v/>
      </c>
      <c r="F32" s="83">
        <f>IF($A32="","",COUNTIF($K32:$T32,"Yes")+COUNTIF($K32:$T32,"N/A")+IF(OR($U32="N/A",AND($U32="Yes",ISNUMBER($V32))),1,0)+IF(OR($W32="N/A",AND($W32="Yes",ISNUMBER($X32))),1,0)+COUNTIF($Y32:$AC32,"Yes")+COUNTIF($Y32:$AC32,"N/A"))</f>
        <v/>
      </c>
      <c r="G32" s="83">
        <f>IF($A32="","",17-$F32)</f>
        <v/>
      </c>
      <c r="H32" s="84">
        <f>IF($A32="","",$F32/17)</f>
        <v/>
      </c>
      <c r="I32" s="85">
        <f>IF($A32="","",IF(ISNUMBER($AD32),"Registered",IF($G32=0,"Ready",IF($G32&lt;=3,"Nearly","Not ready"))))</f>
        <v/>
      </c>
      <c r="J32" s="86">
        <f>IF($A32="","",IF(ISNUMBER($AD32),"Registered",IF($D32="","Pick a region",IF(TODAY()&gt;$D32,"OVERDUE: register now",IF(TODAY()&gt;=$C32,"Open: register by "&amp;TEXT($D32,"dd/mm/yyyy"),"Opens "&amp;TEXT($C32,"dd/mm/yyyy"))))))</f>
        <v/>
      </c>
      <c r="K32" s="51"/>
      <c r="L32" s="51"/>
      <c r="M32" s="51"/>
      <c r="N32" s="51"/>
      <c r="O32" s="51"/>
      <c r="P32" s="51"/>
      <c r="Q32" s="51"/>
      <c r="R32" s="51"/>
      <c r="S32" s="51"/>
      <c r="T32" s="51"/>
      <c r="U32" s="51"/>
      <c r="V32" s="52"/>
      <c r="W32" s="51"/>
      <c r="X32" s="52"/>
      <c r="Y32" s="51"/>
      <c r="Z32" s="51"/>
      <c r="AA32" s="51"/>
      <c r="AB32" s="51"/>
      <c r="AC32" s="51"/>
      <c r="AD32" s="52"/>
      <c r="AE32" s="54"/>
      <c r="AF32" s="82">
        <f>IF(ISNUMBER($AD32),EDATE($AD32,12)-1,"")</f>
        <v/>
      </c>
      <c r="AG32" s="52"/>
      <c r="AH32" s="82">
        <f>IF(ISNUMBER($AG32),$AG32+27,"")</f>
        <v/>
      </c>
      <c r="AI32" s="54"/>
      <c r="AJ32" s="87">
        <f>IF(AND($A32&lt;&gt;"",ISNUMBER($D32),NOT(ISNUMBER($AD32))),$D32,"")</f>
        <v/>
      </c>
    </row>
    <row r="33" spans="1:36">
      <c r="A33" s="54"/>
      <c r="B33" s="81"/>
      <c r="C33" s="82">
        <f>IF($B33="","",IFERROR(VLOOKUP($B33,$A$112:$C$120,2,FALSE),""))</f>
        <v/>
      </c>
      <c r="D33" s="82">
        <f>IF($B33="","",IFERROR(VLOOKUP($B33,$A$112:$C$120,3,FALSE),""))</f>
        <v/>
      </c>
      <c r="E33" s="83">
        <f>IF(OR($D33="",ISNUMBER($AD33)),"",$D33-TODAY())</f>
        <v/>
      </c>
      <c r="F33" s="83">
        <f>IF($A33="","",COUNTIF($K33:$T33,"Yes")+COUNTIF($K33:$T33,"N/A")+IF(OR($U33="N/A",AND($U33="Yes",ISNUMBER($V33))),1,0)+IF(OR($W33="N/A",AND($W33="Yes",ISNUMBER($X33))),1,0)+COUNTIF($Y33:$AC33,"Yes")+COUNTIF($Y33:$AC33,"N/A"))</f>
        <v/>
      </c>
      <c r="G33" s="83">
        <f>IF($A33="","",17-$F33)</f>
        <v/>
      </c>
      <c r="H33" s="84">
        <f>IF($A33="","",$F33/17)</f>
        <v/>
      </c>
      <c r="I33" s="85">
        <f>IF($A33="","",IF(ISNUMBER($AD33),"Registered",IF($G33=0,"Ready",IF($G33&lt;=3,"Nearly","Not ready"))))</f>
        <v/>
      </c>
      <c r="J33" s="86">
        <f>IF($A33="","",IF(ISNUMBER($AD33),"Registered",IF($D33="","Pick a region",IF(TODAY()&gt;$D33,"OVERDUE: register now",IF(TODAY()&gt;=$C33,"Open: register by "&amp;TEXT($D33,"dd/mm/yyyy"),"Opens "&amp;TEXT($C33,"dd/mm/yyyy"))))))</f>
        <v/>
      </c>
      <c r="K33" s="51"/>
      <c r="L33" s="51"/>
      <c r="M33" s="51"/>
      <c r="N33" s="51"/>
      <c r="O33" s="51"/>
      <c r="P33" s="51"/>
      <c r="Q33" s="51"/>
      <c r="R33" s="51"/>
      <c r="S33" s="51"/>
      <c r="T33" s="51"/>
      <c r="U33" s="51"/>
      <c r="V33" s="52"/>
      <c r="W33" s="51"/>
      <c r="X33" s="52"/>
      <c r="Y33" s="51"/>
      <c r="Z33" s="51"/>
      <c r="AA33" s="51"/>
      <c r="AB33" s="51"/>
      <c r="AC33" s="51"/>
      <c r="AD33" s="52"/>
      <c r="AE33" s="54"/>
      <c r="AF33" s="82">
        <f>IF(ISNUMBER($AD33),EDATE($AD33,12)-1,"")</f>
        <v/>
      </c>
      <c r="AG33" s="52"/>
      <c r="AH33" s="82">
        <f>IF(ISNUMBER($AG33),$AG33+27,"")</f>
        <v/>
      </c>
      <c r="AI33" s="54"/>
      <c r="AJ33" s="87">
        <f>IF(AND($A33&lt;&gt;"",ISNUMBER($D33),NOT(ISNUMBER($AD33))),$D33,"")</f>
        <v/>
      </c>
    </row>
    <row r="34" spans="1:36">
      <c r="A34" s="54"/>
      <c r="B34" s="81"/>
      <c r="C34" s="82">
        <f>IF($B34="","",IFERROR(VLOOKUP($B34,$A$112:$C$120,2,FALSE),""))</f>
        <v/>
      </c>
      <c r="D34" s="82">
        <f>IF($B34="","",IFERROR(VLOOKUP($B34,$A$112:$C$120,3,FALSE),""))</f>
        <v/>
      </c>
      <c r="E34" s="83">
        <f>IF(OR($D34="",ISNUMBER($AD34)),"",$D34-TODAY())</f>
        <v/>
      </c>
      <c r="F34" s="83">
        <f>IF($A34="","",COUNTIF($K34:$T34,"Yes")+COUNTIF($K34:$T34,"N/A")+IF(OR($U34="N/A",AND($U34="Yes",ISNUMBER($V34))),1,0)+IF(OR($W34="N/A",AND($W34="Yes",ISNUMBER($X34))),1,0)+COUNTIF($Y34:$AC34,"Yes")+COUNTIF($Y34:$AC34,"N/A"))</f>
        <v/>
      </c>
      <c r="G34" s="83">
        <f>IF($A34="","",17-$F34)</f>
        <v/>
      </c>
      <c r="H34" s="84">
        <f>IF($A34="","",$F34/17)</f>
        <v/>
      </c>
      <c r="I34" s="85">
        <f>IF($A34="","",IF(ISNUMBER($AD34),"Registered",IF($G34=0,"Ready",IF($G34&lt;=3,"Nearly","Not ready"))))</f>
        <v/>
      </c>
      <c r="J34" s="86">
        <f>IF($A34="","",IF(ISNUMBER($AD34),"Registered",IF($D34="","Pick a region",IF(TODAY()&gt;$D34,"OVERDUE: register now",IF(TODAY()&gt;=$C34,"Open: register by "&amp;TEXT($D34,"dd/mm/yyyy"),"Opens "&amp;TEXT($C34,"dd/mm/yyyy"))))))</f>
        <v/>
      </c>
      <c r="K34" s="51"/>
      <c r="L34" s="51"/>
      <c r="M34" s="51"/>
      <c r="N34" s="51"/>
      <c r="O34" s="51"/>
      <c r="P34" s="51"/>
      <c r="Q34" s="51"/>
      <c r="R34" s="51"/>
      <c r="S34" s="51"/>
      <c r="T34" s="51"/>
      <c r="U34" s="51"/>
      <c r="V34" s="52"/>
      <c r="W34" s="51"/>
      <c r="X34" s="52"/>
      <c r="Y34" s="51"/>
      <c r="Z34" s="51"/>
      <c r="AA34" s="51"/>
      <c r="AB34" s="51"/>
      <c r="AC34" s="51"/>
      <c r="AD34" s="52"/>
      <c r="AE34" s="54"/>
      <c r="AF34" s="82">
        <f>IF(ISNUMBER($AD34),EDATE($AD34,12)-1,"")</f>
        <v/>
      </c>
      <c r="AG34" s="52"/>
      <c r="AH34" s="82">
        <f>IF(ISNUMBER($AG34),$AG34+27,"")</f>
        <v/>
      </c>
      <c r="AI34" s="54"/>
      <c r="AJ34" s="87">
        <f>IF(AND($A34&lt;&gt;"",ISNUMBER($D34),NOT(ISNUMBER($AD34))),$D34,"")</f>
        <v/>
      </c>
    </row>
    <row r="35" spans="1:36">
      <c r="A35" s="54"/>
      <c r="B35" s="81"/>
      <c r="C35" s="82">
        <f>IF($B35="","",IFERROR(VLOOKUP($B35,$A$112:$C$120,2,FALSE),""))</f>
        <v/>
      </c>
      <c r="D35" s="82">
        <f>IF($B35="","",IFERROR(VLOOKUP($B35,$A$112:$C$120,3,FALSE),""))</f>
        <v/>
      </c>
      <c r="E35" s="83">
        <f>IF(OR($D35="",ISNUMBER($AD35)),"",$D35-TODAY())</f>
        <v/>
      </c>
      <c r="F35" s="83">
        <f>IF($A35="","",COUNTIF($K35:$T35,"Yes")+COUNTIF($K35:$T35,"N/A")+IF(OR($U35="N/A",AND($U35="Yes",ISNUMBER($V35))),1,0)+IF(OR($W35="N/A",AND($W35="Yes",ISNUMBER($X35))),1,0)+COUNTIF($Y35:$AC35,"Yes")+COUNTIF($Y35:$AC35,"N/A"))</f>
        <v/>
      </c>
      <c r="G35" s="83">
        <f>IF($A35="","",17-$F35)</f>
        <v/>
      </c>
      <c r="H35" s="84">
        <f>IF($A35="","",$F35/17)</f>
        <v/>
      </c>
      <c r="I35" s="85">
        <f>IF($A35="","",IF(ISNUMBER($AD35),"Registered",IF($G35=0,"Ready",IF($G35&lt;=3,"Nearly","Not ready"))))</f>
        <v/>
      </c>
      <c r="J35" s="86">
        <f>IF($A35="","",IF(ISNUMBER($AD35),"Registered",IF($D35="","Pick a region",IF(TODAY()&gt;$D35,"OVERDUE: register now",IF(TODAY()&gt;=$C35,"Open: register by "&amp;TEXT($D35,"dd/mm/yyyy"),"Opens "&amp;TEXT($C35,"dd/mm/yyyy"))))))</f>
        <v/>
      </c>
      <c r="K35" s="51"/>
      <c r="L35" s="51"/>
      <c r="M35" s="51"/>
      <c r="N35" s="51"/>
      <c r="O35" s="51"/>
      <c r="P35" s="51"/>
      <c r="Q35" s="51"/>
      <c r="R35" s="51"/>
      <c r="S35" s="51"/>
      <c r="T35" s="51"/>
      <c r="U35" s="51"/>
      <c r="V35" s="52"/>
      <c r="W35" s="51"/>
      <c r="X35" s="52"/>
      <c r="Y35" s="51"/>
      <c r="Z35" s="51"/>
      <c r="AA35" s="51"/>
      <c r="AB35" s="51"/>
      <c r="AC35" s="51"/>
      <c r="AD35" s="52"/>
      <c r="AE35" s="54"/>
      <c r="AF35" s="82">
        <f>IF(ISNUMBER($AD35),EDATE($AD35,12)-1,"")</f>
        <v/>
      </c>
      <c r="AG35" s="52"/>
      <c r="AH35" s="82">
        <f>IF(ISNUMBER($AG35),$AG35+27,"")</f>
        <v/>
      </c>
      <c r="AI35" s="54"/>
      <c r="AJ35" s="87">
        <f>IF(AND($A35&lt;&gt;"",ISNUMBER($D35),NOT(ISNUMBER($AD35))),$D35,"")</f>
        <v/>
      </c>
    </row>
    <row r="36" spans="1:36">
      <c r="A36" s="54"/>
      <c r="B36" s="81"/>
      <c r="C36" s="82">
        <f>IF($B36="","",IFERROR(VLOOKUP($B36,$A$112:$C$120,2,FALSE),""))</f>
        <v/>
      </c>
      <c r="D36" s="82">
        <f>IF($B36="","",IFERROR(VLOOKUP($B36,$A$112:$C$120,3,FALSE),""))</f>
        <v/>
      </c>
      <c r="E36" s="83">
        <f>IF(OR($D36="",ISNUMBER($AD36)),"",$D36-TODAY())</f>
        <v/>
      </c>
      <c r="F36" s="83">
        <f>IF($A36="","",COUNTIF($K36:$T36,"Yes")+COUNTIF($K36:$T36,"N/A")+IF(OR($U36="N/A",AND($U36="Yes",ISNUMBER($V36))),1,0)+IF(OR($W36="N/A",AND($W36="Yes",ISNUMBER($X36))),1,0)+COUNTIF($Y36:$AC36,"Yes")+COUNTIF($Y36:$AC36,"N/A"))</f>
        <v/>
      </c>
      <c r="G36" s="83">
        <f>IF($A36="","",17-$F36)</f>
        <v/>
      </c>
      <c r="H36" s="84">
        <f>IF($A36="","",$F36/17)</f>
        <v/>
      </c>
      <c r="I36" s="85">
        <f>IF($A36="","",IF(ISNUMBER($AD36),"Registered",IF($G36=0,"Ready",IF($G36&lt;=3,"Nearly","Not ready"))))</f>
        <v/>
      </c>
      <c r="J36" s="86">
        <f>IF($A36="","",IF(ISNUMBER($AD36),"Registered",IF($D36="","Pick a region",IF(TODAY()&gt;$D36,"OVERDUE: register now",IF(TODAY()&gt;=$C36,"Open: register by "&amp;TEXT($D36,"dd/mm/yyyy"),"Opens "&amp;TEXT($C36,"dd/mm/yyyy"))))))</f>
        <v/>
      </c>
      <c r="K36" s="51"/>
      <c r="L36" s="51"/>
      <c r="M36" s="51"/>
      <c r="N36" s="51"/>
      <c r="O36" s="51"/>
      <c r="P36" s="51"/>
      <c r="Q36" s="51"/>
      <c r="R36" s="51"/>
      <c r="S36" s="51"/>
      <c r="T36" s="51"/>
      <c r="U36" s="51"/>
      <c r="V36" s="52"/>
      <c r="W36" s="51"/>
      <c r="X36" s="52"/>
      <c r="Y36" s="51"/>
      <c r="Z36" s="51"/>
      <c r="AA36" s="51"/>
      <c r="AB36" s="51"/>
      <c r="AC36" s="51"/>
      <c r="AD36" s="52"/>
      <c r="AE36" s="54"/>
      <c r="AF36" s="82">
        <f>IF(ISNUMBER($AD36),EDATE($AD36,12)-1,"")</f>
        <v/>
      </c>
      <c r="AG36" s="52"/>
      <c r="AH36" s="82">
        <f>IF(ISNUMBER($AG36),$AG36+27,"")</f>
        <v/>
      </c>
      <c r="AI36" s="54"/>
      <c r="AJ36" s="87">
        <f>IF(AND($A36&lt;&gt;"",ISNUMBER($D36),NOT(ISNUMBER($AD36))),$D36,"")</f>
        <v/>
      </c>
    </row>
    <row r="37" spans="1:36">
      <c r="A37" s="54"/>
      <c r="B37" s="81"/>
      <c r="C37" s="82">
        <f>IF($B37="","",IFERROR(VLOOKUP($B37,$A$112:$C$120,2,FALSE),""))</f>
        <v/>
      </c>
      <c r="D37" s="82">
        <f>IF($B37="","",IFERROR(VLOOKUP($B37,$A$112:$C$120,3,FALSE),""))</f>
        <v/>
      </c>
      <c r="E37" s="83">
        <f>IF(OR($D37="",ISNUMBER($AD37)),"",$D37-TODAY())</f>
        <v/>
      </c>
      <c r="F37" s="83">
        <f>IF($A37="","",COUNTIF($K37:$T37,"Yes")+COUNTIF($K37:$T37,"N/A")+IF(OR($U37="N/A",AND($U37="Yes",ISNUMBER($V37))),1,0)+IF(OR($W37="N/A",AND($W37="Yes",ISNUMBER($X37))),1,0)+COUNTIF($Y37:$AC37,"Yes")+COUNTIF($Y37:$AC37,"N/A"))</f>
        <v/>
      </c>
      <c r="G37" s="83">
        <f>IF($A37="","",17-$F37)</f>
        <v/>
      </c>
      <c r="H37" s="84">
        <f>IF($A37="","",$F37/17)</f>
        <v/>
      </c>
      <c r="I37" s="85">
        <f>IF($A37="","",IF(ISNUMBER($AD37),"Registered",IF($G37=0,"Ready",IF($G37&lt;=3,"Nearly","Not ready"))))</f>
        <v/>
      </c>
      <c r="J37" s="86">
        <f>IF($A37="","",IF(ISNUMBER($AD37),"Registered",IF($D37="","Pick a region",IF(TODAY()&gt;$D37,"OVERDUE: register now",IF(TODAY()&gt;=$C37,"Open: register by "&amp;TEXT($D37,"dd/mm/yyyy"),"Opens "&amp;TEXT($C37,"dd/mm/yyyy"))))))</f>
        <v/>
      </c>
      <c r="K37" s="51"/>
      <c r="L37" s="51"/>
      <c r="M37" s="51"/>
      <c r="N37" s="51"/>
      <c r="O37" s="51"/>
      <c r="P37" s="51"/>
      <c r="Q37" s="51"/>
      <c r="R37" s="51"/>
      <c r="S37" s="51"/>
      <c r="T37" s="51"/>
      <c r="U37" s="51"/>
      <c r="V37" s="52"/>
      <c r="W37" s="51"/>
      <c r="X37" s="52"/>
      <c r="Y37" s="51"/>
      <c r="Z37" s="51"/>
      <c r="AA37" s="51"/>
      <c r="AB37" s="51"/>
      <c r="AC37" s="51"/>
      <c r="AD37" s="52"/>
      <c r="AE37" s="54"/>
      <c r="AF37" s="82">
        <f>IF(ISNUMBER($AD37),EDATE($AD37,12)-1,"")</f>
        <v/>
      </c>
      <c r="AG37" s="52"/>
      <c r="AH37" s="82">
        <f>IF(ISNUMBER($AG37),$AG37+27,"")</f>
        <v/>
      </c>
      <c r="AI37" s="54"/>
      <c r="AJ37" s="87">
        <f>IF(AND($A37&lt;&gt;"",ISNUMBER($D37),NOT(ISNUMBER($AD37))),$D37,"")</f>
        <v/>
      </c>
    </row>
    <row r="38" spans="1:36">
      <c r="A38" s="54"/>
      <c r="B38" s="81"/>
      <c r="C38" s="82">
        <f>IF($B38="","",IFERROR(VLOOKUP($B38,$A$112:$C$120,2,FALSE),""))</f>
        <v/>
      </c>
      <c r="D38" s="82">
        <f>IF($B38="","",IFERROR(VLOOKUP($B38,$A$112:$C$120,3,FALSE),""))</f>
        <v/>
      </c>
      <c r="E38" s="83">
        <f>IF(OR($D38="",ISNUMBER($AD38)),"",$D38-TODAY())</f>
        <v/>
      </c>
      <c r="F38" s="83">
        <f>IF($A38="","",COUNTIF($K38:$T38,"Yes")+COUNTIF($K38:$T38,"N/A")+IF(OR($U38="N/A",AND($U38="Yes",ISNUMBER($V38))),1,0)+IF(OR($W38="N/A",AND($W38="Yes",ISNUMBER($X38))),1,0)+COUNTIF($Y38:$AC38,"Yes")+COUNTIF($Y38:$AC38,"N/A"))</f>
        <v/>
      </c>
      <c r="G38" s="83">
        <f>IF($A38="","",17-$F38)</f>
        <v/>
      </c>
      <c r="H38" s="84">
        <f>IF($A38="","",$F38/17)</f>
        <v/>
      </c>
      <c r="I38" s="85">
        <f>IF($A38="","",IF(ISNUMBER($AD38),"Registered",IF($G38=0,"Ready",IF($G38&lt;=3,"Nearly","Not ready"))))</f>
        <v/>
      </c>
      <c r="J38" s="86">
        <f>IF($A38="","",IF(ISNUMBER($AD38),"Registered",IF($D38="","Pick a region",IF(TODAY()&gt;$D38,"OVERDUE: register now",IF(TODAY()&gt;=$C38,"Open: register by "&amp;TEXT($D38,"dd/mm/yyyy"),"Opens "&amp;TEXT($C38,"dd/mm/yyyy"))))))</f>
        <v/>
      </c>
      <c r="K38" s="51"/>
      <c r="L38" s="51"/>
      <c r="M38" s="51"/>
      <c r="N38" s="51"/>
      <c r="O38" s="51"/>
      <c r="P38" s="51"/>
      <c r="Q38" s="51"/>
      <c r="R38" s="51"/>
      <c r="S38" s="51"/>
      <c r="T38" s="51"/>
      <c r="U38" s="51"/>
      <c r="V38" s="52"/>
      <c r="W38" s="51"/>
      <c r="X38" s="52"/>
      <c r="Y38" s="51"/>
      <c r="Z38" s="51"/>
      <c r="AA38" s="51"/>
      <c r="AB38" s="51"/>
      <c r="AC38" s="51"/>
      <c r="AD38" s="52"/>
      <c r="AE38" s="54"/>
      <c r="AF38" s="82">
        <f>IF(ISNUMBER($AD38),EDATE($AD38,12)-1,"")</f>
        <v/>
      </c>
      <c r="AG38" s="52"/>
      <c r="AH38" s="82">
        <f>IF(ISNUMBER($AG38),$AG38+27,"")</f>
        <v/>
      </c>
      <c r="AI38" s="54"/>
      <c r="AJ38" s="87">
        <f>IF(AND($A38&lt;&gt;"",ISNUMBER($D38),NOT(ISNUMBER($AD38))),$D38,"")</f>
        <v/>
      </c>
    </row>
    <row r="39" spans="1:36">
      <c r="A39" s="54"/>
      <c r="B39" s="81"/>
      <c r="C39" s="82">
        <f>IF($B39="","",IFERROR(VLOOKUP($B39,$A$112:$C$120,2,FALSE),""))</f>
        <v/>
      </c>
      <c r="D39" s="82">
        <f>IF($B39="","",IFERROR(VLOOKUP($B39,$A$112:$C$120,3,FALSE),""))</f>
        <v/>
      </c>
      <c r="E39" s="83">
        <f>IF(OR($D39="",ISNUMBER($AD39)),"",$D39-TODAY())</f>
        <v/>
      </c>
      <c r="F39" s="83">
        <f>IF($A39="","",COUNTIF($K39:$T39,"Yes")+COUNTIF($K39:$T39,"N/A")+IF(OR($U39="N/A",AND($U39="Yes",ISNUMBER($V39))),1,0)+IF(OR($W39="N/A",AND($W39="Yes",ISNUMBER($X39))),1,0)+COUNTIF($Y39:$AC39,"Yes")+COUNTIF($Y39:$AC39,"N/A"))</f>
        <v/>
      </c>
      <c r="G39" s="83">
        <f>IF($A39="","",17-$F39)</f>
        <v/>
      </c>
      <c r="H39" s="84">
        <f>IF($A39="","",$F39/17)</f>
        <v/>
      </c>
      <c r="I39" s="85">
        <f>IF($A39="","",IF(ISNUMBER($AD39),"Registered",IF($G39=0,"Ready",IF($G39&lt;=3,"Nearly","Not ready"))))</f>
        <v/>
      </c>
      <c r="J39" s="86">
        <f>IF($A39="","",IF(ISNUMBER($AD39),"Registered",IF($D39="","Pick a region",IF(TODAY()&gt;$D39,"OVERDUE: register now",IF(TODAY()&gt;=$C39,"Open: register by "&amp;TEXT($D39,"dd/mm/yyyy"),"Opens "&amp;TEXT($C39,"dd/mm/yyyy"))))))</f>
        <v/>
      </c>
      <c r="K39" s="51"/>
      <c r="L39" s="51"/>
      <c r="M39" s="51"/>
      <c r="N39" s="51"/>
      <c r="O39" s="51"/>
      <c r="P39" s="51"/>
      <c r="Q39" s="51"/>
      <c r="R39" s="51"/>
      <c r="S39" s="51"/>
      <c r="T39" s="51"/>
      <c r="U39" s="51"/>
      <c r="V39" s="52"/>
      <c r="W39" s="51"/>
      <c r="X39" s="52"/>
      <c r="Y39" s="51"/>
      <c r="Z39" s="51"/>
      <c r="AA39" s="51"/>
      <c r="AB39" s="51"/>
      <c r="AC39" s="51"/>
      <c r="AD39" s="52"/>
      <c r="AE39" s="54"/>
      <c r="AF39" s="82">
        <f>IF(ISNUMBER($AD39),EDATE($AD39,12)-1,"")</f>
        <v/>
      </c>
      <c r="AG39" s="52"/>
      <c r="AH39" s="82">
        <f>IF(ISNUMBER($AG39),$AG39+27,"")</f>
        <v/>
      </c>
      <c r="AI39" s="54"/>
      <c r="AJ39" s="87">
        <f>IF(AND($A39&lt;&gt;"",ISNUMBER($D39),NOT(ISNUMBER($AD39))),$D39,"")</f>
        <v/>
      </c>
    </row>
    <row r="40" spans="1:36">
      <c r="A40" s="54"/>
      <c r="B40" s="81"/>
      <c r="C40" s="82">
        <f>IF($B40="","",IFERROR(VLOOKUP($B40,$A$112:$C$120,2,FALSE),""))</f>
        <v/>
      </c>
      <c r="D40" s="82">
        <f>IF($B40="","",IFERROR(VLOOKUP($B40,$A$112:$C$120,3,FALSE),""))</f>
        <v/>
      </c>
      <c r="E40" s="83">
        <f>IF(OR($D40="",ISNUMBER($AD40)),"",$D40-TODAY())</f>
        <v/>
      </c>
      <c r="F40" s="83">
        <f>IF($A40="","",COUNTIF($K40:$T40,"Yes")+COUNTIF($K40:$T40,"N/A")+IF(OR($U40="N/A",AND($U40="Yes",ISNUMBER($V40))),1,0)+IF(OR($W40="N/A",AND($W40="Yes",ISNUMBER($X40))),1,0)+COUNTIF($Y40:$AC40,"Yes")+COUNTIF($Y40:$AC40,"N/A"))</f>
        <v/>
      </c>
      <c r="G40" s="83">
        <f>IF($A40="","",17-$F40)</f>
        <v/>
      </c>
      <c r="H40" s="84">
        <f>IF($A40="","",$F40/17)</f>
        <v/>
      </c>
      <c r="I40" s="85">
        <f>IF($A40="","",IF(ISNUMBER($AD40),"Registered",IF($G40=0,"Ready",IF($G40&lt;=3,"Nearly","Not ready"))))</f>
        <v/>
      </c>
      <c r="J40" s="86">
        <f>IF($A40="","",IF(ISNUMBER($AD40),"Registered",IF($D40="","Pick a region",IF(TODAY()&gt;$D40,"OVERDUE: register now",IF(TODAY()&gt;=$C40,"Open: register by "&amp;TEXT($D40,"dd/mm/yyyy"),"Opens "&amp;TEXT($C40,"dd/mm/yyyy"))))))</f>
        <v/>
      </c>
      <c r="K40" s="51"/>
      <c r="L40" s="51"/>
      <c r="M40" s="51"/>
      <c r="N40" s="51"/>
      <c r="O40" s="51"/>
      <c r="P40" s="51"/>
      <c r="Q40" s="51"/>
      <c r="R40" s="51"/>
      <c r="S40" s="51"/>
      <c r="T40" s="51"/>
      <c r="U40" s="51"/>
      <c r="V40" s="52"/>
      <c r="W40" s="51"/>
      <c r="X40" s="52"/>
      <c r="Y40" s="51"/>
      <c r="Z40" s="51"/>
      <c r="AA40" s="51"/>
      <c r="AB40" s="51"/>
      <c r="AC40" s="51"/>
      <c r="AD40" s="52"/>
      <c r="AE40" s="54"/>
      <c r="AF40" s="82">
        <f>IF(ISNUMBER($AD40),EDATE($AD40,12)-1,"")</f>
        <v/>
      </c>
      <c r="AG40" s="52"/>
      <c r="AH40" s="82">
        <f>IF(ISNUMBER($AG40),$AG40+27,"")</f>
        <v/>
      </c>
      <c r="AI40" s="54"/>
      <c r="AJ40" s="87">
        <f>IF(AND($A40&lt;&gt;"",ISNUMBER($D40),NOT(ISNUMBER($AD40))),$D40,"")</f>
        <v/>
      </c>
    </row>
    <row r="41" spans="1:36">
      <c r="A41" s="54"/>
      <c r="B41" s="81"/>
      <c r="C41" s="82">
        <f>IF($B41="","",IFERROR(VLOOKUP($B41,$A$112:$C$120,2,FALSE),""))</f>
        <v/>
      </c>
      <c r="D41" s="82">
        <f>IF($B41="","",IFERROR(VLOOKUP($B41,$A$112:$C$120,3,FALSE),""))</f>
        <v/>
      </c>
      <c r="E41" s="83">
        <f>IF(OR($D41="",ISNUMBER($AD41)),"",$D41-TODAY())</f>
        <v/>
      </c>
      <c r="F41" s="83">
        <f>IF($A41="","",COUNTIF($K41:$T41,"Yes")+COUNTIF($K41:$T41,"N/A")+IF(OR($U41="N/A",AND($U41="Yes",ISNUMBER($V41))),1,0)+IF(OR($W41="N/A",AND($W41="Yes",ISNUMBER($X41))),1,0)+COUNTIF($Y41:$AC41,"Yes")+COUNTIF($Y41:$AC41,"N/A"))</f>
        <v/>
      </c>
      <c r="G41" s="83">
        <f>IF($A41="","",17-$F41)</f>
        <v/>
      </c>
      <c r="H41" s="84">
        <f>IF($A41="","",$F41/17)</f>
        <v/>
      </c>
      <c r="I41" s="85">
        <f>IF($A41="","",IF(ISNUMBER($AD41),"Registered",IF($G41=0,"Ready",IF($G41&lt;=3,"Nearly","Not ready"))))</f>
        <v/>
      </c>
      <c r="J41" s="86">
        <f>IF($A41="","",IF(ISNUMBER($AD41),"Registered",IF($D41="","Pick a region",IF(TODAY()&gt;$D41,"OVERDUE: register now",IF(TODAY()&gt;=$C41,"Open: register by "&amp;TEXT($D41,"dd/mm/yyyy"),"Opens "&amp;TEXT($C41,"dd/mm/yyyy"))))))</f>
        <v/>
      </c>
      <c r="K41" s="51"/>
      <c r="L41" s="51"/>
      <c r="M41" s="51"/>
      <c r="N41" s="51"/>
      <c r="O41" s="51"/>
      <c r="P41" s="51"/>
      <c r="Q41" s="51"/>
      <c r="R41" s="51"/>
      <c r="S41" s="51"/>
      <c r="T41" s="51"/>
      <c r="U41" s="51"/>
      <c r="V41" s="52"/>
      <c r="W41" s="51"/>
      <c r="X41" s="52"/>
      <c r="Y41" s="51"/>
      <c r="Z41" s="51"/>
      <c r="AA41" s="51"/>
      <c r="AB41" s="51"/>
      <c r="AC41" s="51"/>
      <c r="AD41" s="52"/>
      <c r="AE41" s="54"/>
      <c r="AF41" s="82">
        <f>IF(ISNUMBER($AD41),EDATE($AD41,12)-1,"")</f>
        <v/>
      </c>
      <c r="AG41" s="52"/>
      <c r="AH41" s="82">
        <f>IF(ISNUMBER($AG41),$AG41+27,"")</f>
        <v/>
      </c>
      <c r="AI41" s="54"/>
      <c r="AJ41" s="87">
        <f>IF(AND($A41&lt;&gt;"",ISNUMBER($D41),NOT(ISNUMBER($AD41))),$D41,"")</f>
        <v/>
      </c>
    </row>
    <row r="42" spans="1:36">
      <c r="A42" s="54"/>
      <c r="B42" s="81"/>
      <c r="C42" s="82">
        <f>IF($B42="","",IFERROR(VLOOKUP($B42,$A$112:$C$120,2,FALSE),""))</f>
        <v/>
      </c>
      <c r="D42" s="82">
        <f>IF($B42="","",IFERROR(VLOOKUP($B42,$A$112:$C$120,3,FALSE),""))</f>
        <v/>
      </c>
      <c r="E42" s="83">
        <f>IF(OR($D42="",ISNUMBER($AD42)),"",$D42-TODAY())</f>
        <v/>
      </c>
      <c r="F42" s="83">
        <f>IF($A42="","",COUNTIF($K42:$T42,"Yes")+COUNTIF($K42:$T42,"N/A")+IF(OR($U42="N/A",AND($U42="Yes",ISNUMBER($V42))),1,0)+IF(OR($W42="N/A",AND($W42="Yes",ISNUMBER($X42))),1,0)+COUNTIF($Y42:$AC42,"Yes")+COUNTIF($Y42:$AC42,"N/A"))</f>
        <v/>
      </c>
      <c r="G42" s="83">
        <f>IF($A42="","",17-$F42)</f>
        <v/>
      </c>
      <c r="H42" s="84">
        <f>IF($A42="","",$F42/17)</f>
        <v/>
      </c>
      <c r="I42" s="85">
        <f>IF($A42="","",IF(ISNUMBER($AD42),"Registered",IF($G42=0,"Ready",IF($G42&lt;=3,"Nearly","Not ready"))))</f>
        <v/>
      </c>
      <c r="J42" s="86">
        <f>IF($A42="","",IF(ISNUMBER($AD42),"Registered",IF($D42="","Pick a region",IF(TODAY()&gt;$D42,"OVERDUE: register now",IF(TODAY()&gt;=$C42,"Open: register by "&amp;TEXT($D42,"dd/mm/yyyy"),"Opens "&amp;TEXT($C42,"dd/mm/yyyy"))))))</f>
        <v/>
      </c>
      <c r="K42" s="51"/>
      <c r="L42" s="51"/>
      <c r="M42" s="51"/>
      <c r="N42" s="51"/>
      <c r="O42" s="51"/>
      <c r="P42" s="51"/>
      <c r="Q42" s="51"/>
      <c r="R42" s="51"/>
      <c r="S42" s="51"/>
      <c r="T42" s="51"/>
      <c r="U42" s="51"/>
      <c r="V42" s="52"/>
      <c r="W42" s="51"/>
      <c r="X42" s="52"/>
      <c r="Y42" s="51"/>
      <c r="Z42" s="51"/>
      <c r="AA42" s="51"/>
      <c r="AB42" s="51"/>
      <c r="AC42" s="51"/>
      <c r="AD42" s="52"/>
      <c r="AE42" s="54"/>
      <c r="AF42" s="82">
        <f>IF(ISNUMBER($AD42),EDATE($AD42,12)-1,"")</f>
        <v/>
      </c>
      <c r="AG42" s="52"/>
      <c r="AH42" s="82">
        <f>IF(ISNUMBER($AG42),$AG42+27,"")</f>
        <v/>
      </c>
      <c r="AI42" s="54"/>
      <c r="AJ42" s="87">
        <f>IF(AND($A42&lt;&gt;"",ISNUMBER($D42),NOT(ISNUMBER($AD42))),$D42,"")</f>
        <v/>
      </c>
    </row>
    <row r="43" spans="1:36">
      <c r="A43" s="54"/>
      <c r="B43" s="81"/>
      <c r="C43" s="82">
        <f>IF($B43="","",IFERROR(VLOOKUP($B43,$A$112:$C$120,2,FALSE),""))</f>
        <v/>
      </c>
      <c r="D43" s="82">
        <f>IF($B43="","",IFERROR(VLOOKUP($B43,$A$112:$C$120,3,FALSE),""))</f>
        <v/>
      </c>
      <c r="E43" s="83">
        <f>IF(OR($D43="",ISNUMBER($AD43)),"",$D43-TODAY())</f>
        <v/>
      </c>
      <c r="F43" s="83">
        <f>IF($A43="","",COUNTIF($K43:$T43,"Yes")+COUNTIF($K43:$T43,"N/A")+IF(OR($U43="N/A",AND($U43="Yes",ISNUMBER($V43))),1,0)+IF(OR($W43="N/A",AND($W43="Yes",ISNUMBER($X43))),1,0)+COUNTIF($Y43:$AC43,"Yes")+COUNTIF($Y43:$AC43,"N/A"))</f>
        <v/>
      </c>
      <c r="G43" s="83">
        <f>IF($A43="","",17-$F43)</f>
        <v/>
      </c>
      <c r="H43" s="84">
        <f>IF($A43="","",$F43/17)</f>
        <v/>
      </c>
      <c r="I43" s="85">
        <f>IF($A43="","",IF(ISNUMBER($AD43),"Registered",IF($G43=0,"Ready",IF($G43&lt;=3,"Nearly","Not ready"))))</f>
        <v/>
      </c>
      <c r="J43" s="86">
        <f>IF($A43="","",IF(ISNUMBER($AD43),"Registered",IF($D43="","Pick a region",IF(TODAY()&gt;$D43,"OVERDUE: register now",IF(TODAY()&gt;=$C43,"Open: register by "&amp;TEXT($D43,"dd/mm/yyyy"),"Opens "&amp;TEXT($C43,"dd/mm/yyyy"))))))</f>
        <v/>
      </c>
      <c r="K43" s="51"/>
      <c r="L43" s="51"/>
      <c r="M43" s="51"/>
      <c r="N43" s="51"/>
      <c r="O43" s="51"/>
      <c r="P43" s="51"/>
      <c r="Q43" s="51"/>
      <c r="R43" s="51"/>
      <c r="S43" s="51"/>
      <c r="T43" s="51"/>
      <c r="U43" s="51"/>
      <c r="V43" s="52"/>
      <c r="W43" s="51"/>
      <c r="X43" s="52"/>
      <c r="Y43" s="51"/>
      <c r="Z43" s="51"/>
      <c r="AA43" s="51"/>
      <c r="AB43" s="51"/>
      <c r="AC43" s="51"/>
      <c r="AD43" s="52"/>
      <c r="AE43" s="54"/>
      <c r="AF43" s="82">
        <f>IF(ISNUMBER($AD43),EDATE($AD43,12)-1,"")</f>
        <v/>
      </c>
      <c r="AG43" s="52"/>
      <c r="AH43" s="82">
        <f>IF(ISNUMBER($AG43),$AG43+27,"")</f>
        <v/>
      </c>
      <c r="AI43" s="54"/>
      <c r="AJ43" s="87">
        <f>IF(AND($A43&lt;&gt;"",ISNUMBER($D43),NOT(ISNUMBER($AD43))),$D43,"")</f>
        <v/>
      </c>
    </row>
    <row r="44" spans="1:36">
      <c r="A44" s="54"/>
      <c r="B44" s="81"/>
      <c r="C44" s="82">
        <f>IF($B44="","",IFERROR(VLOOKUP($B44,$A$112:$C$120,2,FALSE),""))</f>
        <v/>
      </c>
      <c r="D44" s="82">
        <f>IF($B44="","",IFERROR(VLOOKUP($B44,$A$112:$C$120,3,FALSE),""))</f>
        <v/>
      </c>
      <c r="E44" s="83">
        <f>IF(OR($D44="",ISNUMBER($AD44)),"",$D44-TODAY())</f>
        <v/>
      </c>
      <c r="F44" s="83">
        <f>IF($A44="","",COUNTIF($K44:$T44,"Yes")+COUNTIF($K44:$T44,"N/A")+IF(OR($U44="N/A",AND($U44="Yes",ISNUMBER($V44))),1,0)+IF(OR($W44="N/A",AND($W44="Yes",ISNUMBER($X44))),1,0)+COUNTIF($Y44:$AC44,"Yes")+COUNTIF($Y44:$AC44,"N/A"))</f>
        <v/>
      </c>
      <c r="G44" s="83">
        <f>IF($A44="","",17-$F44)</f>
        <v/>
      </c>
      <c r="H44" s="84">
        <f>IF($A44="","",$F44/17)</f>
        <v/>
      </c>
      <c r="I44" s="85">
        <f>IF($A44="","",IF(ISNUMBER($AD44),"Registered",IF($G44=0,"Ready",IF($G44&lt;=3,"Nearly","Not ready"))))</f>
        <v/>
      </c>
      <c r="J44" s="86">
        <f>IF($A44="","",IF(ISNUMBER($AD44),"Registered",IF($D44="","Pick a region",IF(TODAY()&gt;$D44,"OVERDUE: register now",IF(TODAY()&gt;=$C44,"Open: register by "&amp;TEXT($D44,"dd/mm/yyyy"),"Opens "&amp;TEXT($C44,"dd/mm/yyyy"))))))</f>
        <v/>
      </c>
      <c r="K44" s="51"/>
      <c r="L44" s="51"/>
      <c r="M44" s="51"/>
      <c r="N44" s="51"/>
      <c r="O44" s="51"/>
      <c r="P44" s="51"/>
      <c r="Q44" s="51"/>
      <c r="R44" s="51"/>
      <c r="S44" s="51"/>
      <c r="T44" s="51"/>
      <c r="U44" s="51"/>
      <c r="V44" s="52"/>
      <c r="W44" s="51"/>
      <c r="X44" s="52"/>
      <c r="Y44" s="51"/>
      <c r="Z44" s="51"/>
      <c r="AA44" s="51"/>
      <c r="AB44" s="51"/>
      <c r="AC44" s="51"/>
      <c r="AD44" s="52"/>
      <c r="AE44" s="54"/>
      <c r="AF44" s="82">
        <f>IF(ISNUMBER($AD44),EDATE($AD44,12)-1,"")</f>
        <v/>
      </c>
      <c r="AG44" s="52"/>
      <c r="AH44" s="82">
        <f>IF(ISNUMBER($AG44),$AG44+27,"")</f>
        <v/>
      </c>
      <c r="AI44" s="54"/>
      <c r="AJ44" s="87">
        <f>IF(AND($A44&lt;&gt;"",ISNUMBER($D44),NOT(ISNUMBER($AD44))),$D44,"")</f>
        <v/>
      </c>
    </row>
    <row r="45" spans="1:36">
      <c r="A45" s="54"/>
      <c r="B45" s="81"/>
      <c r="C45" s="82">
        <f>IF($B45="","",IFERROR(VLOOKUP($B45,$A$112:$C$120,2,FALSE),""))</f>
        <v/>
      </c>
      <c r="D45" s="82">
        <f>IF($B45="","",IFERROR(VLOOKUP($B45,$A$112:$C$120,3,FALSE),""))</f>
        <v/>
      </c>
      <c r="E45" s="83">
        <f>IF(OR($D45="",ISNUMBER($AD45)),"",$D45-TODAY())</f>
        <v/>
      </c>
      <c r="F45" s="83">
        <f>IF($A45="","",COUNTIF($K45:$T45,"Yes")+COUNTIF($K45:$T45,"N/A")+IF(OR($U45="N/A",AND($U45="Yes",ISNUMBER($V45))),1,0)+IF(OR($W45="N/A",AND($W45="Yes",ISNUMBER($X45))),1,0)+COUNTIF($Y45:$AC45,"Yes")+COUNTIF($Y45:$AC45,"N/A"))</f>
        <v/>
      </c>
      <c r="G45" s="83">
        <f>IF($A45="","",17-$F45)</f>
        <v/>
      </c>
      <c r="H45" s="84">
        <f>IF($A45="","",$F45/17)</f>
        <v/>
      </c>
      <c r="I45" s="85">
        <f>IF($A45="","",IF(ISNUMBER($AD45),"Registered",IF($G45=0,"Ready",IF($G45&lt;=3,"Nearly","Not ready"))))</f>
        <v/>
      </c>
      <c r="J45" s="86">
        <f>IF($A45="","",IF(ISNUMBER($AD45),"Registered",IF($D45="","Pick a region",IF(TODAY()&gt;$D45,"OVERDUE: register now",IF(TODAY()&gt;=$C45,"Open: register by "&amp;TEXT($D45,"dd/mm/yyyy"),"Opens "&amp;TEXT($C45,"dd/mm/yyyy"))))))</f>
        <v/>
      </c>
      <c r="K45" s="51"/>
      <c r="L45" s="51"/>
      <c r="M45" s="51"/>
      <c r="N45" s="51"/>
      <c r="O45" s="51"/>
      <c r="P45" s="51"/>
      <c r="Q45" s="51"/>
      <c r="R45" s="51"/>
      <c r="S45" s="51"/>
      <c r="T45" s="51"/>
      <c r="U45" s="51"/>
      <c r="V45" s="52"/>
      <c r="W45" s="51"/>
      <c r="X45" s="52"/>
      <c r="Y45" s="51"/>
      <c r="Z45" s="51"/>
      <c r="AA45" s="51"/>
      <c r="AB45" s="51"/>
      <c r="AC45" s="51"/>
      <c r="AD45" s="52"/>
      <c r="AE45" s="54"/>
      <c r="AF45" s="82">
        <f>IF(ISNUMBER($AD45),EDATE($AD45,12)-1,"")</f>
        <v/>
      </c>
      <c r="AG45" s="52"/>
      <c r="AH45" s="82">
        <f>IF(ISNUMBER($AG45),$AG45+27,"")</f>
        <v/>
      </c>
      <c r="AI45" s="54"/>
      <c r="AJ45" s="87">
        <f>IF(AND($A45&lt;&gt;"",ISNUMBER($D45),NOT(ISNUMBER($AD45))),$D45,"")</f>
        <v/>
      </c>
    </row>
    <row r="46" spans="1:36">
      <c r="A46" s="54"/>
      <c r="B46" s="81"/>
      <c r="C46" s="82">
        <f>IF($B46="","",IFERROR(VLOOKUP($B46,$A$112:$C$120,2,FALSE),""))</f>
        <v/>
      </c>
      <c r="D46" s="82">
        <f>IF($B46="","",IFERROR(VLOOKUP($B46,$A$112:$C$120,3,FALSE),""))</f>
        <v/>
      </c>
      <c r="E46" s="83">
        <f>IF(OR($D46="",ISNUMBER($AD46)),"",$D46-TODAY())</f>
        <v/>
      </c>
      <c r="F46" s="83">
        <f>IF($A46="","",COUNTIF($K46:$T46,"Yes")+COUNTIF($K46:$T46,"N/A")+IF(OR($U46="N/A",AND($U46="Yes",ISNUMBER($V46))),1,0)+IF(OR($W46="N/A",AND($W46="Yes",ISNUMBER($X46))),1,0)+COUNTIF($Y46:$AC46,"Yes")+COUNTIF($Y46:$AC46,"N/A"))</f>
        <v/>
      </c>
      <c r="G46" s="83">
        <f>IF($A46="","",17-$F46)</f>
        <v/>
      </c>
      <c r="H46" s="84">
        <f>IF($A46="","",$F46/17)</f>
        <v/>
      </c>
      <c r="I46" s="85">
        <f>IF($A46="","",IF(ISNUMBER($AD46),"Registered",IF($G46=0,"Ready",IF($G46&lt;=3,"Nearly","Not ready"))))</f>
        <v/>
      </c>
      <c r="J46" s="86">
        <f>IF($A46="","",IF(ISNUMBER($AD46),"Registered",IF($D46="","Pick a region",IF(TODAY()&gt;$D46,"OVERDUE: register now",IF(TODAY()&gt;=$C46,"Open: register by "&amp;TEXT($D46,"dd/mm/yyyy"),"Opens "&amp;TEXT($C46,"dd/mm/yyyy"))))))</f>
        <v/>
      </c>
      <c r="K46" s="51"/>
      <c r="L46" s="51"/>
      <c r="M46" s="51"/>
      <c r="N46" s="51"/>
      <c r="O46" s="51"/>
      <c r="P46" s="51"/>
      <c r="Q46" s="51"/>
      <c r="R46" s="51"/>
      <c r="S46" s="51"/>
      <c r="T46" s="51"/>
      <c r="U46" s="51"/>
      <c r="V46" s="52"/>
      <c r="W46" s="51"/>
      <c r="X46" s="52"/>
      <c r="Y46" s="51"/>
      <c r="Z46" s="51"/>
      <c r="AA46" s="51"/>
      <c r="AB46" s="51"/>
      <c r="AC46" s="51"/>
      <c r="AD46" s="52"/>
      <c r="AE46" s="54"/>
      <c r="AF46" s="82">
        <f>IF(ISNUMBER($AD46),EDATE($AD46,12)-1,"")</f>
        <v/>
      </c>
      <c r="AG46" s="52"/>
      <c r="AH46" s="82">
        <f>IF(ISNUMBER($AG46),$AG46+27,"")</f>
        <v/>
      </c>
      <c r="AI46" s="54"/>
      <c r="AJ46" s="87">
        <f>IF(AND($A46&lt;&gt;"",ISNUMBER($D46),NOT(ISNUMBER($AD46))),$D46,"")</f>
        <v/>
      </c>
    </row>
    <row r="47" spans="1:36">
      <c r="A47" s="54"/>
      <c r="B47" s="81"/>
      <c r="C47" s="82">
        <f>IF($B47="","",IFERROR(VLOOKUP($B47,$A$112:$C$120,2,FALSE),""))</f>
        <v/>
      </c>
      <c r="D47" s="82">
        <f>IF($B47="","",IFERROR(VLOOKUP($B47,$A$112:$C$120,3,FALSE),""))</f>
        <v/>
      </c>
      <c r="E47" s="83">
        <f>IF(OR($D47="",ISNUMBER($AD47)),"",$D47-TODAY())</f>
        <v/>
      </c>
      <c r="F47" s="83">
        <f>IF($A47="","",COUNTIF($K47:$T47,"Yes")+COUNTIF($K47:$T47,"N/A")+IF(OR($U47="N/A",AND($U47="Yes",ISNUMBER($V47))),1,0)+IF(OR($W47="N/A",AND($W47="Yes",ISNUMBER($X47))),1,0)+COUNTIF($Y47:$AC47,"Yes")+COUNTIF($Y47:$AC47,"N/A"))</f>
        <v/>
      </c>
      <c r="G47" s="83">
        <f>IF($A47="","",17-$F47)</f>
        <v/>
      </c>
      <c r="H47" s="84">
        <f>IF($A47="","",$F47/17)</f>
        <v/>
      </c>
      <c r="I47" s="85">
        <f>IF($A47="","",IF(ISNUMBER($AD47),"Registered",IF($G47=0,"Ready",IF($G47&lt;=3,"Nearly","Not ready"))))</f>
        <v/>
      </c>
      <c r="J47" s="86">
        <f>IF($A47="","",IF(ISNUMBER($AD47),"Registered",IF($D47="","Pick a region",IF(TODAY()&gt;$D47,"OVERDUE: register now",IF(TODAY()&gt;=$C47,"Open: register by "&amp;TEXT($D47,"dd/mm/yyyy"),"Opens "&amp;TEXT($C47,"dd/mm/yyyy"))))))</f>
        <v/>
      </c>
      <c r="K47" s="51"/>
      <c r="L47" s="51"/>
      <c r="M47" s="51"/>
      <c r="N47" s="51"/>
      <c r="O47" s="51"/>
      <c r="P47" s="51"/>
      <c r="Q47" s="51"/>
      <c r="R47" s="51"/>
      <c r="S47" s="51"/>
      <c r="T47" s="51"/>
      <c r="U47" s="51"/>
      <c r="V47" s="52"/>
      <c r="W47" s="51"/>
      <c r="X47" s="52"/>
      <c r="Y47" s="51"/>
      <c r="Z47" s="51"/>
      <c r="AA47" s="51"/>
      <c r="AB47" s="51"/>
      <c r="AC47" s="51"/>
      <c r="AD47" s="52"/>
      <c r="AE47" s="54"/>
      <c r="AF47" s="82">
        <f>IF(ISNUMBER($AD47),EDATE($AD47,12)-1,"")</f>
        <v/>
      </c>
      <c r="AG47" s="52"/>
      <c r="AH47" s="82">
        <f>IF(ISNUMBER($AG47),$AG47+27,"")</f>
        <v/>
      </c>
      <c r="AI47" s="54"/>
      <c r="AJ47" s="87">
        <f>IF(AND($A47&lt;&gt;"",ISNUMBER($D47),NOT(ISNUMBER($AD47))),$D47,"")</f>
        <v/>
      </c>
    </row>
    <row r="48" spans="1:36">
      <c r="A48" s="54"/>
      <c r="B48" s="81"/>
      <c r="C48" s="82">
        <f>IF($B48="","",IFERROR(VLOOKUP($B48,$A$112:$C$120,2,FALSE),""))</f>
        <v/>
      </c>
      <c r="D48" s="82">
        <f>IF($B48="","",IFERROR(VLOOKUP($B48,$A$112:$C$120,3,FALSE),""))</f>
        <v/>
      </c>
      <c r="E48" s="83">
        <f>IF(OR($D48="",ISNUMBER($AD48)),"",$D48-TODAY())</f>
        <v/>
      </c>
      <c r="F48" s="83">
        <f>IF($A48="","",COUNTIF($K48:$T48,"Yes")+COUNTIF($K48:$T48,"N/A")+IF(OR($U48="N/A",AND($U48="Yes",ISNUMBER($V48))),1,0)+IF(OR($W48="N/A",AND($W48="Yes",ISNUMBER($X48))),1,0)+COUNTIF($Y48:$AC48,"Yes")+COUNTIF($Y48:$AC48,"N/A"))</f>
        <v/>
      </c>
      <c r="G48" s="83">
        <f>IF($A48="","",17-$F48)</f>
        <v/>
      </c>
      <c r="H48" s="84">
        <f>IF($A48="","",$F48/17)</f>
        <v/>
      </c>
      <c r="I48" s="85">
        <f>IF($A48="","",IF(ISNUMBER($AD48),"Registered",IF($G48=0,"Ready",IF($G48&lt;=3,"Nearly","Not ready"))))</f>
        <v/>
      </c>
      <c r="J48" s="86">
        <f>IF($A48="","",IF(ISNUMBER($AD48),"Registered",IF($D48="","Pick a region",IF(TODAY()&gt;$D48,"OVERDUE: register now",IF(TODAY()&gt;=$C48,"Open: register by "&amp;TEXT($D48,"dd/mm/yyyy"),"Opens "&amp;TEXT($C48,"dd/mm/yyyy"))))))</f>
        <v/>
      </c>
      <c r="K48" s="51"/>
      <c r="L48" s="51"/>
      <c r="M48" s="51"/>
      <c r="N48" s="51"/>
      <c r="O48" s="51"/>
      <c r="P48" s="51"/>
      <c r="Q48" s="51"/>
      <c r="R48" s="51"/>
      <c r="S48" s="51"/>
      <c r="T48" s="51"/>
      <c r="U48" s="51"/>
      <c r="V48" s="52"/>
      <c r="W48" s="51"/>
      <c r="X48" s="52"/>
      <c r="Y48" s="51"/>
      <c r="Z48" s="51"/>
      <c r="AA48" s="51"/>
      <c r="AB48" s="51"/>
      <c r="AC48" s="51"/>
      <c r="AD48" s="52"/>
      <c r="AE48" s="54"/>
      <c r="AF48" s="82">
        <f>IF(ISNUMBER($AD48),EDATE($AD48,12)-1,"")</f>
        <v/>
      </c>
      <c r="AG48" s="52"/>
      <c r="AH48" s="82">
        <f>IF(ISNUMBER($AG48),$AG48+27,"")</f>
        <v/>
      </c>
      <c r="AI48" s="54"/>
      <c r="AJ48" s="87">
        <f>IF(AND($A48&lt;&gt;"",ISNUMBER($D48),NOT(ISNUMBER($AD48))),$D48,"")</f>
        <v/>
      </c>
    </row>
    <row r="49" spans="1:36">
      <c r="A49" s="54"/>
      <c r="B49" s="81"/>
      <c r="C49" s="82">
        <f>IF($B49="","",IFERROR(VLOOKUP($B49,$A$112:$C$120,2,FALSE),""))</f>
        <v/>
      </c>
      <c r="D49" s="82">
        <f>IF($B49="","",IFERROR(VLOOKUP($B49,$A$112:$C$120,3,FALSE),""))</f>
        <v/>
      </c>
      <c r="E49" s="83">
        <f>IF(OR($D49="",ISNUMBER($AD49)),"",$D49-TODAY())</f>
        <v/>
      </c>
      <c r="F49" s="83">
        <f>IF($A49="","",COUNTIF($K49:$T49,"Yes")+COUNTIF($K49:$T49,"N/A")+IF(OR($U49="N/A",AND($U49="Yes",ISNUMBER($V49))),1,0)+IF(OR($W49="N/A",AND($W49="Yes",ISNUMBER($X49))),1,0)+COUNTIF($Y49:$AC49,"Yes")+COUNTIF($Y49:$AC49,"N/A"))</f>
        <v/>
      </c>
      <c r="G49" s="83">
        <f>IF($A49="","",17-$F49)</f>
        <v/>
      </c>
      <c r="H49" s="84">
        <f>IF($A49="","",$F49/17)</f>
        <v/>
      </c>
      <c r="I49" s="85">
        <f>IF($A49="","",IF(ISNUMBER($AD49),"Registered",IF($G49=0,"Ready",IF($G49&lt;=3,"Nearly","Not ready"))))</f>
        <v/>
      </c>
      <c r="J49" s="86">
        <f>IF($A49="","",IF(ISNUMBER($AD49),"Registered",IF($D49="","Pick a region",IF(TODAY()&gt;$D49,"OVERDUE: register now",IF(TODAY()&gt;=$C49,"Open: register by "&amp;TEXT($D49,"dd/mm/yyyy"),"Opens "&amp;TEXT($C49,"dd/mm/yyyy"))))))</f>
        <v/>
      </c>
      <c r="K49" s="51"/>
      <c r="L49" s="51"/>
      <c r="M49" s="51"/>
      <c r="N49" s="51"/>
      <c r="O49" s="51"/>
      <c r="P49" s="51"/>
      <c r="Q49" s="51"/>
      <c r="R49" s="51"/>
      <c r="S49" s="51"/>
      <c r="T49" s="51"/>
      <c r="U49" s="51"/>
      <c r="V49" s="52"/>
      <c r="W49" s="51"/>
      <c r="X49" s="52"/>
      <c r="Y49" s="51"/>
      <c r="Z49" s="51"/>
      <c r="AA49" s="51"/>
      <c r="AB49" s="51"/>
      <c r="AC49" s="51"/>
      <c r="AD49" s="52"/>
      <c r="AE49" s="54"/>
      <c r="AF49" s="82">
        <f>IF(ISNUMBER($AD49),EDATE($AD49,12)-1,"")</f>
        <v/>
      </c>
      <c r="AG49" s="52"/>
      <c r="AH49" s="82">
        <f>IF(ISNUMBER($AG49),$AG49+27,"")</f>
        <v/>
      </c>
      <c r="AI49" s="54"/>
      <c r="AJ49" s="87">
        <f>IF(AND($A49&lt;&gt;"",ISNUMBER($D49),NOT(ISNUMBER($AD49))),$D49,"")</f>
        <v/>
      </c>
    </row>
    <row r="50" spans="1:36">
      <c r="A50" s="54"/>
      <c r="B50" s="81"/>
      <c r="C50" s="82">
        <f>IF($B50="","",IFERROR(VLOOKUP($B50,$A$112:$C$120,2,FALSE),""))</f>
        <v/>
      </c>
      <c r="D50" s="82">
        <f>IF($B50="","",IFERROR(VLOOKUP($B50,$A$112:$C$120,3,FALSE),""))</f>
        <v/>
      </c>
      <c r="E50" s="83">
        <f>IF(OR($D50="",ISNUMBER($AD50)),"",$D50-TODAY())</f>
        <v/>
      </c>
      <c r="F50" s="83">
        <f>IF($A50="","",COUNTIF($K50:$T50,"Yes")+COUNTIF($K50:$T50,"N/A")+IF(OR($U50="N/A",AND($U50="Yes",ISNUMBER($V50))),1,0)+IF(OR($W50="N/A",AND($W50="Yes",ISNUMBER($X50))),1,0)+COUNTIF($Y50:$AC50,"Yes")+COUNTIF($Y50:$AC50,"N/A"))</f>
        <v/>
      </c>
      <c r="G50" s="83">
        <f>IF($A50="","",17-$F50)</f>
        <v/>
      </c>
      <c r="H50" s="84">
        <f>IF($A50="","",$F50/17)</f>
        <v/>
      </c>
      <c r="I50" s="85">
        <f>IF($A50="","",IF(ISNUMBER($AD50),"Registered",IF($G50=0,"Ready",IF($G50&lt;=3,"Nearly","Not ready"))))</f>
        <v/>
      </c>
      <c r="J50" s="86">
        <f>IF($A50="","",IF(ISNUMBER($AD50),"Registered",IF($D50="","Pick a region",IF(TODAY()&gt;$D50,"OVERDUE: register now",IF(TODAY()&gt;=$C50,"Open: register by "&amp;TEXT($D50,"dd/mm/yyyy"),"Opens "&amp;TEXT($C50,"dd/mm/yyyy"))))))</f>
        <v/>
      </c>
      <c r="K50" s="51"/>
      <c r="L50" s="51"/>
      <c r="M50" s="51"/>
      <c r="N50" s="51"/>
      <c r="O50" s="51"/>
      <c r="P50" s="51"/>
      <c r="Q50" s="51"/>
      <c r="R50" s="51"/>
      <c r="S50" s="51"/>
      <c r="T50" s="51"/>
      <c r="U50" s="51"/>
      <c r="V50" s="52"/>
      <c r="W50" s="51"/>
      <c r="X50" s="52"/>
      <c r="Y50" s="51"/>
      <c r="Z50" s="51"/>
      <c r="AA50" s="51"/>
      <c r="AB50" s="51"/>
      <c r="AC50" s="51"/>
      <c r="AD50" s="52"/>
      <c r="AE50" s="54"/>
      <c r="AF50" s="82">
        <f>IF(ISNUMBER($AD50),EDATE($AD50,12)-1,"")</f>
        <v/>
      </c>
      <c r="AG50" s="52"/>
      <c r="AH50" s="82">
        <f>IF(ISNUMBER($AG50),$AG50+27,"")</f>
        <v/>
      </c>
      <c r="AI50" s="54"/>
      <c r="AJ50" s="87">
        <f>IF(AND($A50&lt;&gt;"",ISNUMBER($D50),NOT(ISNUMBER($AD50))),$D50,"")</f>
        <v/>
      </c>
    </row>
    <row r="51" spans="1:36">
      <c r="A51" s="54"/>
      <c r="B51" s="81"/>
      <c r="C51" s="82">
        <f>IF($B51="","",IFERROR(VLOOKUP($B51,$A$112:$C$120,2,FALSE),""))</f>
        <v/>
      </c>
      <c r="D51" s="82">
        <f>IF($B51="","",IFERROR(VLOOKUP($B51,$A$112:$C$120,3,FALSE),""))</f>
        <v/>
      </c>
      <c r="E51" s="83">
        <f>IF(OR($D51="",ISNUMBER($AD51)),"",$D51-TODAY())</f>
        <v/>
      </c>
      <c r="F51" s="83">
        <f>IF($A51="","",COUNTIF($K51:$T51,"Yes")+COUNTIF($K51:$T51,"N/A")+IF(OR($U51="N/A",AND($U51="Yes",ISNUMBER($V51))),1,0)+IF(OR($W51="N/A",AND($W51="Yes",ISNUMBER($X51))),1,0)+COUNTIF($Y51:$AC51,"Yes")+COUNTIF($Y51:$AC51,"N/A"))</f>
        <v/>
      </c>
      <c r="G51" s="83">
        <f>IF($A51="","",17-$F51)</f>
        <v/>
      </c>
      <c r="H51" s="84">
        <f>IF($A51="","",$F51/17)</f>
        <v/>
      </c>
      <c r="I51" s="85">
        <f>IF($A51="","",IF(ISNUMBER($AD51),"Registered",IF($G51=0,"Ready",IF($G51&lt;=3,"Nearly","Not ready"))))</f>
        <v/>
      </c>
      <c r="J51" s="86">
        <f>IF($A51="","",IF(ISNUMBER($AD51),"Registered",IF($D51="","Pick a region",IF(TODAY()&gt;$D51,"OVERDUE: register now",IF(TODAY()&gt;=$C51,"Open: register by "&amp;TEXT($D51,"dd/mm/yyyy"),"Opens "&amp;TEXT($C51,"dd/mm/yyyy"))))))</f>
        <v/>
      </c>
      <c r="K51" s="51"/>
      <c r="L51" s="51"/>
      <c r="M51" s="51"/>
      <c r="N51" s="51"/>
      <c r="O51" s="51"/>
      <c r="P51" s="51"/>
      <c r="Q51" s="51"/>
      <c r="R51" s="51"/>
      <c r="S51" s="51"/>
      <c r="T51" s="51"/>
      <c r="U51" s="51"/>
      <c r="V51" s="52"/>
      <c r="W51" s="51"/>
      <c r="X51" s="52"/>
      <c r="Y51" s="51"/>
      <c r="Z51" s="51"/>
      <c r="AA51" s="51"/>
      <c r="AB51" s="51"/>
      <c r="AC51" s="51"/>
      <c r="AD51" s="52"/>
      <c r="AE51" s="54"/>
      <c r="AF51" s="82">
        <f>IF(ISNUMBER($AD51),EDATE($AD51,12)-1,"")</f>
        <v/>
      </c>
      <c r="AG51" s="52"/>
      <c r="AH51" s="82">
        <f>IF(ISNUMBER($AG51),$AG51+27,"")</f>
        <v/>
      </c>
      <c r="AI51" s="54"/>
      <c r="AJ51" s="87">
        <f>IF(AND($A51&lt;&gt;"",ISNUMBER($D51),NOT(ISNUMBER($AD51))),$D51,"")</f>
        <v/>
      </c>
    </row>
    <row r="52" spans="1:36">
      <c r="A52" s="54"/>
      <c r="B52" s="81"/>
      <c r="C52" s="82">
        <f>IF($B52="","",IFERROR(VLOOKUP($B52,$A$112:$C$120,2,FALSE),""))</f>
        <v/>
      </c>
      <c r="D52" s="82">
        <f>IF($B52="","",IFERROR(VLOOKUP($B52,$A$112:$C$120,3,FALSE),""))</f>
        <v/>
      </c>
      <c r="E52" s="83">
        <f>IF(OR($D52="",ISNUMBER($AD52)),"",$D52-TODAY())</f>
        <v/>
      </c>
      <c r="F52" s="83">
        <f>IF($A52="","",COUNTIF($K52:$T52,"Yes")+COUNTIF($K52:$T52,"N/A")+IF(OR($U52="N/A",AND($U52="Yes",ISNUMBER($V52))),1,0)+IF(OR($W52="N/A",AND($W52="Yes",ISNUMBER($X52))),1,0)+COUNTIF($Y52:$AC52,"Yes")+COUNTIF($Y52:$AC52,"N/A"))</f>
        <v/>
      </c>
      <c r="G52" s="83">
        <f>IF($A52="","",17-$F52)</f>
        <v/>
      </c>
      <c r="H52" s="84">
        <f>IF($A52="","",$F52/17)</f>
        <v/>
      </c>
      <c r="I52" s="85">
        <f>IF($A52="","",IF(ISNUMBER($AD52),"Registered",IF($G52=0,"Ready",IF($G52&lt;=3,"Nearly","Not ready"))))</f>
        <v/>
      </c>
      <c r="J52" s="86">
        <f>IF($A52="","",IF(ISNUMBER($AD52),"Registered",IF($D52="","Pick a region",IF(TODAY()&gt;$D52,"OVERDUE: register now",IF(TODAY()&gt;=$C52,"Open: register by "&amp;TEXT($D52,"dd/mm/yyyy"),"Opens "&amp;TEXT($C52,"dd/mm/yyyy"))))))</f>
        <v/>
      </c>
      <c r="K52" s="51"/>
      <c r="L52" s="51"/>
      <c r="M52" s="51"/>
      <c r="N52" s="51"/>
      <c r="O52" s="51"/>
      <c r="P52" s="51"/>
      <c r="Q52" s="51"/>
      <c r="R52" s="51"/>
      <c r="S52" s="51"/>
      <c r="T52" s="51"/>
      <c r="U52" s="51"/>
      <c r="V52" s="52"/>
      <c r="W52" s="51"/>
      <c r="X52" s="52"/>
      <c r="Y52" s="51"/>
      <c r="Z52" s="51"/>
      <c r="AA52" s="51"/>
      <c r="AB52" s="51"/>
      <c r="AC52" s="51"/>
      <c r="AD52" s="52"/>
      <c r="AE52" s="54"/>
      <c r="AF52" s="82">
        <f>IF(ISNUMBER($AD52),EDATE($AD52,12)-1,"")</f>
        <v/>
      </c>
      <c r="AG52" s="52"/>
      <c r="AH52" s="82">
        <f>IF(ISNUMBER($AG52),$AG52+27,"")</f>
        <v/>
      </c>
      <c r="AI52" s="54"/>
      <c r="AJ52" s="87">
        <f>IF(AND($A52&lt;&gt;"",ISNUMBER($D52),NOT(ISNUMBER($AD52))),$D52,"")</f>
        <v/>
      </c>
    </row>
    <row r="53" spans="1:36">
      <c r="A53" s="54"/>
      <c r="B53" s="81"/>
      <c r="C53" s="82">
        <f>IF($B53="","",IFERROR(VLOOKUP($B53,$A$112:$C$120,2,FALSE),""))</f>
        <v/>
      </c>
      <c r="D53" s="82">
        <f>IF($B53="","",IFERROR(VLOOKUP($B53,$A$112:$C$120,3,FALSE),""))</f>
        <v/>
      </c>
      <c r="E53" s="83">
        <f>IF(OR($D53="",ISNUMBER($AD53)),"",$D53-TODAY())</f>
        <v/>
      </c>
      <c r="F53" s="83">
        <f>IF($A53="","",COUNTIF($K53:$T53,"Yes")+COUNTIF($K53:$T53,"N/A")+IF(OR($U53="N/A",AND($U53="Yes",ISNUMBER($V53))),1,0)+IF(OR($W53="N/A",AND($W53="Yes",ISNUMBER($X53))),1,0)+COUNTIF($Y53:$AC53,"Yes")+COUNTIF($Y53:$AC53,"N/A"))</f>
        <v/>
      </c>
      <c r="G53" s="83">
        <f>IF($A53="","",17-$F53)</f>
        <v/>
      </c>
      <c r="H53" s="84">
        <f>IF($A53="","",$F53/17)</f>
        <v/>
      </c>
      <c r="I53" s="85">
        <f>IF($A53="","",IF(ISNUMBER($AD53),"Registered",IF($G53=0,"Ready",IF($G53&lt;=3,"Nearly","Not ready"))))</f>
        <v/>
      </c>
      <c r="J53" s="86">
        <f>IF($A53="","",IF(ISNUMBER($AD53),"Registered",IF($D53="","Pick a region",IF(TODAY()&gt;$D53,"OVERDUE: register now",IF(TODAY()&gt;=$C53,"Open: register by "&amp;TEXT($D53,"dd/mm/yyyy"),"Opens "&amp;TEXT($C53,"dd/mm/yyyy"))))))</f>
        <v/>
      </c>
      <c r="K53" s="51"/>
      <c r="L53" s="51"/>
      <c r="M53" s="51"/>
      <c r="N53" s="51"/>
      <c r="O53" s="51"/>
      <c r="P53" s="51"/>
      <c r="Q53" s="51"/>
      <c r="R53" s="51"/>
      <c r="S53" s="51"/>
      <c r="T53" s="51"/>
      <c r="U53" s="51"/>
      <c r="V53" s="52"/>
      <c r="W53" s="51"/>
      <c r="X53" s="52"/>
      <c r="Y53" s="51"/>
      <c r="Z53" s="51"/>
      <c r="AA53" s="51"/>
      <c r="AB53" s="51"/>
      <c r="AC53" s="51"/>
      <c r="AD53" s="52"/>
      <c r="AE53" s="54"/>
      <c r="AF53" s="82">
        <f>IF(ISNUMBER($AD53),EDATE($AD53,12)-1,"")</f>
        <v/>
      </c>
      <c r="AG53" s="52"/>
      <c r="AH53" s="82">
        <f>IF(ISNUMBER($AG53),$AG53+27,"")</f>
        <v/>
      </c>
      <c r="AI53" s="54"/>
      <c r="AJ53" s="87">
        <f>IF(AND($A53&lt;&gt;"",ISNUMBER($D53),NOT(ISNUMBER($AD53))),$D53,"")</f>
        <v/>
      </c>
    </row>
    <row r="54" spans="1:36">
      <c r="A54" s="54"/>
      <c r="B54" s="81"/>
      <c r="C54" s="82">
        <f>IF($B54="","",IFERROR(VLOOKUP($B54,$A$112:$C$120,2,FALSE),""))</f>
        <v/>
      </c>
      <c r="D54" s="82">
        <f>IF($B54="","",IFERROR(VLOOKUP($B54,$A$112:$C$120,3,FALSE),""))</f>
        <v/>
      </c>
      <c r="E54" s="83">
        <f>IF(OR($D54="",ISNUMBER($AD54)),"",$D54-TODAY())</f>
        <v/>
      </c>
      <c r="F54" s="83">
        <f>IF($A54="","",COUNTIF($K54:$T54,"Yes")+COUNTIF($K54:$T54,"N/A")+IF(OR($U54="N/A",AND($U54="Yes",ISNUMBER($V54))),1,0)+IF(OR($W54="N/A",AND($W54="Yes",ISNUMBER($X54))),1,0)+COUNTIF($Y54:$AC54,"Yes")+COUNTIF($Y54:$AC54,"N/A"))</f>
        <v/>
      </c>
      <c r="G54" s="83">
        <f>IF($A54="","",17-$F54)</f>
        <v/>
      </c>
      <c r="H54" s="84">
        <f>IF($A54="","",$F54/17)</f>
        <v/>
      </c>
      <c r="I54" s="85">
        <f>IF($A54="","",IF(ISNUMBER($AD54),"Registered",IF($G54=0,"Ready",IF($G54&lt;=3,"Nearly","Not ready"))))</f>
        <v/>
      </c>
      <c r="J54" s="86">
        <f>IF($A54="","",IF(ISNUMBER($AD54),"Registered",IF($D54="","Pick a region",IF(TODAY()&gt;$D54,"OVERDUE: register now",IF(TODAY()&gt;=$C54,"Open: register by "&amp;TEXT($D54,"dd/mm/yyyy"),"Opens "&amp;TEXT($C54,"dd/mm/yyyy"))))))</f>
        <v/>
      </c>
      <c r="K54" s="51"/>
      <c r="L54" s="51"/>
      <c r="M54" s="51"/>
      <c r="N54" s="51"/>
      <c r="O54" s="51"/>
      <c r="P54" s="51"/>
      <c r="Q54" s="51"/>
      <c r="R54" s="51"/>
      <c r="S54" s="51"/>
      <c r="T54" s="51"/>
      <c r="U54" s="51"/>
      <c r="V54" s="52"/>
      <c r="W54" s="51"/>
      <c r="X54" s="52"/>
      <c r="Y54" s="51"/>
      <c r="Z54" s="51"/>
      <c r="AA54" s="51"/>
      <c r="AB54" s="51"/>
      <c r="AC54" s="51"/>
      <c r="AD54" s="52"/>
      <c r="AE54" s="54"/>
      <c r="AF54" s="82">
        <f>IF(ISNUMBER($AD54),EDATE($AD54,12)-1,"")</f>
        <v/>
      </c>
      <c r="AG54" s="52"/>
      <c r="AH54" s="82">
        <f>IF(ISNUMBER($AG54),$AG54+27,"")</f>
        <v/>
      </c>
      <c r="AI54" s="54"/>
      <c r="AJ54" s="87">
        <f>IF(AND($A54&lt;&gt;"",ISNUMBER($D54),NOT(ISNUMBER($AD54))),$D54,"")</f>
        <v/>
      </c>
    </row>
    <row r="55" spans="1:36">
      <c r="A55" s="54"/>
      <c r="B55" s="81"/>
      <c r="C55" s="82">
        <f>IF($B55="","",IFERROR(VLOOKUP($B55,$A$112:$C$120,2,FALSE),""))</f>
        <v/>
      </c>
      <c r="D55" s="82">
        <f>IF($B55="","",IFERROR(VLOOKUP($B55,$A$112:$C$120,3,FALSE),""))</f>
        <v/>
      </c>
      <c r="E55" s="83">
        <f>IF(OR($D55="",ISNUMBER($AD55)),"",$D55-TODAY())</f>
        <v/>
      </c>
      <c r="F55" s="83">
        <f>IF($A55="","",COUNTIF($K55:$T55,"Yes")+COUNTIF($K55:$T55,"N/A")+IF(OR($U55="N/A",AND($U55="Yes",ISNUMBER($V55))),1,0)+IF(OR($W55="N/A",AND($W55="Yes",ISNUMBER($X55))),1,0)+COUNTIF($Y55:$AC55,"Yes")+COUNTIF($Y55:$AC55,"N/A"))</f>
        <v/>
      </c>
      <c r="G55" s="83">
        <f>IF($A55="","",17-$F55)</f>
        <v/>
      </c>
      <c r="H55" s="84">
        <f>IF($A55="","",$F55/17)</f>
        <v/>
      </c>
      <c r="I55" s="85">
        <f>IF($A55="","",IF(ISNUMBER($AD55),"Registered",IF($G55=0,"Ready",IF($G55&lt;=3,"Nearly","Not ready"))))</f>
        <v/>
      </c>
      <c r="J55" s="86">
        <f>IF($A55="","",IF(ISNUMBER($AD55),"Registered",IF($D55="","Pick a region",IF(TODAY()&gt;$D55,"OVERDUE: register now",IF(TODAY()&gt;=$C55,"Open: register by "&amp;TEXT($D55,"dd/mm/yyyy"),"Opens "&amp;TEXT($C55,"dd/mm/yyyy"))))))</f>
        <v/>
      </c>
      <c r="K55" s="51"/>
      <c r="L55" s="51"/>
      <c r="M55" s="51"/>
      <c r="N55" s="51"/>
      <c r="O55" s="51"/>
      <c r="P55" s="51"/>
      <c r="Q55" s="51"/>
      <c r="R55" s="51"/>
      <c r="S55" s="51"/>
      <c r="T55" s="51"/>
      <c r="U55" s="51"/>
      <c r="V55" s="52"/>
      <c r="W55" s="51"/>
      <c r="X55" s="52"/>
      <c r="Y55" s="51"/>
      <c r="Z55" s="51"/>
      <c r="AA55" s="51"/>
      <c r="AB55" s="51"/>
      <c r="AC55" s="51"/>
      <c r="AD55" s="52"/>
      <c r="AE55" s="54"/>
      <c r="AF55" s="82">
        <f>IF(ISNUMBER($AD55),EDATE($AD55,12)-1,"")</f>
        <v/>
      </c>
      <c r="AG55" s="52"/>
      <c r="AH55" s="82">
        <f>IF(ISNUMBER($AG55),$AG55+27,"")</f>
        <v/>
      </c>
      <c r="AI55" s="54"/>
      <c r="AJ55" s="87">
        <f>IF(AND($A55&lt;&gt;"",ISNUMBER($D55),NOT(ISNUMBER($AD55))),$D55,"")</f>
        <v/>
      </c>
    </row>
    <row r="56" spans="1:36">
      <c r="A56" s="54"/>
      <c r="B56" s="81"/>
      <c r="C56" s="82">
        <f>IF($B56="","",IFERROR(VLOOKUP($B56,$A$112:$C$120,2,FALSE),""))</f>
        <v/>
      </c>
      <c r="D56" s="82">
        <f>IF($B56="","",IFERROR(VLOOKUP($B56,$A$112:$C$120,3,FALSE),""))</f>
        <v/>
      </c>
      <c r="E56" s="83">
        <f>IF(OR($D56="",ISNUMBER($AD56)),"",$D56-TODAY())</f>
        <v/>
      </c>
      <c r="F56" s="83">
        <f>IF($A56="","",COUNTIF($K56:$T56,"Yes")+COUNTIF($K56:$T56,"N/A")+IF(OR($U56="N/A",AND($U56="Yes",ISNUMBER($V56))),1,0)+IF(OR($W56="N/A",AND($W56="Yes",ISNUMBER($X56))),1,0)+COUNTIF($Y56:$AC56,"Yes")+COUNTIF($Y56:$AC56,"N/A"))</f>
        <v/>
      </c>
      <c r="G56" s="83">
        <f>IF($A56="","",17-$F56)</f>
        <v/>
      </c>
      <c r="H56" s="84">
        <f>IF($A56="","",$F56/17)</f>
        <v/>
      </c>
      <c r="I56" s="85">
        <f>IF($A56="","",IF(ISNUMBER($AD56),"Registered",IF($G56=0,"Ready",IF($G56&lt;=3,"Nearly","Not ready"))))</f>
        <v/>
      </c>
      <c r="J56" s="86">
        <f>IF($A56="","",IF(ISNUMBER($AD56),"Registered",IF($D56="","Pick a region",IF(TODAY()&gt;$D56,"OVERDUE: register now",IF(TODAY()&gt;=$C56,"Open: register by "&amp;TEXT($D56,"dd/mm/yyyy"),"Opens "&amp;TEXT($C56,"dd/mm/yyyy"))))))</f>
        <v/>
      </c>
      <c r="K56" s="51"/>
      <c r="L56" s="51"/>
      <c r="M56" s="51"/>
      <c r="N56" s="51"/>
      <c r="O56" s="51"/>
      <c r="P56" s="51"/>
      <c r="Q56" s="51"/>
      <c r="R56" s="51"/>
      <c r="S56" s="51"/>
      <c r="T56" s="51"/>
      <c r="U56" s="51"/>
      <c r="V56" s="52"/>
      <c r="W56" s="51"/>
      <c r="X56" s="52"/>
      <c r="Y56" s="51"/>
      <c r="Z56" s="51"/>
      <c r="AA56" s="51"/>
      <c r="AB56" s="51"/>
      <c r="AC56" s="51"/>
      <c r="AD56" s="52"/>
      <c r="AE56" s="54"/>
      <c r="AF56" s="82">
        <f>IF(ISNUMBER($AD56),EDATE($AD56,12)-1,"")</f>
        <v/>
      </c>
      <c r="AG56" s="52"/>
      <c r="AH56" s="82">
        <f>IF(ISNUMBER($AG56),$AG56+27,"")</f>
        <v/>
      </c>
      <c r="AI56" s="54"/>
      <c r="AJ56" s="87">
        <f>IF(AND($A56&lt;&gt;"",ISNUMBER($D56),NOT(ISNUMBER($AD56))),$D56,"")</f>
        <v/>
      </c>
    </row>
    <row r="57" spans="1:36">
      <c r="A57" s="54"/>
      <c r="B57" s="81"/>
      <c r="C57" s="82">
        <f>IF($B57="","",IFERROR(VLOOKUP($B57,$A$112:$C$120,2,FALSE),""))</f>
        <v/>
      </c>
      <c r="D57" s="82">
        <f>IF($B57="","",IFERROR(VLOOKUP($B57,$A$112:$C$120,3,FALSE),""))</f>
        <v/>
      </c>
      <c r="E57" s="83">
        <f>IF(OR($D57="",ISNUMBER($AD57)),"",$D57-TODAY())</f>
        <v/>
      </c>
      <c r="F57" s="83">
        <f>IF($A57="","",COUNTIF($K57:$T57,"Yes")+COUNTIF($K57:$T57,"N/A")+IF(OR($U57="N/A",AND($U57="Yes",ISNUMBER($V57))),1,0)+IF(OR($W57="N/A",AND($W57="Yes",ISNUMBER($X57))),1,0)+COUNTIF($Y57:$AC57,"Yes")+COUNTIF($Y57:$AC57,"N/A"))</f>
        <v/>
      </c>
      <c r="G57" s="83">
        <f>IF($A57="","",17-$F57)</f>
        <v/>
      </c>
      <c r="H57" s="84">
        <f>IF($A57="","",$F57/17)</f>
        <v/>
      </c>
      <c r="I57" s="85">
        <f>IF($A57="","",IF(ISNUMBER($AD57),"Registered",IF($G57=0,"Ready",IF($G57&lt;=3,"Nearly","Not ready"))))</f>
        <v/>
      </c>
      <c r="J57" s="86">
        <f>IF($A57="","",IF(ISNUMBER($AD57),"Registered",IF($D57="","Pick a region",IF(TODAY()&gt;$D57,"OVERDUE: register now",IF(TODAY()&gt;=$C57,"Open: register by "&amp;TEXT($D57,"dd/mm/yyyy"),"Opens "&amp;TEXT($C57,"dd/mm/yyyy"))))))</f>
        <v/>
      </c>
      <c r="K57" s="51"/>
      <c r="L57" s="51"/>
      <c r="M57" s="51"/>
      <c r="N57" s="51"/>
      <c r="O57" s="51"/>
      <c r="P57" s="51"/>
      <c r="Q57" s="51"/>
      <c r="R57" s="51"/>
      <c r="S57" s="51"/>
      <c r="T57" s="51"/>
      <c r="U57" s="51"/>
      <c r="V57" s="52"/>
      <c r="W57" s="51"/>
      <c r="X57" s="52"/>
      <c r="Y57" s="51"/>
      <c r="Z57" s="51"/>
      <c r="AA57" s="51"/>
      <c r="AB57" s="51"/>
      <c r="AC57" s="51"/>
      <c r="AD57" s="52"/>
      <c r="AE57" s="54"/>
      <c r="AF57" s="82">
        <f>IF(ISNUMBER($AD57),EDATE($AD57,12)-1,"")</f>
        <v/>
      </c>
      <c r="AG57" s="52"/>
      <c r="AH57" s="82">
        <f>IF(ISNUMBER($AG57),$AG57+27,"")</f>
        <v/>
      </c>
      <c r="AI57" s="54"/>
      <c r="AJ57" s="87">
        <f>IF(AND($A57&lt;&gt;"",ISNUMBER($D57),NOT(ISNUMBER($AD57))),$D57,"")</f>
        <v/>
      </c>
    </row>
    <row r="58" spans="1:36">
      <c r="A58" s="54"/>
      <c r="B58" s="81"/>
      <c r="C58" s="82">
        <f>IF($B58="","",IFERROR(VLOOKUP($B58,$A$112:$C$120,2,FALSE),""))</f>
        <v/>
      </c>
      <c r="D58" s="82">
        <f>IF($B58="","",IFERROR(VLOOKUP($B58,$A$112:$C$120,3,FALSE),""))</f>
        <v/>
      </c>
      <c r="E58" s="83">
        <f>IF(OR($D58="",ISNUMBER($AD58)),"",$D58-TODAY())</f>
        <v/>
      </c>
      <c r="F58" s="83">
        <f>IF($A58="","",COUNTIF($K58:$T58,"Yes")+COUNTIF($K58:$T58,"N/A")+IF(OR($U58="N/A",AND($U58="Yes",ISNUMBER($V58))),1,0)+IF(OR($W58="N/A",AND($W58="Yes",ISNUMBER($X58))),1,0)+COUNTIF($Y58:$AC58,"Yes")+COUNTIF($Y58:$AC58,"N/A"))</f>
        <v/>
      </c>
      <c r="G58" s="83">
        <f>IF($A58="","",17-$F58)</f>
        <v/>
      </c>
      <c r="H58" s="84">
        <f>IF($A58="","",$F58/17)</f>
        <v/>
      </c>
      <c r="I58" s="85">
        <f>IF($A58="","",IF(ISNUMBER($AD58),"Registered",IF($G58=0,"Ready",IF($G58&lt;=3,"Nearly","Not ready"))))</f>
        <v/>
      </c>
      <c r="J58" s="86">
        <f>IF($A58="","",IF(ISNUMBER($AD58),"Registered",IF($D58="","Pick a region",IF(TODAY()&gt;$D58,"OVERDUE: register now",IF(TODAY()&gt;=$C58,"Open: register by "&amp;TEXT($D58,"dd/mm/yyyy"),"Opens "&amp;TEXT($C58,"dd/mm/yyyy"))))))</f>
        <v/>
      </c>
      <c r="K58" s="51"/>
      <c r="L58" s="51"/>
      <c r="M58" s="51"/>
      <c r="N58" s="51"/>
      <c r="O58" s="51"/>
      <c r="P58" s="51"/>
      <c r="Q58" s="51"/>
      <c r="R58" s="51"/>
      <c r="S58" s="51"/>
      <c r="T58" s="51"/>
      <c r="U58" s="51"/>
      <c r="V58" s="52"/>
      <c r="W58" s="51"/>
      <c r="X58" s="52"/>
      <c r="Y58" s="51"/>
      <c r="Z58" s="51"/>
      <c r="AA58" s="51"/>
      <c r="AB58" s="51"/>
      <c r="AC58" s="51"/>
      <c r="AD58" s="52"/>
      <c r="AE58" s="54"/>
      <c r="AF58" s="82">
        <f>IF(ISNUMBER($AD58),EDATE($AD58,12)-1,"")</f>
        <v/>
      </c>
      <c r="AG58" s="52"/>
      <c r="AH58" s="82">
        <f>IF(ISNUMBER($AG58),$AG58+27,"")</f>
        <v/>
      </c>
      <c r="AI58" s="54"/>
      <c r="AJ58" s="87">
        <f>IF(AND($A58&lt;&gt;"",ISNUMBER($D58),NOT(ISNUMBER($AD58))),$D58,"")</f>
        <v/>
      </c>
    </row>
    <row r="59" spans="1:36">
      <c r="A59" s="54"/>
      <c r="B59" s="81"/>
      <c r="C59" s="82">
        <f>IF($B59="","",IFERROR(VLOOKUP($B59,$A$112:$C$120,2,FALSE),""))</f>
        <v/>
      </c>
      <c r="D59" s="82">
        <f>IF($B59="","",IFERROR(VLOOKUP($B59,$A$112:$C$120,3,FALSE),""))</f>
        <v/>
      </c>
      <c r="E59" s="83">
        <f>IF(OR($D59="",ISNUMBER($AD59)),"",$D59-TODAY())</f>
        <v/>
      </c>
      <c r="F59" s="83">
        <f>IF($A59="","",COUNTIF($K59:$T59,"Yes")+COUNTIF($K59:$T59,"N/A")+IF(OR($U59="N/A",AND($U59="Yes",ISNUMBER($V59))),1,0)+IF(OR($W59="N/A",AND($W59="Yes",ISNUMBER($X59))),1,0)+COUNTIF($Y59:$AC59,"Yes")+COUNTIF($Y59:$AC59,"N/A"))</f>
        <v/>
      </c>
      <c r="G59" s="83">
        <f>IF($A59="","",17-$F59)</f>
        <v/>
      </c>
      <c r="H59" s="84">
        <f>IF($A59="","",$F59/17)</f>
        <v/>
      </c>
      <c r="I59" s="85">
        <f>IF($A59="","",IF(ISNUMBER($AD59),"Registered",IF($G59=0,"Ready",IF($G59&lt;=3,"Nearly","Not ready"))))</f>
        <v/>
      </c>
      <c r="J59" s="86">
        <f>IF($A59="","",IF(ISNUMBER($AD59),"Registered",IF($D59="","Pick a region",IF(TODAY()&gt;$D59,"OVERDUE: register now",IF(TODAY()&gt;=$C59,"Open: register by "&amp;TEXT($D59,"dd/mm/yyyy"),"Opens "&amp;TEXT($C59,"dd/mm/yyyy"))))))</f>
        <v/>
      </c>
      <c r="K59" s="51"/>
      <c r="L59" s="51"/>
      <c r="M59" s="51"/>
      <c r="N59" s="51"/>
      <c r="O59" s="51"/>
      <c r="P59" s="51"/>
      <c r="Q59" s="51"/>
      <c r="R59" s="51"/>
      <c r="S59" s="51"/>
      <c r="T59" s="51"/>
      <c r="U59" s="51"/>
      <c r="V59" s="52"/>
      <c r="W59" s="51"/>
      <c r="X59" s="52"/>
      <c r="Y59" s="51"/>
      <c r="Z59" s="51"/>
      <c r="AA59" s="51"/>
      <c r="AB59" s="51"/>
      <c r="AC59" s="51"/>
      <c r="AD59" s="52"/>
      <c r="AE59" s="54"/>
      <c r="AF59" s="82">
        <f>IF(ISNUMBER($AD59),EDATE($AD59,12)-1,"")</f>
        <v/>
      </c>
      <c r="AG59" s="52"/>
      <c r="AH59" s="82">
        <f>IF(ISNUMBER($AG59),$AG59+27,"")</f>
        <v/>
      </c>
      <c r="AI59" s="54"/>
      <c r="AJ59" s="87">
        <f>IF(AND($A59&lt;&gt;"",ISNUMBER($D59),NOT(ISNUMBER($AD59))),$D59,"")</f>
        <v/>
      </c>
    </row>
    <row r="60" spans="1:36">
      <c r="A60" s="54"/>
      <c r="B60" s="81"/>
      <c r="C60" s="82">
        <f>IF($B60="","",IFERROR(VLOOKUP($B60,$A$112:$C$120,2,FALSE),""))</f>
        <v/>
      </c>
      <c r="D60" s="82">
        <f>IF($B60="","",IFERROR(VLOOKUP($B60,$A$112:$C$120,3,FALSE),""))</f>
        <v/>
      </c>
      <c r="E60" s="83">
        <f>IF(OR($D60="",ISNUMBER($AD60)),"",$D60-TODAY())</f>
        <v/>
      </c>
      <c r="F60" s="83">
        <f>IF($A60="","",COUNTIF($K60:$T60,"Yes")+COUNTIF($K60:$T60,"N/A")+IF(OR($U60="N/A",AND($U60="Yes",ISNUMBER($V60))),1,0)+IF(OR($W60="N/A",AND($W60="Yes",ISNUMBER($X60))),1,0)+COUNTIF($Y60:$AC60,"Yes")+COUNTIF($Y60:$AC60,"N/A"))</f>
        <v/>
      </c>
      <c r="G60" s="83">
        <f>IF($A60="","",17-$F60)</f>
        <v/>
      </c>
      <c r="H60" s="84">
        <f>IF($A60="","",$F60/17)</f>
        <v/>
      </c>
      <c r="I60" s="85">
        <f>IF($A60="","",IF(ISNUMBER($AD60),"Registered",IF($G60=0,"Ready",IF($G60&lt;=3,"Nearly","Not ready"))))</f>
        <v/>
      </c>
      <c r="J60" s="86">
        <f>IF($A60="","",IF(ISNUMBER($AD60),"Registered",IF($D60="","Pick a region",IF(TODAY()&gt;$D60,"OVERDUE: register now",IF(TODAY()&gt;=$C60,"Open: register by "&amp;TEXT($D60,"dd/mm/yyyy"),"Opens "&amp;TEXT($C60,"dd/mm/yyyy"))))))</f>
        <v/>
      </c>
      <c r="K60" s="51"/>
      <c r="L60" s="51"/>
      <c r="M60" s="51"/>
      <c r="N60" s="51"/>
      <c r="O60" s="51"/>
      <c r="P60" s="51"/>
      <c r="Q60" s="51"/>
      <c r="R60" s="51"/>
      <c r="S60" s="51"/>
      <c r="T60" s="51"/>
      <c r="U60" s="51"/>
      <c r="V60" s="52"/>
      <c r="W60" s="51"/>
      <c r="X60" s="52"/>
      <c r="Y60" s="51"/>
      <c r="Z60" s="51"/>
      <c r="AA60" s="51"/>
      <c r="AB60" s="51"/>
      <c r="AC60" s="51"/>
      <c r="AD60" s="52"/>
      <c r="AE60" s="54"/>
      <c r="AF60" s="82">
        <f>IF(ISNUMBER($AD60),EDATE($AD60,12)-1,"")</f>
        <v/>
      </c>
      <c r="AG60" s="52"/>
      <c r="AH60" s="82">
        <f>IF(ISNUMBER($AG60),$AG60+27,"")</f>
        <v/>
      </c>
      <c r="AI60" s="54"/>
      <c r="AJ60" s="87">
        <f>IF(AND($A60&lt;&gt;"",ISNUMBER($D60),NOT(ISNUMBER($AD60))),$D60,"")</f>
        <v/>
      </c>
    </row>
    <row r="61" spans="1:36">
      <c r="A61" s="54"/>
      <c r="B61" s="81"/>
      <c r="C61" s="82">
        <f>IF($B61="","",IFERROR(VLOOKUP($B61,$A$112:$C$120,2,FALSE),""))</f>
        <v/>
      </c>
      <c r="D61" s="82">
        <f>IF($B61="","",IFERROR(VLOOKUP($B61,$A$112:$C$120,3,FALSE),""))</f>
        <v/>
      </c>
      <c r="E61" s="83">
        <f>IF(OR($D61="",ISNUMBER($AD61)),"",$D61-TODAY())</f>
        <v/>
      </c>
      <c r="F61" s="83">
        <f>IF($A61="","",COUNTIF($K61:$T61,"Yes")+COUNTIF($K61:$T61,"N/A")+IF(OR($U61="N/A",AND($U61="Yes",ISNUMBER($V61))),1,0)+IF(OR($W61="N/A",AND($W61="Yes",ISNUMBER($X61))),1,0)+COUNTIF($Y61:$AC61,"Yes")+COUNTIF($Y61:$AC61,"N/A"))</f>
        <v/>
      </c>
      <c r="G61" s="83">
        <f>IF($A61="","",17-$F61)</f>
        <v/>
      </c>
      <c r="H61" s="84">
        <f>IF($A61="","",$F61/17)</f>
        <v/>
      </c>
      <c r="I61" s="85">
        <f>IF($A61="","",IF(ISNUMBER($AD61),"Registered",IF($G61=0,"Ready",IF($G61&lt;=3,"Nearly","Not ready"))))</f>
        <v/>
      </c>
      <c r="J61" s="86">
        <f>IF($A61="","",IF(ISNUMBER($AD61),"Registered",IF($D61="","Pick a region",IF(TODAY()&gt;$D61,"OVERDUE: register now",IF(TODAY()&gt;=$C61,"Open: register by "&amp;TEXT($D61,"dd/mm/yyyy"),"Opens "&amp;TEXT($C61,"dd/mm/yyyy"))))))</f>
        <v/>
      </c>
      <c r="K61" s="51"/>
      <c r="L61" s="51"/>
      <c r="M61" s="51"/>
      <c r="N61" s="51"/>
      <c r="O61" s="51"/>
      <c r="P61" s="51"/>
      <c r="Q61" s="51"/>
      <c r="R61" s="51"/>
      <c r="S61" s="51"/>
      <c r="T61" s="51"/>
      <c r="U61" s="51"/>
      <c r="V61" s="52"/>
      <c r="W61" s="51"/>
      <c r="X61" s="52"/>
      <c r="Y61" s="51"/>
      <c r="Z61" s="51"/>
      <c r="AA61" s="51"/>
      <c r="AB61" s="51"/>
      <c r="AC61" s="51"/>
      <c r="AD61" s="52"/>
      <c r="AE61" s="54"/>
      <c r="AF61" s="82">
        <f>IF(ISNUMBER($AD61),EDATE($AD61,12)-1,"")</f>
        <v/>
      </c>
      <c r="AG61" s="52"/>
      <c r="AH61" s="82">
        <f>IF(ISNUMBER($AG61),$AG61+27,"")</f>
        <v/>
      </c>
      <c r="AI61" s="54"/>
      <c r="AJ61" s="87">
        <f>IF(AND($A61&lt;&gt;"",ISNUMBER($D61),NOT(ISNUMBER($AD61))),$D61,"")</f>
        <v/>
      </c>
    </row>
    <row r="62" spans="1:36">
      <c r="A62" s="54"/>
      <c r="B62" s="81"/>
      <c r="C62" s="82">
        <f>IF($B62="","",IFERROR(VLOOKUP($B62,$A$112:$C$120,2,FALSE),""))</f>
        <v/>
      </c>
      <c r="D62" s="82">
        <f>IF($B62="","",IFERROR(VLOOKUP($B62,$A$112:$C$120,3,FALSE),""))</f>
        <v/>
      </c>
      <c r="E62" s="83">
        <f>IF(OR($D62="",ISNUMBER($AD62)),"",$D62-TODAY())</f>
        <v/>
      </c>
      <c r="F62" s="83">
        <f>IF($A62="","",COUNTIF($K62:$T62,"Yes")+COUNTIF($K62:$T62,"N/A")+IF(OR($U62="N/A",AND($U62="Yes",ISNUMBER($V62))),1,0)+IF(OR($W62="N/A",AND($W62="Yes",ISNUMBER($X62))),1,0)+COUNTIF($Y62:$AC62,"Yes")+COUNTIF($Y62:$AC62,"N/A"))</f>
        <v/>
      </c>
      <c r="G62" s="83">
        <f>IF($A62="","",17-$F62)</f>
        <v/>
      </c>
      <c r="H62" s="84">
        <f>IF($A62="","",$F62/17)</f>
        <v/>
      </c>
      <c r="I62" s="85">
        <f>IF($A62="","",IF(ISNUMBER($AD62),"Registered",IF($G62=0,"Ready",IF($G62&lt;=3,"Nearly","Not ready"))))</f>
        <v/>
      </c>
      <c r="J62" s="86">
        <f>IF($A62="","",IF(ISNUMBER($AD62),"Registered",IF($D62="","Pick a region",IF(TODAY()&gt;$D62,"OVERDUE: register now",IF(TODAY()&gt;=$C62,"Open: register by "&amp;TEXT($D62,"dd/mm/yyyy"),"Opens "&amp;TEXT($C62,"dd/mm/yyyy"))))))</f>
        <v/>
      </c>
      <c r="K62" s="51"/>
      <c r="L62" s="51"/>
      <c r="M62" s="51"/>
      <c r="N62" s="51"/>
      <c r="O62" s="51"/>
      <c r="P62" s="51"/>
      <c r="Q62" s="51"/>
      <c r="R62" s="51"/>
      <c r="S62" s="51"/>
      <c r="T62" s="51"/>
      <c r="U62" s="51"/>
      <c r="V62" s="52"/>
      <c r="W62" s="51"/>
      <c r="X62" s="52"/>
      <c r="Y62" s="51"/>
      <c r="Z62" s="51"/>
      <c r="AA62" s="51"/>
      <c r="AB62" s="51"/>
      <c r="AC62" s="51"/>
      <c r="AD62" s="52"/>
      <c r="AE62" s="54"/>
      <c r="AF62" s="82">
        <f>IF(ISNUMBER($AD62),EDATE($AD62,12)-1,"")</f>
        <v/>
      </c>
      <c r="AG62" s="52"/>
      <c r="AH62" s="82">
        <f>IF(ISNUMBER($AG62),$AG62+27,"")</f>
        <v/>
      </c>
      <c r="AI62" s="54"/>
      <c r="AJ62" s="87">
        <f>IF(AND($A62&lt;&gt;"",ISNUMBER($D62),NOT(ISNUMBER($AD62))),$D62,"")</f>
        <v/>
      </c>
    </row>
    <row r="63" spans="1:36">
      <c r="A63" s="54"/>
      <c r="B63" s="81"/>
      <c r="C63" s="82">
        <f>IF($B63="","",IFERROR(VLOOKUP($B63,$A$112:$C$120,2,FALSE),""))</f>
        <v/>
      </c>
      <c r="D63" s="82">
        <f>IF($B63="","",IFERROR(VLOOKUP($B63,$A$112:$C$120,3,FALSE),""))</f>
        <v/>
      </c>
      <c r="E63" s="83">
        <f>IF(OR($D63="",ISNUMBER($AD63)),"",$D63-TODAY())</f>
        <v/>
      </c>
      <c r="F63" s="83">
        <f>IF($A63="","",COUNTIF($K63:$T63,"Yes")+COUNTIF($K63:$T63,"N/A")+IF(OR($U63="N/A",AND($U63="Yes",ISNUMBER($V63))),1,0)+IF(OR($W63="N/A",AND($W63="Yes",ISNUMBER($X63))),1,0)+COUNTIF($Y63:$AC63,"Yes")+COUNTIF($Y63:$AC63,"N/A"))</f>
        <v/>
      </c>
      <c r="G63" s="83">
        <f>IF($A63="","",17-$F63)</f>
        <v/>
      </c>
      <c r="H63" s="84">
        <f>IF($A63="","",$F63/17)</f>
        <v/>
      </c>
      <c r="I63" s="85">
        <f>IF($A63="","",IF(ISNUMBER($AD63),"Registered",IF($G63=0,"Ready",IF($G63&lt;=3,"Nearly","Not ready"))))</f>
        <v/>
      </c>
      <c r="J63" s="86">
        <f>IF($A63="","",IF(ISNUMBER($AD63),"Registered",IF($D63="","Pick a region",IF(TODAY()&gt;$D63,"OVERDUE: register now",IF(TODAY()&gt;=$C63,"Open: register by "&amp;TEXT($D63,"dd/mm/yyyy"),"Opens "&amp;TEXT($C63,"dd/mm/yyyy"))))))</f>
        <v/>
      </c>
      <c r="K63" s="51"/>
      <c r="L63" s="51"/>
      <c r="M63" s="51"/>
      <c r="N63" s="51"/>
      <c r="O63" s="51"/>
      <c r="P63" s="51"/>
      <c r="Q63" s="51"/>
      <c r="R63" s="51"/>
      <c r="S63" s="51"/>
      <c r="T63" s="51"/>
      <c r="U63" s="51"/>
      <c r="V63" s="52"/>
      <c r="W63" s="51"/>
      <c r="X63" s="52"/>
      <c r="Y63" s="51"/>
      <c r="Z63" s="51"/>
      <c r="AA63" s="51"/>
      <c r="AB63" s="51"/>
      <c r="AC63" s="51"/>
      <c r="AD63" s="52"/>
      <c r="AE63" s="54"/>
      <c r="AF63" s="82">
        <f>IF(ISNUMBER($AD63),EDATE($AD63,12)-1,"")</f>
        <v/>
      </c>
      <c r="AG63" s="52"/>
      <c r="AH63" s="82">
        <f>IF(ISNUMBER($AG63),$AG63+27,"")</f>
        <v/>
      </c>
      <c r="AI63" s="54"/>
      <c r="AJ63" s="87">
        <f>IF(AND($A63&lt;&gt;"",ISNUMBER($D63),NOT(ISNUMBER($AD63))),$D63,"")</f>
        <v/>
      </c>
    </row>
    <row r="64" spans="1:36">
      <c r="A64" s="54"/>
      <c r="B64" s="81"/>
      <c r="C64" s="82">
        <f>IF($B64="","",IFERROR(VLOOKUP($B64,$A$112:$C$120,2,FALSE),""))</f>
        <v/>
      </c>
      <c r="D64" s="82">
        <f>IF($B64="","",IFERROR(VLOOKUP($B64,$A$112:$C$120,3,FALSE),""))</f>
        <v/>
      </c>
      <c r="E64" s="83">
        <f>IF(OR($D64="",ISNUMBER($AD64)),"",$D64-TODAY())</f>
        <v/>
      </c>
      <c r="F64" s="83">
        <f>IF($A64="","",COUNTIF($K64:$T64,"Yes")+COUNTIF($K64:$T64,"N/A")+IF(OR($U64="N/A",AND($U64="Yes",ISNUMBER($V64))),1,0)+IF(OR($W64="N/A",AND($W64="Yes",ISNUMBER($X64))),1,0)+COUNTIF($Y64:$AC64,"Yes")+COUNTIF($Y64:$AC64,"N/A"))</f>
        <v/>
      </c>
      <c r="G64" s="83">
        <f>IF($A64="","",17-$F64)</f>
        <v/>
      </c>
      <c r="H64" s="84">
        <f>IF($A64="","",$F64/17)</f>
        <v/>
      </c>
      <c r="I64" s="85">
        <f>IF($A64="","",IF(ISNUMBER($AD64),"Registered",IF($G64=0,"Ready",IF($G64&lt;=3,"Nearly","Not ready"))))</f>
        <v/>
      </c>
      <c r="J64" s="86">
        <f>IF($A64="","",IF(ISNUMBER($AD64),"Registered",IF($D64="","Pick a region",IF(TODAY()&gt;$D64,"OVERDUE: register now",IF(TODAY()&gt;=$C64,"Open: register by "&amp;TEXT($D64,"dd/mm/yyyy"),"Opens "&amp;TEXT($C64,"dd/mm/yyyy"))))))</f>
        <v/>
      </c>
      <c r="K64" s="51"/>
      <c r="L64" s="51"/>
      <c r="M64" s="51"/>
      <c r="N64" s="51"/>
      <c r="O64" s="51"/>
      <c r="P64" s="51"/>
      <c r="Q64" s="51"/>
      <c r="R64" s="51"/>
      <c r="S64" s="51"/>
      <c r="T64" s="51"/>
      <c r="U64" s="51"/>
      <c r="V64" s="52"/>
      <c r="W64" s="51"/>
      <c r="X64" s="52"/>
      <c r="Y64" s="51"/>
      <c r="Z64" s="51"/>
      <c r="AA64" s="51"/>
      <c r="AB64" s="51"/>
      <c r="AC64" s="51"/>
      <c r="AD64" s="52"/>
      <c r="AE64" s="54"/>
      <c r="AF64" s="82">
        <f>IF(ISNUMBER($AD64),EDATE($AD64,12)-1,"")</f>
        <v/>
      </c>
      <c r="AG64" s="52"/>
      <c r="AH64" s="82">
        <f>IF(ISNUMBER($AG64),$AG64+27,"")</f>
        <v/>
      </c>
      <c r="AI64" s="54"/>
      <c r="AJ64" s="87">
        <f>IF(AND($A64&lt;&gt;"",ISNUMBER($D64),NOT(ISNUMBER($AD64))),$D64,"")</f>
        <v/>
      </c>
    </row>
    <row r="65" spans="1:36">
      <c r="A65" s="54"/>
      <c r="B65" s="81"/>
      <c r="C65" s="82">
        <f>IF($B65="","",IFERROR(VLOOKUP($B65,$A$112:$C$120,2,FALSE),""))</f>
        <v/>
      </c>
      <c r="D65" s="82">
        <f>IF($B65="","",IFERROR(VLOOKUP($B65,$A$112:$C$120,3,FALSE),""))</f>
        <v/>
      </c>
      <c r="E65" s="83">
        <f>IF(OR($D65="",ISNUMBER($AD65)),"",$D65-TODAY())</f>
        <v/>
      </c>
      <c r="F65" s="83">
        <f>IF($A65="","",COUNTIF($K65:$T65,"Yes")+COUNTIF($K65:$T65,"N/A")+IF(OR($U65="N/A",AND($U65="Yes",ISNUMBER($V65))),1,0)+IF(OR($W65="N/A",AND($W65="Yes",ISNUMBER($X65))),1,0)+COUNTIF($Y65:$AC65,"Yes")+COUNTIF($Y65:$AC65,"N/A"))</f>
        <v/>
      </c>
      <c r="G65" s="83">
        <f>IF($A65="","",17-$F65)</f>
        <v/>
      </c>
      <c r="H65" s="84">
        <f>IF($A65="","",$F65/17)</f>
        <v/>
      </c>
      <c r="I65" s="85">
        <f>IF($A65="","",IF(ISNUMBER($AD65),"Registered",IF($G65=0,"Ready",IF($G65&lt;=3,"Nearly","Not ready"))))</f>
        <v/>
      </c>
      <c r="J65" s="86">
        <f>IF($A65="","",IF(ISNUMBER($AD65),"Registered",IF($D65="","Pick a region",IF(TODAY()&gt;$D65,"OVERDUE: register now",IF(TODAY()&gt;=$C65,"Open: register by "&amp;TEXT($D65,"dd/mm/yyyy"),"Opens "&amp;TEXT($C65,"dd/mm/yyyy"))))))</f>
        <v/>
      </c>
      <c r="K65" s="51"/>
      <c r="L65" s="51"/>
      <c r="M65" s="51"/>
      <c r="N65" s="51"/>
      <c r="O65" s="51"/>
      <c r="P65" s="51"/>
      <c r="Q65" s="51"/>
      <c r="R65" s="51"/>
      <c r="S65" s="51"/>
      <c r="T65" s="51"/>
      <c r="U65" s="51"/>
      <c r="V65" s="52"/>
      <c r="W65" s="51"/>
      <c r="X65" s="52"/>
      <c r="Y65" s="51"/>
      <c r="Z65" s="51"/>
      <c r="AA65" s="51"/>
      <c r="AB65" s="51"/>
      <c r="AC65" s="51"/>
      <c r="AD65" s="52"/>
      <c r="AE65" s="54"/>
      <c r="AF65" s="82">
        <f>IF(ISNUMBER($AD65),EDATE($AD65,12)-1,"")</f>
        <v/>
      </c>
      <c r="AG65" s="52"/>
      <c r="AH65" s="82">
        <f>IF(ISNUMBER($AG65),$AG65+27,"")</f>
        <v/>
      </c>
      <c r="AI65" s="54"/>
      <c r="AJ65" s="87">
        <f>IF(AND($A65&lt;&gt;"",ISNUMBER($D65),NOT(ISNUMBER($AD65))),$D65,"")</f>
        <v/>
      </c>
    </row>
    <row r="66" spans="1:36">
      <c r="A66" s="54"/>
      <c r="B66" s="81"/>
      <c r="C66" s="82">
        <f>IF($B66="","",IFERROR(VLOOKUP($B66,$A$112:$C$120,2,FALSE),""))</f>
        <v/>
      </c>
      <c r="D66" s="82">
        <f>IF($B66="","",IFERROR(VLOOKUP($B66,$A$112:$C$120,3,FALSE),""))</f>
        <v/>
      </c>
      <c r="E66" s="83">
        <f>IF(OR($D66="",ISNUMBER($AD66)),"",$D66-TODAY())</f>
        <v/>
      </c>
      <c r="F66" s="83">
        <f>IF($A66="","",COUNTIF($K66:$T66,"Yes")+COUNTIF($K66:$T66,"N/A")+IF(OR($U66="N/A",AND($U66="Yes",ISNUMBER($V66))),1,0)+IF(OR($W66="N/A",AND($W66="Yes",ISNUMBER($X66))),1,0)+COUNTIF($Y66:$AC66,"Yes")+COUNTIF($Y66:$AC66,"N/A"))</f>
        <v/>
      </c>
      <c r="G66" s="83">
        <f>IF($A66="","",17-$F66)</f>
        <v/>
      </c>
      <c r="H66" s="84">
        <f>IF($A66="","",$F66/17)</f>
        <v/>
      </c>
      <c r="I66" s="85">
        <f>IF($A66="","",IF(ISNUMBER($AD66),"Registered",IF($G66=0,"Ready",IF($G66&lt;=3,"Nearly","Not ready"))))</f>
        <v/>
      </c>
      <c r="J66" s="86">
        <f>IF($A66="","",IF(ISNUMBER($AD66),"Registered",IF($D66="","Pick a region",IF(TODAY()&gt;$D66,"OVERDUE: register now",IF(TODAY()&gt;=$C66,"Open: register by "&amp;TEXT($D66,"dd/mm/yyyy"),"Opens "&amp;TEXT($C66,"dd/mm/yyyy"))))))</f>
        <v/>
      </c>
      <c r="K66" s="51"/>
      <c r="L66" s="51"/>
      <c r="M66" s="51"/>
      <c r="N66" s="51"/>
      <c r="O66" s="51"/>
      <c r="P66" s="51"/>
      <c r="Q66" s="51"/>
      <c r="R66" s="51"/>
      <c r="S66" s="51"/>
      <c r="T66" s="51"/>
      <c r="U66" s="51"/>
      <c r="V66" s="52"/>
      <c r="W66" s="51"/>
      <c r="X66" s="52"/>
      <c r="Y66" s="51"/>
      <c r="Z66" s="51"/>
      <c r="AA66" s="51"/>
      <c r="AB66" s="51"/>
      <c r="AC66" s="51"/>
      <c r="AD66" s="52"/>
      <c r="AE66" s="54"/>
      <c r="AF66" s="82">
        <f>IF(ISNUMBER($AD66),EDATE($AD66,12)-1,"")</f>
        <v/>
      </c>
      <c r="AG66" s="52"/>
      <c r="AH66" s="82">
        <f>IF(ISNUMBER($AG66),$AG66+27,"")</f>
        <v/>
      </c>
      <c r="AI66" s="54"/>
      <c r="AJ66" s="87">
        <f>IF(AND($A66&lt;&gt;"",ISNUMBER($D66),NOT(ISNUMBER($AD66))),$D66,"")</f>
        <v/>
      </c>
    </row>
    <row r="67" spans="1:36">
      <c r="A67" s="54"/>
      <c r="B67" s="81"/>
      <c r="C67" s="82">
        <f>IF($B67="","",IFERROR(VLOOKUP($B67,$A$112:$C$120,2,FALSE),""))</f>
        <v/>
      </c>
      <c r="D67" s="82">
        <f>IF($B67="","",IFERROR(VLOOKUP($B67,$A$112:$C$120,3,FALSE),""))</f>
        <v/>
      </c>
      <c r="E67" s="83">
        <f>IF(OR($D67="",ISNUMBER($AD67)),"",$D67-TODAY())</f>
        <v/>
      </c>
      <c r="F67" s="83">
        <f>IF($A67="","",COUNTIF($K67:$T67,"Yes")+COUNTIF($K67:$T67,"N/A")+IF(OR($U67="N/A",AND($U67="Yes",ISNUMBER($V67))),1,0)+IF(OR($W67="N/A",AND($W67="Yes",ISNUMBER($X67))),1,0)+COUNTIF($Y67:$AC67,"Yes")+COUNTIF($Y67:$AC67,"N/A"))</f>
        <v/>
      </c>
      <c r="G67" s="83">
        <f>IF($A67="","",17-$F67)</f>
        <v/>
      </c>
      <c r="H67" s="84">
        <f>IF($A67="","",$F67/17)</f>
        <v/>
      </c>
      <c r="I67" s="85">
        <f>IF($A67="","",IF(ISNUMBER($AD67),"Registered",IF($G67=0,"Ready",IF($G67&lt;=3,"Nearly","Not ready"))))</f>
        <v/>
      </c>
      <c r="J67" s="86">
        <f>IF($A67="","",IF(ISNUMBER($AD67),"Registered",IF($D67="","Pick a region",IF(TODAY()&gt;$D67,"OVERDUE: register now",IF(TODAY()&gt;=$C67,"Open: register by "&amp;TEXT($D67,"dd/mm/yyyy"),"Opens "&amp;TEXT($C67,"dd/mm/yyyy"))))))</f>
        <v/>
      </c>
      <c r="K67" s="51"/>
      <c r="L67" s="51"/>
      <c r="M67" s="51"/>
      <c r="N67" s="51"/>
      <c r="O67" s="51"/>
      <c r="P67" s="51"/>
      <c r="Q67" s="51"/>
      <c r="R67" s="51"/>
      <c r="S67" s="51"/>
      <c r="T67" s="51"/>
      <c r="U67" s="51"/>
      <c r="V67" s="52"/>
      <c r="W67" s="51"/>
      <c r="X67" s="52"/>
      <c r="Y67" s="51"/>
      <c r="Z67" s="51"/>
      <c r="AA67" s="51"/>
      <c r="AB67" s="51"/>
      <c r="AC67" s="51"/>
      <c r="AD67" s="52"/>
      <c r="AE67" s="54"/>
      <c r="AF67" s="82">
        <f>IF(ISNUMBER($AD67),EDATE($AD67,12)-1,"")</f>
        <v/>
      </c>
      <c r="AG67" s="52"/>
      <c r="AH67" s="82">
        <f>IF(ISNUMBER($AG67),$AG67+27,"")</f>
        <v/>
      </c>
      <c r="AI67" s="54"/>
      <c r="AJ67" s="87">
        <f>IF(AND($A67&lt;&gt;"",ISNUMBER($D67),NOT(ISNUMBER($AD67))),$D67,"")</f>
        <v/>
      </c>
    </row>
    <row r="68" spans="1:36">
      <c r="A68" s="54"/>
      <c r="B68" s="81"/>
      <c r="C68" s="82">
        <f>IF($B68="","",IFERROR(VLOOKUP($B68,$A$112:$C$120,2,FALSE),""))</f>
        <v/>
      </c>
      <c r="D68" s="82">
        <f>IF($B68="","",IFERROR(VLOOKUP($B68,$A$112:$C$120,3,FALSE),""))</f>
        <v/>
      </c>
      <c r="E68" s="83">
        <f>IF(OR($D68="",ISNUMBER($AD68)),"",$D68-TODAY())</f>
        <v/>
      </c>
      <c r="F68" s="83">
        <f>IF($A68="","",COUNTIF($K68:$T68,"Yes")+COUNTIF($K68:$T68,"N/A")+IF(OR($U68="N/A",AND($U68="Yes",ISNUMBER($V68))),1,0)+IF(OR($W68="N/A",AND($W68="Yes",ISNUMBER($X68))),1,0)+COUNTIF($Y68:$AC68,"Yes")+COUNTIF($Y68:$AC68,"N/A"))</f>
        <v/>
      </c>
      <c r="G68" s="83">
        <f>IF($A68="","",17-$F68)</f>
        <v/>
      </c>
      <c r="H68" s="84">
        <f>IF($A68="","",$F68/17)</f>
        <v/>
      </c>
      <c r="I68" s="85">
        <f>IF($A68="","",IF(ISNUMBER($AD68),"Registered",IF($G68=0,"Ready",IF($G68&lt;=3,"Nearly","Not ready"))))</f>
        <v/>
      </c>
      <c r="J68" s="86">
        <f>IF($A68="","",IF(ISNUMBER($AD68),"Registered",IF($D68="","Pick a region",IF(TODAY()&gt;$D68,"OVERDUE: register now",IF(TODAY()&gt;=$C68,"Open: register by "&amp;TEXT($D68,"dd/mm/yyyy"),"Opens "&amp;TEXT($C68,"dd/mm/yyyy"))))))</f>
        <v/>
      </c>
      <c r="K68" s="51"/>
      <c r="L68" s="51"/>
      <c r="M68" s="51"/>
      <c r="N68" s="51"/>
      <c r="O68" s="51"/>
      <c r="P68" s="51"/>
      <c r="Q68" s="51"/>
      <c r="R68" s="51"/>
      <c r="S68" s="51"/>
      <c r="T68" s="51"/>
      <c r="U68" s="51"/>
      <c r="V68" s="52"/>
      <c r="W68" s="51"/>
      <c r="X68" s="52"/>
      <c r="Y68" s="51"/>
      <c r="Z68" s="51"/>
      <c r="AA68" s="51"/>
      <c r="AB68" s="51"/>
      <c r="AC68" s="51"/>
      <c r="AD68" s="52"/>
      <c r="AE68" s="54"/>
      <c r="AF68" s="82">
        <f>IF(ISNUMBER($AD68),EDATE($AD68,12)-1,"")</f>
        <v/>
      </c>
      <c r="AG68" s="52"/>
      <c r="AH68" s="82">
        <f>IF(ISNUMBER($AG68),$AG68+27,"")</f>
        <v/>
      </c>
      <c r="AI68" s="54"/>
      <c r="AJ68" s="87">
        <f>IF(AND($A68&lt;&gt;"",ISNUMBER($D68),NOT(ISNUMBER($AD68))),$D68,"")</f>
        <v/>
      </c>
    </row>
    <row r="69" spans="1:36">
      <c r="A69" s="54"/>
      <c r="B69" s="81"/>
      <c r="C69" s="82">
        <f>IF($B69="","",IFERROR(VLOOKUP($B69,$A$112:$C$120,2,FALSE),""))</f>
        <v/>
      </c>
      <c r="D69" s="82">
        <f>IF($B69="","",IFERROR(VLOOKUP($B69,$A$112:$C$120,3,FALSE),""))</f>
        <v/>
      </c>
      <c r="E69" s="83">
        <f>IF(OR($D69="",ISNUMBER($AD69)),"",$D69-TODAY())</f>
        <v/>
      </c>
      <c r="F69" s="83">
        <f>IF($A69="","",COUNTIF($K69:$T69,"Yes")+COUNTIF($K69:$T69,"N/A")+IF(OR($U69="N/A",AND($U69="Yes",ISNUMBER($V69))),1,0)+IF(OR($W69="N/A",AND($W69="Yes",ISNUMBER($X69))),1,0)+COUNTIF($Y69:$AC69,"Yes")+COUNTIF($Y69:$AC69,"N/A"))</f>
        <v/>
      </c>
      <c r="G69" s="83">
        <f>IF($A69="","",17-$F69)</f>
        <v/>
      </c>
      <c r="H69" s="84">
        <f>IF($A69="","",$F69/17)</f>
        <v/>
      </c>
      <c r="I69" s="85">
        <f>IF($A69="","",IF(ISNUMBER($AD69),"Registered",IF($G69=0,"Ready",IF($G69&lt;=3,"Nearly","Not ready"))))</f>
        <v/>
      </c>
      <c r="J69" s="86">
        <f>IF($A69="","",IF(ISNUMBER($AD69),"Registered",IF($D69="","Pick a region",IF(TODAY()&gt;$D69,"OVERDUE: register now",IF(TODAY()&gt;=$C69,"Open: register by "&amp;TEXT($D69,"dd/mm/yyyy"),"Opens "&amp;TEXT($C69,"dd/mm/yyyy"))))))</f>
        <v/>
      </c>
      <c r="K69" s="51"/>
      <c r="L69" s="51"/>
      <c r="M69" s="51"/>
      <c r="N69" s="51"/>
      <c r="O69" s="51"/>
      <c r="P69" s="51"/>
      <c r="Q69" s="51"/>
      <c r="R69" s="51"/>
      <c r="S69" s="51"/>
      <c r="T69" s="51"/>
      <c r="U69" s="51"/>
      <c r="V69" s="52"/>
      <c r="W69" s="51"/>
      <c r="X69" s="52"/>
      <c r="Y69" s="51"/>
      <c r="Z69" s="51"/>
      <c r="AA69" s="51"/>
      <c r="AB69" s="51"/>
      <c r="AC69" s="51"/>
      <c r="AD69" s="52"/>
      <c r="AE69" s="54"/>
      <c r="AF69" s="82">
        <f>IF(ISNUMBER($AD69),EDATE($AD69,12)-1,"")</f>
        <v/>
      </c>
      <c r="AG69" s="52"/>
      <c r="AH69" s="82">
        <f>IF(ISNUMBER($AG69),$AG69+27,"")</f>
        <v/>
      </c>
      <c r="AI69" s="54"/>
      <c r="AJ69" s="87">
        <f>IF(AND($A69&lt;&gt;"",ISNUMBER($D69),NOT(ISNUMBER($AD69))),$D69,"")</f>
        <v/>
      </c>
    </row>
    <row r="70" spans="1:36">
      <c r="A70" s="54"/>
      <c r="B70" s="81"/>
      <c r="C70" s="82">
        <f>IF($B70="","",IFERROR(VLOOKUP($B70,$A$112:$C$120,2,FALSE),""))</f>
        <v/>
      </c>
      <c r="D70" s="82">
        <f>IF($B70="","",IFERROR(VLOOKUP($B70,$A$112:$C$120,3,FALSE),""))</f>
        <v/>
      </c>
      <c r="E70" s="83">
        <f>IF(OR($D70="",ISNUMBER($AD70)),"",$D70-TODAY())</f>
        <v/>
      </c>
      <c r="F70" s="83">
        <f>IF($A70="","",COUNTIF($K70:$T70,"Yes")+COUNTIF($K70:$T70,"N/A")+IF(OR($U70="N/A",AND($U70="Yes",ISNUMBER($V70))),1,0)+IF(OR($W70="N/A",AND($W70="Yes",ISNUMBER($X70))),1,0)+COUNTIF($Y70:$AC70,"Yes")+COUNTIF($Y70:$AC70,"N/A"))</f>
        <v/>
      </c>
      <c r="G70" s="83">
        <f>IF($A70="","",17-$F70)</f>
        <v/>
      </c>
      <c r="H70" s="84">
        <f>IF($A70="","",$F70/17)</f>
        <v/>
      </c>
      <c r="I70" s="85">
        <f>IF($A70="","",IF(ISNUMBER($AD70),"Registered",IF($G70=0,"Ready",IF($G70&lt;=3,"Nearly","Not ready"))))</f>
        <v/>
      </c>
      <c r="J70" s="86">
        <f>IF($A70="","",IF(ISNUMBER($AD70),"Registered",IF($D70="","Pick a region",IF(TODAY()&gt;$D70,"OVERDUE: register now",IF(TODAY()&gt;=$C70,"Open: register by "&amp;TEXT($D70,"dd/mm/yyyy"),"Opens "&amp;TEXT($C70,"dd/mm/yyyy"))))))</f>
        <v/>
      </c>
      <c r="K70" s="51"/>
      <c r="L70" s="51"/>
      <c r="M70" s="51"/>
      <c r="N70" s="51"/>
      <c r="O70" s="51"/>
      <c r="P70" s="51"/>
      <c r="Q70" s="51"/>
      <c r="R70" s="51"/>
      <c r="S70" s="51"/>
      <c r="T70" s="51"/>
      <c r="U70" s="51"/>
      <c r="V70" s="52"/>
      <c r="W70" s="51"/>
      <c r="X70" s="52"/>
      <c r="Y70" s="51"/>
      <c r="Z70" s="51"/>
      <c r="AA70" s="51"/>
      <c r="AB70" s="51"/>
      <c r="AC70" s="51"/>
      <c r="AD70" s="52"/>
      <c r="AE70" s="54"/>
      <c r="AF70" s="82">
        <f>IF(ISNUMBER($AD70),EDATE($AD70,12)-1,"")</f>
        <v/>
      </c>
      <c r="AG70" s="52"/>
      <c r="AH70" s="82">
        <f>IF(ISNUMBER($AG70),$AG70+27,"")</f>
        <v/>
      </c>
      <c r="AI70" s="54"/>
      <c r="AJ70" s="87">
        <f>IF(AND($A70&lt;&gt;"",ISNUMBER($D70),NOT(ISNUMBER($AD70))),$D70,"")</f>
        <v/>
      </c>
    </row>
    <row r="71" spans="1:36">
      <c r="A71" s="54"/>
      <c r="B71" s="81"/>
      <c r="C71" s="82">
        <f>IF($B71="","",IFERROR(VLOOKUP($B71,$A$112:$C$120,2,FALSE),""))</f>
        <v/>
      </c>
      <c r="D71" s="82">
        <f>IF($B71="","",IFERROR(VLOOKUP($B71,$A$112:$C$120,3,FALSE),""))</f>
        <v/>
      </c>
      <c r="E71" s="83">
        <f>IF(OR($D71="",ISNUMBER($AD71)),"",$D71-TODAY())</f>
        <v/>
      </c>
      <c r="F71" s="83">
        <f>IF($A71="","",COUNTIF($K71:$T71,"Yes")+COUNTIF($K71:$T71,"N/A")+IF(OR($U71="N/A",AND($U71="Yes",ISNUMBER($V71))),1,0)+IF(OR($W71="N/A",AND($W71="Yes",ISNUMBER($X71))),1,0)+COUNTIF($Y71:$AC71,"Yes")+COUNTIF($Y71:$AC71,"N/A"))</f>
        <v/>
      </c>
      <c r="G71" s="83">
        <f>IF($A71="","",17-$F71)</f>
        <v/>
      </c>
      <c r="H71" s="84">
        <f>IF($A71="","",$F71/17)</f>
        <v/>
      </c>
      <c r="I71" s="85">
        <f>IF($A71="","",IF(ISNUMBER($AD71),"Registered",IF($G71=0,"Ready",IF($G71&lt;=3,"Nearly","Not ready"))))</f>
        <v/>
      </c>
      <c r="J71" s="86">
        <f>IF($A71="","",IF(ISNUMBER($AD71),"Registered",IF($D71="","Pick a region",IF(TODAY()&gt;$D71,"OVERDUE: register now",IF(TODAY()&gt;=$C71,"Open: register by "&amp;TEXT($D71,"dd/mm/yyyy"),"Opens "&amp;TEXT($C71,"dd/mm/yyyy"))))))</f>
        <v/>
      </c>
      <c r="K71" s="51"/>
      <c r="L71" s="51"/>
      <c r="M71" s="51"/>
      <c r="N71" s="51"/>
      <c r="O71" s="51"/>
      <c r="P71" s="51"/>
      <c r="Q71" s="51"/>
      <c r="R71" s="51"/>
      <c r="S71" s="51"/>
      <c r="T71" s="51"/>
      <c r="U71" s="51"/>
      <c r="V71" s="52"/>
      <c r="W71" s="51"/>
      <c r="X71" s="52"/>
      <c r="Y71" s="51"/>
      <c r="Z71" s="51"/>
      <c r="AA71" s="51"/>
      <c r="AB71" s="51"/>
      <c r="AC71" s="51"/>
      <c r="AD71" s="52"/>
      <c r="AE71" s="54"/>
      <c r="AF71" s="82">
        <f>IF(ISNUMBER($AD71),EDATE($AD71,12)-1,"")</f>
        <v/>
      </c>
      <c r="AG71" s="52"/>
      <c r="AH71" s="82">
        <f>IF(ISNUMBER($AG71),$AG71+27,"")</f>
        <v/>
      </c>
      <c r="AI71" s="54"/>
      <c r="AJ71" s="87">
        <f>IF(AND($A71&lt;&gt;"",ISNUMBER($D71),NOT(ISNUMBER($AD71))),$D71,"")</f>
        <v/>
      </c>
    </row>
    <row r="72" spans="1:36">
      <c r="A72" s="54"/>
      <c r="B72" s="81"/>
      <c r="C72" s="82">
        <f>IF($B72="","",IFERROR(VLOOKUP($B72,$A$112:$C$120,2,FALSE),""))</f>
        <v/>
      </c>
      <c r="D72" s="82">
        <f>IF($B72="","",IFERROR(VLOOKUP($B72,$A$112:$C$120,3,FALSE),""))</f>
        <v/>
      </c>
      <c r="E72" s="83">
        <f>IF(OR($D72="",ISNUMBER($AD72)),"",$D72-TODAY())</f>
        <v/>
      </c>
      <c r="F72" s="83">
        <f>IF($A72="","",COUNTIF($K72:$T72,"Yes")+COUNTIF($K72:$T72,"N/A")+IF(OR($U72="N/A",AND($U72="Yes",ISNUMBER($V72))),1,0)+IF(OR($W72="N/A",AND($W72="Yes",ISNUMBER($X72))),1,0)+COUNTIF($Y72:$AC72,"Yes")+COUNTIF($Y72:$AC72,"N/A"))</f>
        <v/>
      </c>
      <c r="G72" s="83">
        <f>IF($A72="","",17-$F72)</f>
        <v/>
      </c>
      <c r="H72" s="84">
        <f>IF($A72="","",$F72/17)</f>
        <v/>
      </c>
      <c r="I72" s="85">
        <f>IF($A72="","",IF(ISNUMBER($AD72),"Registered",IF($G72=0,"Ready",IF($G72&lt;=3,"Nearly","Not ready"))))</f>
        <v/>
      </c>
      <c r="J72" s="86">
        <f>IF($A72="","",IF(ISNUMBER($AD72),"Registered",IF($D72="","Pick a region",IF(TODAY()&gt;$D72,"OVERDUE: register now",IF(TODAY()&gt;=$C72,"Open: register by "&amp;TEXT($D72,"dd/mm/yyyy"),"Opens "&amp;TEXT($C72,"dd/mm/yyyy"))))))</f>
        <v/>
      </c>
      <c r="K72" s="51"/>
      <c r="L72" s="51"/>
      <c r="M72" s="51"/>
      <c r="N72" s="51"/>
      <c r="O72" s="51"/>
      <c r="P72" s="51"/>
      <c r="Q72" s="51"/>
      <c r="R72" s="51"/>
      <c r="S72" s="51"/>
      <c r="T72" s="51"/>
      <c r="U72" s="51"/>
      <c r="V72" s="52"/>
      <c r="W72" s="51"/>
      <c r="X72" s="52"/>
      <c r="Y72" s="51"/>
      <c r="Z72" s="51"/>
      <c r="AA72" s="51"/>
      <c r="AB72" s="51"/>
      <c r="AC72" s="51"/>
      <c r="AD72" s="52"/>
      <c r="AE72" s="54"/>
      <c r="AF72" s="82">
        <f>IF(ISNUMBER($AD72),EDATE($AD72,12)-1,"")</f>
        <v/>
      </c>
      <c r="AG72" s="52"/>
      <c r="AH72" s="82">
        <f>IF(ISNUMBER($AG72),$AG72+27,"")</f>
        <v/>
      </c>
      <c r="AI72" s="54"/>
      <c r="AJ72" s="87">
        <f>IF(AND($A72&lt;&gt;"",ISNUMBER($D72),NOT(ISNUMBER($AD72))),$D72,"")</f>
        <v/>
      </c>
    </row>
    <row r="73" spans="1:36">
      <c r="A73" s="54"/>
      <c r="B73" s="81"/>
      <c r="C73" s="82">
        <f>IF($B73="","",IFERROR(VLOOKUP($B73,$A$112:$C$120,2,FALSE),""))</f>
        <v/>
      </c>
      <c r="D73" s="82">
        <f>IF($B73="","",IFERROR(VLOOKUP($B73,$A$112:$C$120,3,FALSE),""))</f>
        <v/>
      </c>
      <c r="E73" s="83">
        <f>IF(OR($D73="",ISNUMBER($AD73)),"",$D73-TODAY())</f>
        <v/>
      </c>
      <c r="F73" s="83">
        <f>IF($A73="","",COUNTIF($K73:$T73,"Yes")+COUNTIF($K73:$T73,"N/A")+IF(OR($U73="N/A",AND($U73="Yes",ISNUMBER($V73))),1,0)+IF(OR($W73="N/A",AND($W73="Yes",ISNUMBER($X73))),1,0)+COUNTIF($Y73:$AC73,"Yes")+COUNTIF($Y73:$AC73,"N/A"))</f>
        <v/>
      </c>
      <c r="G73" s="83">
        <f>IF($A73="","",17-$F73)</f>
        <v/>
      </c>
      <c r="H73" s="84">
        <f>IF($A73="","",$F73/17)</f>
        <v/>
      </c>
      <c r="I73" s="85">
        <f>IF($A73="","",IF(ISNUMBER($AD73),"Registered",IF($G73=0,"Ready",IF($G73&lt;=3,"Nearly","Not ready"))))</f>
        <v/>
      </c>
      <c r="J73" s="86">
        <f>IF($A73="","",IF(ISNUMBER($AD73),"Registered",IF($D73="","Pick a region",IF(TODAY()&gt;$D73,"OVERDUE: register now",IF(TODAY()&gt;=$C73,"Open: register by "&amp;TEXT($D73,"dd/mm/yyyy"),"Opens "&amp;TEXT($C73,"dd/mm/yyyy"))))))</f>
        <v/>
      </c>
      <c r="K73" s="51"/>
      <c r="L73" s="51"/>
      <c r="M73" s="51"/>
      <c r="N73" s="51"/>
      <c r="O73" s="51"/>
      <c r="P73" s="51"/>
      <c r="Q73" s="51"/>
      <c r="R73" s="51"/>
      <c r="S73" s="51"/>
      <c r="T73" s="51"/>
      <c r="U73" s="51"/>
      <c r="V73" s="52"/>
      <c r="W73" s="51"/>
      <c r="X73" s="52"/>
      <c r="Y73" s="51"/>
      <c r="Z73" s="51"/>
      <c r="AA73" s="51"/>
      <c r="AB73" s="51"/>
      <c r="AC73" s="51"/>
      <c r="AD73" s="52"/>
      <c r="AE73" s="54"/>
      <c r="AF73" s="82">
        <f>IF(ISNUMBER($AD73),EDATE($AD73,12)-1,"")</f>
        <v/>
      </c>
      <c r="AG73" s="52"/>
      <c r="AH73" s="82">
        <f>IF(ISNUMBER($AG73),$AG73+27,"")</f>
        <v/>
      </c>
      <c r="AI73" s="54"/>
      <c r="AJ73" s="87">
        <f>IF(AND($A73&lt;&gt;"",ISNUMBER($D73),NOT(ISNUMBER($AD73))),$D73,"")</f>
        <v/>
      </c>
    </row>
    <row r="74" spans="1:36">
      <c r="A74" s="54"/>
      <c r="B74" s="81"/>
      <c r="C74" s="82">
        <f>IF($B74="","",IFERROR(VLOOKUP($B74,$A$112:$C$120,2,FALSE),""))</f>
        <v/>
      </c>
      <c r="D74" s="82">
        <f>IF($B74="","",IFERROR(VLOOKUP($B74,$A$112:$C$120,3,FALSE),""))</f>
        <v/>
      </c>
      <c r="E74" s="83">
        <f>IF(OR($D74="",ISNUMBER($AD74)),"",$D74-TODAY())</f>
        <v/>
      </c>
      <c r="F74" s="83">
        <f>IF($A74="","",COUNTIF($K74:$T74,"Yes")+COUNTIF($K74:$T74,"N/A")+IF(OR($U74="N/A",AND($U74="Yes",ISNUMBER($V74))),1,0)+IF(OR($W74="N/A",AND($W74="Yes",ISNUMBER($X74))),1,0)+COUNTIF($Y74:$AC74,"Yes")+COUNTIF($Y74:$AC74,"N/A"))</f>
        <v/>
      </c>
      <c r="G74" s="83">
        <f>IF($A74="","",17-$F74)</f>
        <v/>
      </c>
      <c r="H74" s="84">
        <f>IF($A74="","",$F74/17)</f>
        <v/>
      </c>
      <c r="I74" s="85">
        <f>IF($A74="","",IF(ISNUMBER($AD74),"Registered",IF($G74=0,"Ready",IF($G74&lt;=3,"Nearly","Not ready"))))</f>
        <v/>
      </c>
      <c r="J74" s="86">
        <f>IF($A74="","",IF(ISNUMBER($AD74),"Registered",IF($D74="","Pick a region",IF(TODAY()&gt;$D74,"OVERDUE: register now",IF(TODAY()&gt;=$C74,"Open: register by "&amp;TEXT($D74,"dd/mm/yyyy"),"Opens "&amp;TEXT($C74,"dd/mm/yyyy"))))))</f>
        <v/>
      </c>
      <c r="K74" s="51"/>
      <c r="L74" s="51"/>
      <c r="M74" s="51"/>
      <c r="N74" s="51"/>
      <c r="O74" s="51"/>
      <c r="P74" s="51"/>
      <c r="Q74" s="51"/>
      <c r="R74" s="51"/>
      <c r="S74" s="51"/>
      <c r="T74" s="51"/>
      <c r="U74" s="51"/>
      <c r="V74" s="52"/>
      <c r="W74" s="51"/>
      <c r="X74" s="52"/>
      <c r="Y74" s="51"/>
      <c r="Z74" s="51"/>
      <c r="AA74" s="51"/>
      <c r="AB74" s="51"/>
      <c r="AC74" s="51"/>
      <c r="AD74" s="52"/>
      <c r="AE74" s="54"/>
      <c r="AF74" s="82">
        <f>IF(ISNUMBER($AD74),EDATE($AD74,12)-1,"")</f>
        <v/>
      </c>
      <c r="AG74" s="52"/>
      <c r="AH74" s="82">
        <f>IF(ISNUMBER($AG74),$AG74+27,"")</f>
        <v/>
      </c>
      <c r="AI74" s="54"/>
      <c r="AJ74" s="87">
        <f>IF(AND($A74&lt;&gt;"",ISNUMBER($D74),NOT(ISNUMBER($AD74))),$D74,"")</f>
        <v/>
      </c>
    </row>
    <row r="75" spans="1:36">
      <c r="A75" s="54"/>
      <c r="B75" s="81"/>
      <c r="C75" s="82">
        <f>IF($B75="","",IFERROR(VLOOKUP($B75,$A$112:$C$120,2,FALSE),""))</f>
        <v/>
      </c>
      <c r="D75" s="82">
        <f>IF($B75="","",IFERROR(VLOOKUP($B75,$A$112:$C$120,3,FALSE),""))</f>
        <v/>
      </c>
      <c r="E75" s="83">
        <f>IF(OR($D75="",ISNUMBER($AD75)),"",$D75-TODAY())</f>
        <v/>
      </c>
      <c r="F75" s="83">
        <f>IF($A75="","",COUNTIF($K75:$T75,"Yes")+COUNTIF($K75:$T75,"N/A")+IF(OR($U75="N/A",AND($U75="Yes",ISNUMBER($V75))),1,0)+IF(OR($W75="N/A",AND($W75="Yes",ISNUMBER($X75))),1,0)+COUNTIF($Y75:$AC75,"Yes")+COUNTIF($Y75:$AC75,"N/A"))</f>
        <v/>
      </c>
      <c r="G75" s="83">
        <f>IF($A75="","",17-$F75)</f>
        <v/>
      </c>
      <c r="H75" s="84">
        <f>IF($A75="","",$F75/17)</f>
        <v/>
      </c>
      <c r="I75" s="85">
        <f>IF($A75="","",IF(ISNUMBER($AD75),"Registered",IF($G75=0,"Ready",IF($G75&lt;=3,"Nearly","Not ready"))))</f>
        <v/>
      </c>
      <c r="J75" s="86">
        <f>IF($A75="","",IF(ISNUMBER($AD75),"Registered",IF($D75="","Pick a region",IF(TODAY()&gt;$D75,"OVERDUE: register now",IF(TODAY()&gt;=$C75,"Open: register by "&amp;TEXT($D75,"dd/mm/yyyy"),"Opens "&amp;TEXT($C75,"dd/mm/yyyy"))))))</f>
        <v/>
      </c>
      <c r="K75" s="51"/>
      <c r="L75" s="51"/>
      <c r="M75" s="51"/>
      <c r="N75" s="51"/>
      <c r="O75" s="51"/>
      <c r="P75" s="51"/>
      <c r="Q75" s="51"/>
      <c r="R75" s="51"/>
      <c r="S75" s="51"/>
      <c r="T75" s="51"/>
      <c r="U75" s="51"/>
      <c r="V75" s="52"/>
      <c r="W75" s="51"/>
      <c r="X75" s="52"/>
      <c r="Y75" s="51"/>
      <c r="Z75" s="51"/>
      <c r="AA75" s="51"/>
      <c r="AB75" s="51"/>
      <c r="AC75" s="51"/>
      <c r="AD75" s="52"/>
      <c r="AE75" s="54"/>
      <c r="AF75" s="82">
        <f>IF(ISNUMBER($AD75),EDATE($AD75,12)-1,"")</f>
        <v/>
      </c>
      <c r="AG75" s="52"/>
      <c r="AH75" s="82">
        <f>IF(ISNUMBER($AG75),$AG75+27,"")</f>
        <v/>
      </c>
      <c r="AI75" s="54"/>
      <c r="AJ75" s="87">
        <f>IF(AND($A75&lt;&gt;"",ISNUMBER($D75),NOT(ISNUMBER($AD75))),$D75,"")</f>
        <v/>
      </c>
    </row>
    <row r="76" spans="1:36">
      <c r="A76" s="54"/>
      <c r="B76" s="81"/>
      <c r="C76" s="82">
        <f>IF($B76="","",IFERROR(VLOOKUP($B76,$A$112:$C$120,2,FALSE),""))</f>
        <v/>
      </c>
      <c r="D76" s="82">
        <f>IF($B76="","",IFERROR(VLOOKUP($B76,$A$112:$C$120,3,FALSE),""))</f>
        <v/>
      </c>
      <c r="E76" s="83">
        <f>IF(OR($D76="",ISNUMBER($AD76)),"",$D76-TODAY())</f>
        <v/>
      </c>
      <c r="F76" s="83">
        <f>IF($A76="","",COUNTIF($K76:$T76,"Yes")+COUNTIF($K76:$T76,"N/A")+IF(OR($U76="N/A",AND($U76="Yes",ISNUMBER($V76))),1,0)+IF(OR($W76="N/A",AND($W76="Yes",ISNUMBER($X76))),1,0)+COUNTIF($Y76:$AC76,"Yes")+COUNTIF($Y76:$AC76,"N/A"))</f>
        <v/>
      </c>
      <c r="G76" s="83">
        <f>IF($A76="","",17-$F76)</f>
        <v/>
      </c>
      <c r="H76" s="84">
        <f>IF($A76="","",$F76/17)</f>
        <v/>
      </c>
      <c r="I76" s="85">
        <f>IF($A76="","",IF(ISNUMBER($AD76),"Registered",IF($G76=0,"Ready",IF($G76&lt;=3,"Nearly","Not ready"))))</f>
        <v/>
      </c>
      <c r="J76" s="86">
        <f>IF($A76="","",IF(ISNUMBER($AD76),"Registered",IF($D76="","Pick a region",IF(TODAY()&gt;$D76,"OVERDUE: register now",IF(TODAY()&gt;=$C76,"Open: register by "&amp;TEXT($D76,"dd/mm/yyyy"),"Opens "&amp;TEXT($C76,"dd/mm/yyyy"))))))</f>
        <v/>
      </c>
      <c r="K76" s="51"/>
      <c r="L76" s="51"/>
      <c r="M76" s="51"/>
      <c r="N76" s="51"/>
      <c r="O76" s="51"/>
      <c r="P76" s="51"/>
      <c r="Q76" s="51"/>
      <c r="R76" s="51"/>
      <c r="S76" s="51"/>
      <c r="T76" s="51"/>
      <c r="U76" s="51"/>
      <c r="V76" s="52"/>
      <c r="W76" s="51"/>
      <c r="X76" s="52"/>
      <c r="Y76" s="51"/>
      <c r="Z76" s="51"/>
      <c r="AA76" s="51"/>
      <c r="AB76" s="51"/>
      <c r="AC76" s="51"/>
      <c r="AD76" s="52"/>
      <c r="AE76" s="54"/>
      <c r="AF76" s="82">
        <f>IF(ISNUMBER($AD76),EDATE($AD76,12)-1,"")</f>
        <v/>
      </c>
      <c r="AG76" s="52"/>
      <c r="AH76" s="82">
        <f>IF(ISNUMBER($AG76),$AG76+27,"")</f>
        <v/>
      </c>
      <c r="AI76" s="54"/>
      <c r="AJ76" s="87">
        <f>IF(AND($A76&lt;&gt;"",ISNUMBER($D76),NOT(ISNUMBER($AD76))),$D76,"")</f>
        <v/>
      </c>
    </row>
    <row r="77" spans="1:36">
      <c r="A77" s="54"/>
      <c r="B77" s="81"/>
      <c r="C77" s="82">
        <f>IF($B77="","",IFERROR(VLOOKUP($B77,$A$112:$C$120,2,FALSE),""))</f>
        <v/>
      </c>
      <c r="D77" s="82">
        <f>IF($B77="","",IFERROR(VLOOKUP($B77,$A$112:$C$120,3,FALSE),""))</f>
        <v/>
      </c>
      <c r="E77" s="83">
        <f>IF(OR($D77="",ISNUMBER($AD77)),"",$D77-TODAY())</f>
        <v/>
      </c>
      <c r="F77" s="83">
        <f>IF($A77="","",COUNTIF($K77:$T77,"Yes")+COUNTIF($K77:$T77,"N/A")+IF(OR($U77="N/A",AND($U77="Yes",ISNUMBER($V77))),1,0)+IF(OR($W77="N/A",AND($W77="Yes",ISNUMBER($X77))),1,0)+COUNTIF($Y77:$AC77,"Yes")+COUNTIF($Y77:$AC77,"N/A"))</f>
        <v/>
      </c>
      <c r="G77" s="83">
        <f>IF($A77="","",17-$F77)</f>
        <v/>
      </c>
      <c r="H77" s="84">
        <f>IF($A77="","",$F77/17)</f>
        <v/>
      </c>
      <c r="I77" s="85">
        <f>IF($A77="","",IF(ISNUMBER($AD77),"Registered",IF($G77=0,"Ready",IF($G77&lt;=3,"Nearly","Not ready"))))</f>
        <v/>
      </c>
      <c r="J77" s="86">
        <f>IF($A77="","",IF(ISNUMBER($AD77),"Registered",IF($D77="","Pick a region",IF(TODAY()&gt;$D77,"OVERDUE: register now",IF(TODAY()&gt;=$C77,"Open: register by "&amp;TEXT($D77,"dd/mm/yyyy"),"Opens "&amp;TEXT($C77,"dd/mm/yyyy"))))))</f>
        <v/>
      </c>
      <c r="K77" s="51"/>
      <c r="L77" s="51"/>
      <c r="M77" s="51"/>
      <c r="N77" s="51"/>
      <c r="O77" s="51"/>
      <c r="P77" s="51"/>
      <c r="Q77" s="51"/>
      <c r="R77" s="51"/>
      <c r="S77" s="51"/>
      <c r="T77" s="51"/>
      <c r="U77" s="51"/>
      <c r="V77" s="52"/>
      <c r="W77" s="51"/>
      <c r="X77" s="52"/>
      <c r="Y77" s="51"/>
      <c r="Z77" s="51"/>
      <c r="AA77" s="51"/>
      <c r="AB77" s="51"/>
      <c r="AC77" s="51"/>
      <c r="AD77" s="52"/>
      <c r="AE77" s="54"/>
      <c r="AF77" s="82">
        <f>IF(ISNUMBER($AD77),EDATE($AD77,12)-1,"")</f>
        <v/>
      </c>
      <c r="AG77" s="52"/>
      <c r="AH77" s="82">
        <f>IF(ISNUMBER($AG77),$AG77+27,"")</f>
        <v/>
      </c>
      <c r="AI77" s="54"/>
      <c r="AJ77" s="87">
        <f>IF(AND($A77&lt;&gt;"",ISNUMBER($D77),NOT(ISNUMBER($AD77))),$D77,"")</f>
        <v/>
      </c>
    </row>
    <row r="78" spans="1:36">
      <c r="A78" s="54"/>
      <c r="B78" s="81"/>
      <c r="C78" s="82">
        <f>IF($B78="","",IFERROR(VLOOKUP($B78,$A$112:$C$120,2,FALSE),""))</f>
        <v/>
      </c>
      <c r="D78" s="82">
        <f>IF($B78="","",IFERROR(VLOOKUP($B78,$A$112:$C$120,3,FALSE),""))</f>
        <v/>
      </c>
      <c r="E78" s="83">
        <f>IF(OR($D78="",ISNUMBER($AD78)),"",$D78-TODAY())</f>
        <v/>
      </c>
      <c r="F78" s="83">
        <f>IF($A78="","",COUNTIF($K78:$T78,"Yes")+COUNTIF($K78:$T78,"N/A")+IF(OR($U78="N/A",AND($U78="Yes",ISNUMBER($V78))),1,0)+IF(OR($W78="N/A",AND($W78="Yes",ISNUMBER($X78))),1,0)+COUNTIF($Y78:$AC78,"Yes")+COUNTIF($Y78:$AC78,"N/A"))</f>
        <v/>
      </c>
      <c r="G78" s="83">
        <f>IF($A78="","",17-$F78)</f>
        <v/>
      </c>
      <c r="H78" s="84">
        <f>IF($A78="","",$F78/17)</f>
        <v/>
      </c>
      <c r="I78" s="85">
        <f>IF($A78="","",IF(ISNUMBER($AD78),"Registered",IF($G78=0,"Ready",IF($G78&lt;=3,"Nearly","Not ready"))))</f>
        <v/>
      </c>
      <c r="J78" s="86">
        <f>IF($A78="","",IF(ISNUMBER($AD78),"Registered",IF($D78="","Pick a region",IF(TODAY()&gt;$D78,"OVERDUE: register now",IF(TODAY()&gt;=$C78,"Open: register by "&amp;TEXT($D78,"dd/mm/yyyy"),"Opens "&amp;TEXT($C78,"dd/mm/yyyy"))))))</f>
        <v/>
      </c>
      <c r="K78" s="51"/>
      <c r="L78" s="51"/>
      <c r="M78" s="51"/>
      <c r="N78" s="51"/>
      <c r="O78" s="51"/>
      <c r="P78" s="51"/>
      <c r="Q78" s="51"/>
      <c r="R78" s="51"/>
      <c r="S78" s="51"/>
      <c r="T78" s="51"/>
      <c r="U78" s="51"/>
      <c r="V78" s="52"/>
      <c r="W78" s="51"/>
      <c r="X78" s="52"/>
      <c r="Y78" s="51"/>
      <c r="Z78" s="51"/>
      <c r="AA78" s="51"/>
      <c r="AB78" s="51"/>
      <c r="AC78" s="51"/>
      <c r="AD78" s="52"/>
      <c r="AE78" s="54"/>
      <c r="AF78" s="82">
        <f>IF(ISNUMBER($AD78),EDATE($AD78,12)-1,"")</f>
        <v/>
      </c>
      <c r="AG78" s="52"/>
      <c r="AH78" s="82">
        <f>IF(ISNUMBER($AG78),$AG78+27,"")</f>
        <v/>
      </c>
      <c r="AI78" s="54"/>
      <c r="AJ78" s="87">
        <f>IF(AND($A78&lt;&gt;"",ISNUMBER($D78),NOT(ISNUMBER($AD78))),$D78,"")</f>
        <v/>
      </c>
    </row>
    <row r="79" spans="1:36">
      <c r="A79" s="54"/>
      <c r="B79" s="81"/>
      <c r="C79" s="82">
        <f>IF($B79="","",IFERROR(VLOOKUP($B79,$A$112:$C$120,2,FALSE),""))</f>
        <v/>
      </c>
      <c r="D79" s="82">
        <f>IF($B79="","",IFERROR(VLOOKUP($B79,$A$112:$C$120,3,FALSE),""))</f>
        <v/>
      </c>
      <c r="E79" s="83">
        <f>IF(OR($D79="",ISNUMBER($AD79)),"",$D79-TODAY())</f>
        <v/>
      </c>
      <c r="F79" s="83">
        <f>IF($A79="","",COUNTIF($K79:$T79,"Yes")+COUNTIF($K79:$T79,"N/A")+IF(OR($U79="N/A",AND($U79="Yes",ISNUMBER($V79))),1,0)+IF(OR($W79="N/A",AND($W79="Yes",ISNUMBER($X79))),1,0)+COUNTIF($Y79:$AC79,"Yes")+COUNTIF($Y79:$AC79,"N/A"))</f>
        <v/>
      </c>
      <c r="G79" s="83">
        <f>IF($A79="","",17-$F79)</f>
        <v/>
      </c>
      <c r="H79" s="84">
        <f>IF($A79="","",$F79/17)</f>
        <v/>
      </c>
      <c r="I79" s="85">
        <f>IF($A79="","",IF(ISNUMBER($AD79),"Registered",IF($G79=0,"Ready",IF($G79&lt;=3,"Nearly","Not ready"))))</f>
        <v/>
      </c>
      <c r="J79" s="86">
        <f>IF($A79="","",IF(ISNUMBER($AD79),"Registered",IF($D79="","Pick a region",IF(TODAY()&gt;$D79,"OVERDUE: register now",IF(TODAY()&gt;=$C79,"Open: register by "&amp;TEXT($D79,"dd/mm/yyyy"),"Opens "&amp;TEXT($C79,"dd/mm/yyyy"))))))</f>
        <v/>
      </c>
      <c r="K79" s="51"/>
      <c r="L79" s="51"/>
      <c r="M79" s="51"/>
      <c r="N79" s="51"/>
      <c r="O79" s="51"/>
      <c r="P79" s="51"/>
      <c r="Q79" s="51"/>
      <c r="R79" s="51"/>
      <c r="S79" s="51"/>
      <c r="T79" s="51"/>
      <c r="U79" s="51"/>
      <c r="V79" s="52"/>
      <c r="W79" s="51"/>
      <c r="X79" s="52"/>
      <c r="Y79" s="51"/>
      <c r="Z79" s="51"/>
      <c r="AA79" s="51"/>
      <c r="AB79" s="51"/>
      <c r="AC79" s="51"/>
      <c r="AD79" s="52"/>
      <c r="AE79" s="54"/>
      <c r="AF79" s="82">
        <f>IF(ISNUMBER($AD79),EDATE($AD79,12)-1,"")</f>
        <v/>
      </c>
      <c r="AG79" s="52"/>
      <c r="AH79" s="82">
        <f>IF(ISNUMBER($AG79),$AG79+27,"")</f>
        <v/>
      </c>
      <c r="AI79" s="54"/>
      <c r="AJ79" s="87">
        <f>IF(AND($A79&lt;&gt;"",ISNUMBER($D79),NOT(ISNUMBER($AD79))),$D79,"")</f>
        <v/>
      </c>
    </row>
    <row r="80" spans="1:36">
      <c r="A80" s="54"/>
      <c r="B80" s="81"/>
      <c r="C80" s="82">
        <f>IF($B80="","",IFERROR(VLOOKUP($B80,$A$112:$C$120,2,FALSE),""))</f>
        <v/>
      </c>
      <c r="D80" s="82">
        <f>IF($B80="","",IFERROR(VLOOKUP($B80,$A$112:$C$120,3,FALSE),""))</f>
        <v/>
      </c>
      <c r="E80" s="83">
        <f>IF(OR($D80="",ISNUMBER($AD80)),"",$D80-TODAY())</f>
        <v/>
      </c>
      <c r="F80" s="83">
        <f>IF($A80="","",COUNTIF($K80:$T80,"Yes")+COUNTIF($K80:$T80,"N/A")+IF(OR($U80="N/A",AND($U80="Yes",ISNUMBER($V80))),1,0)+IF(OR($W80="N/A",AND($W80="Yes",ISNUMBER($X80))),1,0)+COUNTIF($Y80:$AC80,"Yes")+COUNTIF($Y80:$AC80,"N/A"))</f>
        <v/>
      </c>
      <c r="G80" s="83">
        <f>IF($A80="","",17-$F80)</f>
        <v/>
      </c>
      <c r="H80" s="84">
        <f>IF($A80="","",$F80/17)</f>
        <v/>
      </c>
      <c r="I80" s="85">
        <f>IF($A80="","",IF(ISNUMBER($AD80),"Registered",IF($G80=0,"Ready",IF($G80&lt;=3,"Nearly","Not ready"))))</f>
        <v/>
      </c>
      <c r="J80" s="86">
        <f>IF($A80="","",IF(ISNUMBER($AD80),"Registered",IF($D80="","Pick a region",IF(TODAY()&gt;$D80,"OVERDUE: register now",IF(TODAY()&gt;=$C80,"Open: register by "&amp;TEXT($D80,"dd/mm/yyyy"),"Opens "&amp;TEXT($C80,"dd/mm/yyyy"))))))</f>
        <v/>
      </c>
      <c r="K80" s="51"/>
      <c r="L80" s="51"/>
      <c r="M80" s="51"/>
      <c r="N80" s="51"/>
      <c r="O80" s="51"/>
      <c r="P80" s="51"/>
      <c r="Q80" s="51"/>
      <c r="R80" s="51"/>
      <c r="S80" s="51"/>
      <c r="T80" s="51"/>
      <c r="U80" s="51"/>
      <c r="V80" s="52"/>
      <c r="W80" s="51"/>
      <c r="X80" s="52"/>
      <c r="Y80" s="51"/>
      <c r="Z80" s="51"/>
      <c r="AA80" s="51"/>
      <c r="AB80" s="51"/>
      <c r="AC80" s="51"/>
      <c r="AD80" s="52"/>
      <c r="AE80" s="54"/>
      <c r="AF80" s="82">
        <f>IF(ISNUMBER($AD80),EDATE($AD80,12)-1,"")</f>
        <v/>
      </c>
      <c r="AG80" s="52"/>
      <c r="AH80" s="82">
        <f>IF(ISNUMBER($AG80),$AG80+27,"")</f>
        <v/>
      </c>
      <c r="AI80" s="54"/>
      <c r="AJ80" s="87">
        <f>IF(AND($A80&lt;&gt;"",ISNUMBER($D80),NOT(ISNUMBER($AD80))),$D80,"")</f>
        <v/>
      </c>
    </row>
    <row r="81" spans="1:36">
      <c r="A81" s="54"/>
      <c r="B81" s="81"/>
      <c r="C81" s="82">
        <f>IF($B81="","",IFERROR(VLOOKUP($B81,$A$112:$C$120,2,FALSE),""))</f>
        <v/>
      </c>
      <c r="D81" s="82">
        <f>IF($B81="","",IFERROR(VLOOKUP($B81,$A$112:$C$120,3,FALSE),""))</f>
        <v/>
      </c>
      <c r="E81" s="83">
        <f>IF(OR($D81="",ISNUMBER($AD81)),"",$D81-TODAY())</f>
        <v/>
      </c>
      <c r="F81" s="83">
        <f>IF($A81="","",COUNTIF($K81:$T81,"Yes")+COUNTIF($K81:$T81,"N/A")+IF(OR($U81="N/A",AND($U81="Yes",ISNUMBER($V81))),1,0)+IF(OR($W81="N/A",AND($W81="Yes",ISNUMBER($X81))),1,0)+COUNTIF($Y81:$AC81,"Yes")+COUNTIF($Y81:$AC81,"N/A"))</f>
        <v/>
      </c>
      <c r="G81" s="83">
        <f>IF($A81="","",17-$F81)</f>
        <v/>
      </c>
      <c r="H81" s="84">
        <f>IF($A81="","",$F81/17)</f>
        <v/>
      </c>
      <c r="I81" s="85">
        <f>IF($A81="","",IF(ISNUMBER($AD81),"Registered",IF($G81=0,"Ready",IF($G81&lt;=3,"Nearly","Not ready"))))</f>
        <v/>
      </c>
      <c r="J81" s="86">
        <f>IF($A81="","",IF(ISNUMBER($AD81),"Registered",IF($D81="","Pick a region",IF(TODAY()&gt;$D81,"OVERDUE: register now",IF(TODAY()&gt;=$C81,"Open: register by "&amp;TEXT($D81,"dd/mm/yyyy"),"Opens "&amp;TEXT($C81,"dd/mm/yyyy"))))))</f>
        <v/>
      </c>
      <c r="K81" s="51"/>
      <c r="L81" s="51"/>
      <c r="M81" s="51"/>
      <c r="N81" s="51"/>
      <c r="O81" s="51"/>
      <c r="P81" s="51"/>
      <c r="Q81" s="51"/>
      <c r="R81" s="51"/>
      <c r="S81" s="51"/>
      <c r="T81" s="51"/>
      <c r="U81" s="51"/>
      <c r="V81" s="52"/>
      <c r="W81" s="51"/>
      <c r="X81" s="52"/>
      <c r="Y81" s="51"/>
      <c r="Z81" s="51"/>
      <c r="AA81" s="51"/>
      <c r="AB81" s="51"/>
      <c r="AC81" s="51"/>
      <c r="AD81" s="52"/>
      <c r="AE81" s="54"/>
      <c r="AF81" s="82">
        <f>IF(ISNUMBER($AD81),EDATE($AD81,12)-1,"")</f>
        <v/>
      </c>
      <c r="AG81" s="52"/>
      <c r="AH81" s="82">
        <f>IF(ISNUMBER($AG81),$AG81+27,"")</f>
        <v/>
      </c>
      <c r="AI81" s="54"/>
      <c r="AJ81" s="87">
        <f>IF(AND($A81&lt;&gt;"",ISNUMBER($D81),NOT(ISNUMBER($AD81))),$D81,"")</f>
        <v/>
      </c>
    </row>
    <row r="82" spans="1:36">
      <c r="A82" s="54"/>
      <c r="B82" s="81"/>
      <c r="C82" s="82">
        <f>IF($B82="","",IFERROR(VLOOKUP($B82,$A$112:$C$120,2,FALSE),""))</f>
        <v/>
      </c>
      <c r="D82" s="82">
        <f>IF($B82="","",IFERROR(VLOOKUP($B82,$A$112:$C$120,3,FALSE),""))</f>
        <v/>
      </c>
      <c r="E82" s="83">
        <f>IF(OR($D82="",ISNUMBER($AD82)),"",$D82-TODAY())</f>
        <v/>
      </c>
      <c r="F82" s="83">
        <f>IF($A82="","",COUNTIF($K82:$T82,"Yes")+COUNTIF($K82:$T82,"N/A")+IF(OR($U82="N/A",AND($U82="Yes",ISNUMBER($V82))),1,0)+IF(OR($W82="N/A",AND($W82="Yes",ISNUMBER($X82))),1,0)+COUNTIF($Y82:$AC82,"Yes")+COUNTIF($Y82:$AC82,"N/A"))</f>
        <v/>
      </c>
      <c r="G82" s="83">
        <f>IF($A82="","",17-$F82)</f>
        <v/>
      </c>
      <c r="H82" s="84">
        <f>IF($A82="","",$F82/17)</f>
        <v/>
      </c>
      <c r="I82" s="85">
        <f>IF($A82="","",IF(ISNUMBER($AD82),"Registered",IF($G82=0,"Ready",IF($G82&lt;=3,"Nearly","Not ready"))))</f>
        <v/>
      </c>
      <c r="J82" s="86">
        <f>IF($A82="","",IF(ISNUMBER($AD82),"Registered",IF($D82="","Pick a region",IF(TODAY()&gt;$D82,"OVERDUE: register now",IF(TODAY()&gt;=$C82,"Open: register by "&amp;TEXT($D82,"dd/mm/yyyy"),"Opens "&amp;TEXT($C82,"dd/mm/yyyy"))))))</f>
        <v/>
      </c>
      <c r="K82" s="51"/>
      <c r="L82" s="51"/>
      <c r="M82" s="51"/>
      <c r="N82" s="51"/>
      <c r="O82" s="51"/>
      <c r="P82" s="51"/>
      <c r="Q82" s="51"/>
      <c r="R82" s="51"/>
      <c r="S82" s="51"/>
      <c r="T82" s="51"/>
      <c r="U82" s="51"/>
      <c r="V82" s="52"/>
      <c r="W82" s="51"/>
      <c r="X82" s="52"/>
      <c r="Y82" s="51"/>
      <c r="Z82" s="51"/>
      <c r="AA82" s="51"/>
      <c r="AB82" s="51"/>
      <c r="AC82" s="51"/>
      <c r="AD82" s="52"/>
      <c r="AE82" s="54"/>
      <c r="AF82" s="82">
        <f>IF(ISNUMBER($AD82),EDATE($AD82,12)-1,"")</f>
        <v/>
      </c>
      <c r="AG82" s="52"/>
      <c r="AH82" s="82">
        <f>IF(ISNUMBER($AG82),$AG82+27,"")</f>
        <v/>
      </c>
      <c r="AI82" s="54"/>
      <c r="AJ82" s="87">
        <f>IF(AND($A82&lt;&gt;"",ISNUMBER($D82),NOT(ISNUMBER($AD82))),$D82,"")</f>
        <v/>
      </c>
    </row>
    <row r="83" spans="1:36">
      <c r="A83" s="54"/>
      <c r="B83" s="81"/>
      <c r="C83" s="82">
        <f>IF($B83="","",IFERROR(VLOOKUP($B83,$A$112:$C$120,2,FALSE),""))</f>
        <v/>
      </c>
      <c r="D83" s="82">
        <f>IF($B83="","",IFERROR(VLOOKUP($B83,$A$112:$C$120,3,FALSE),""))</f>
        <v/>
      </c>
      <c r="E83" s="83">
        <f>IF(OR($D83="",ISNUMBER($AD83)),"",$D83-TODAY())</f>
        <v/>
      </c>
      <c r="F83" s="83">
        <f>IF($A83="","",COUNTIF($K83:$T83,"Yes")+COUNTIF($K83:$T83,"N/A")+IF(OR($U83="N/A",AND($U83="Yes",ISNUMBER($V83))),1,0)+IF(OR($W83="N/A",AND($W83="Yes",ISNUMBER($X83))),1,0)+COUNTIF($Y83:$AC83,"Yes")+COUNTIF($Y83:$AC83,"N/A"))</f>
        <v/>
      </c>
      <c r="G83" s="83">
        <f>IF($A83="","",17-$F83)</f>
        <v/>
      </c>
      <c r="H83" s="84">
        <f>IF($A83="","",$F83/17)</f>
        <v/>
      </c>
      <c r="I83" s="85">
        <f>IF($A83="","",IF(ISNUMBER($AD83),"Registered",IF($G83=0,"Ready",IF($G83&lt;=3,"Nearly","Not ready"))))</f>
        <v/>
      </c>
      <c r="J83" s="86">
        <f>IF($A83="","",IF(ISNUMBER($AD83),"Registered",IF($D83="","Pick a region",IF(TODAY()&gt;$D83,"OVERDUE: register now",IF(TODAY()&gt;=$C83,"Open: register by "&amp;TEXT($D83,"dd/mm/yyyy"),"Opens "&amp;TEXT($C83,"dd/mm/yyyy"))))))</f>
        <v/>
      </c>
      <c r="K83" s="51"/>
      <c r="L83" s="51"/>
      <c r="M83" s="51"/>
      <c r="N83" s="51"/>
      <c r="O83" s="51"/>
      <c r="P83" s="51"/>
      <c r="Q83" s="51"/>
      <c r="R83" s="51"/>
      <c r="S83" s="51"/>
      <c r="T83" s="51"/>
      <c r="U83" s="51"/>
      <c r="V83" s="52"/>
      <c r="W83" s="51"/>
      <c r="X83" s="52"/>
      <c r="Y83" s="51"/>
      <c r="Z83" s="51"/>
      <c r="AA83" s="51"/>
      <c r="AB83" s="51"/>
      <c r="AC83" s="51"/>
      <c r="AD83" s="52"/>
      <c r="AE83" s="54"/>
      <c r="AF83" s="82">
        <f>IF(ISNUMBER($AD83),EDATE($AD83,12)-1,"")</f>
        <v/>
      </c>
      <c r="AG83" s="52"/>
      <c r="AH83" s="82">
        <f>IF(ISNUMBER($AG83),$AG83+27,"")</f>
        <v/>
      </c>
      <c r="AI83" s="54"/>
      <c r="AJ83" s="87">
        <f>IF(AND($A83&lt;&gt;"",ISNUMBER($D83),NOT(ISNUMBER($AD83))),$D83,"")</f>
        <v/>
      </c>
    </row>
    <row r="84" spans="1:36">
      <c r="A84" s="54"/>
      <c r="B84" s="81"/>
      <c r="C84" s="82">
        <f>IF($B84="","",IFERROR(VLOOKUP($B84,$A$112:$C$120,2,FALSE),""))</f>
        <v/>
      </c>
      <c r="D84" s="82">
        <f>IF($B84="","",IFERROR(VLOOKUP($B84,$A$112:$C$120,3,FALSE),""))</f>
        <v/>
      </c>
      <c r="E84" s="83">
        <f>IF(OR($D84="",ISNUMBER($AD84)),"",$D84-TODAY())</f>
        <v/>
      </c>
      <c r="F84" s="83">
        <f>IF($A84="","",COUNTIF($K84:$T84,"Yes")+COUNTIF($K84:$T84,"N/A")+IF(OR($U84="N/A",AND($U84="Yes",ISNUMBER($V84))),1,0)+IF(OR($W84="N/A",AND($W84="Yes",ISNUMBER($X84))),1,0)+COUNTIF($Y84:$AC84,"Yes")+COUNTIF($Y84:$AC84,"N/A"))</f>
        <v/>
      </c>
      <c r="G84" s="83">
        <f>IF($A84="","",17-$F84)</f>
        <v/>
      </c>
      <c r="H84" s="84">
        <f>IF($A84="","",$F84/17)</f>
        <v/>
      </c>
      <c r="I84" s="85">
        <f>IF($A84="","",IF(ISNUMBER($AD84),"Registered",IF($G84=0,"Ready",IF($G84&lt;=3,"Nearly","Not ready"))))</f>
        <v/>
      </c>
      <c r="J84" s="86">
        <f>IF($A84="","",IF(ISNUMBER($AD84),"Registered",IF($D84="","Pick a region",IF(TODAY()&gt;$D84,"OVERDUE: register now",IF(TODAY()&gt;=$C84,"Open: register by "&amp;TEXT($D84,"dd/mm/yyyy"),"Opens "&amp;TEXT($C84,"dd/mm/yyyy"))))))</f>
        <v/>
      </c>
      <c r="K84" s="51"/>
      <c r="L84" s="51"/>
      <c r="M84" s="51"/>
      <c r="N84" s="51"/>
      <c r="O84" s="51"/>
      <c r="P84" s="51"/>
      <c r="Q84" s="51"/>
      <c r="R84" s="51"/>
      <c r="S84" s="51"/>
      <c r="T84" s="51"/>
      <c r="U84" s="51"/>
      <c r="V84" s="52"/>
      <c r="W84" s="51"/>
      <c r="X84" s="52"/>
      <c r="Y84" s="51"/>
      <c r="Z84" s="51"/>
      <c r="AA84" s="51"/>
      <c r="AB84" s="51"/>
      <c r="AC84" s="51"/>
      <c r="AD84" s="52"/>
      <c r="AE84" s="54"/>
      <c r="AF84" s="82">
        <f>IF(ISNUMBER($AD84),EDATE($AD84,12)-1,"")</f>
        <v/>
      </c>
      <c r="AG84" s="52"/>
      <c r="AH84" s="82">
        <f>IF(ISNUMBER($AG84),$AG84+27,"")</f>
        <v/>
      </c>
      <c r="AI84" s="54"/>
      <c r="AJ84" s="87">
        <f>IF(AND($A84&lt;&gt;"",ISNUMBER($D84),NOT(ISNUMBER($AD84))),$D84,"")</f>
        <v/>
      </c>
    </row>
    <row r="85" spans="1:36">
      <c r="A85" s="54"/>
      <c r="B85" s="81"/>
      <c r="C85" s="82">
        <f>IF($B85="","",IFERROR(VLOOKUP($B85,$A$112:$C$120,2,FALSE),""))</f>
        <v/>
      </c>
      <c r="D85" s="82">
        <f>IF($B85="","",IFERROR(VLOOKUP($B85,$A$112:$C$120,3,FALSE),""))</f>
        <v/>
      </c>
      <c r="E85" s="83">
        <f>IF(OR($D85="",ISNUMBER($AD85)),"",$D85-TODAY())</f>
        <v/>
      </c>
      <c r="F85" s="83">
        <f>IF($A85="","",COUNTIF($K85:$T85,"Yes")+COUNTIF($K85:$T85,"N/A")+IF(OR($U85="N/A",AND($U85="Yes",ISNUMBER($V85))),1,0)+IF(OR($W85="N/A",AND($W85="Yes",ISNUMBER($X85))),1,0)+COUNTIF($Y85:$AC85,"Yes")+COUNTIF($Y85:$AC85,"N/A"))</f>
        <v/>
      </c>
      <c r="G85" s="83">
        <f>IF($A85="","",17-$F85)</f>
        <v/>
      </c>
      <c r="H85" s="84">
        <f>IF($A85="","",$F85/17)</f>
        <v/>
      </c>
      <c r="I85" s="85">
        <f>IF($A85="","",IF(ISNUMBER($AD85),"Registered",IF($G85=0,"Ready",IF($G85&lt;=3,"Nearly","Not ready"))))</f>
        <v/>
      </c>
      <c r="J85" s="86">
        <f>IF($A85="","",IF(ISNUMBER($AD85),"Registered",IF($D85="","Pick a region",IF(TODAY()&gt;$D85,"OVERDUE: register now",IF(TODAY()&gt;=$C85,"Open: register by "&amp;TEXT($D85,"dd/mm/yyyy"),"Opens "&amp;TEXT($C85,"dd/mm/yyyy"))))))</f>
        <v/>
      </c>
      <c r="K85" s="51"/>
      <c r="L85" s="51"/>
      <c r="M85" s="51"/>
      <c r="N85" s="51"/>
      <c r="O85" s="51"/>
      <c r="P85" s="51"/>
      <c r="Q85" s="51"/>
      <c r="R85" s="51"/>
      <c r="S85" s="51"/>
      <c r="T85" s="51"/>
      <c r="U85" s="51"/>
      <c r="V85" s="52"/>
      <c r="W85" s="51"/>
      <c r="X85" s="52"/>
      <c r="Y85" s="51"/>
      <c r="Z85" s="51"/>
      <c r="AA85" s="51"/>
      <c r="AB85" s="51"/>
      <c r="AC85" s="51"/>
      <c r="AD85" s="52"/>
      <c r="AE85" s="54"/>
      <c r="AF85" s="82">
        <f>IF(ISNUMBER($AD85),EDATE($AD85,12)-1,"")</f>
        <v/>
      </c>
      <c r="AG85" s="52"/>
      <c r="AH85" s="82">
        <f>IF(ISNUMBER($AG85),$AG85+27,"")</f>
        <v/>
      </c>
      <c r="AI85" s="54"/>
      <c r="AJ85" s="87">
        <f>IF(AND($A85&lt;&gt;"",ISNUMBER($D85),NOT(ISNUMBER($AD85))),$D85,"")</f>
        <v/>
      </c>
    </row>
    <row r="86" spans="1:36">
      <c r="A86" s="54"/>
      <c r="B86" s="81"/>
      <c r="C86" s="82">
        <f>IF($B86="","",IFERROR(VLOOKUP($B86,$A$112:$C$120,2,FALSE),""))</f>
        <v/>
      </c>
      <c r="D86" s="82">
        <f>IF($B86="","",IFERROR(VLOOKUP($B86,$A$112:$C$120,3,FALSE),""))</f>
        <v/>
      </c>
      <c r="E86" s="83">
        <f>IF(OR($D86="",ISNUMBER($AD86)),"",$D86-TODAY())</f>
        <v/>
      </c>
      <c r="F86" s="83">
        <f>IF($A86="","",COUNTIF($K86:$T86,"Yes")+COUNTIF($K86:$T86,"N/A")+IF(OR($U86="N/A",AND($U86="Yes",ISNUMBER($V86))),1,0)+IF(OR($W86="N/A",AND($W86="Yes",ISNUMBER($X86))),1,0)+COUNTIF($Y86:$AC86,"Yes")+COUNTIF($Y86:$AC86,"N/A"))</f>
        <v/>
      </c>
      <c r="G86" s="83">
        <f>IF($A86="","",17-$F86)</f>
        <v/>
      </c>
      <c r="H86" s="84">
        <f>IF($A86="","",$F86/17)</f>
        <v/>
      </c>
      <c r="I86" s="85">
        <f>IF($A86="","",IF(ISNUMBER($AD86),"Registered",IF($G86=0,"Ready",IF($G86&lt;=3,"Nearly","Not ready"))))</f>
        <v/>
      </c>
      <c r="J86" s="86">
        <f>IF($A86="","",IF(ISNUMBER($AD86),"Registered",IF($D86="","Pick a region",IF(TODAY()&gt;$D86,"OVERDUE: register now",IF(TODAY()&gt;=$C86,"Open: register by "&amp;TEXT($D86,"dd/mm/yyyy"),"Opens "&amp;TEXT($C86,"dd/mm/yyyy"))))))</f>
        <v/>
      </c>
      <c r="K86" s="51"/>
      <c r="L86" s="51"/>
      <c r="M86" s="51"/>
      <c r="N86" s="51"/>
      <c r="O86" s="51"/>
      <c r="P86" s="51"/>
      <c r="Q86" s="51"/>
      <c r="R86" s="51"/>
      <c r="S86" s="51"/>
      <c r="T86" s="51"/>
      <c r="U86" s="51"/>
      <c r="V86" s="52"/>
      <c r="W86" s="51"/>
      <c r="X86" s="52"/>
      <c r="Y86" s="51"/>
      <c r="Z86" s="51"/>
      <c r="AA86" s="51"/>
      <c r="AB86" s="51"/>
      <c r="AC86" s="51"/>
      <c r="AD86" s="52"/>
      <c r="AE86" s="54"/>
      <c r="AF86" s="82">
        <f>IF(ISNUMBER($AD86),EDATE($AD86,12)-1,"")</f>
        <v/>
      </c>
      <c r="AG86" s="52"/>
      <c r="AH86" s="82">
        <f>IF(ISNUMBER($AG86),$AG86+27,"")</f>
        <v/>
      </c>
      <c r="AI86" s="54"/>
      <c r="AJ86" s="87">
        <f>IF(AND($A86&lt;&gt;"",ISNUMBER($D86),NOT(ISNUMBER($AD86))),$D86,"")</f>
        <v/>
      </c>
    </row>
    <row r="87" spans="1:36">
      <c r="A87" s="54"/>
      <c r="B87" s="81"/>
      <c r="C87" s="82">
        <f>IF($B87="","",IFERROR(VLOOKUP($B87,$A$112:$C$120,2,FALSE),""))</f>
        <v/>
      </c>
      <c r="D87" s="82">
        <f>IF($B87="","",IFERROR(VLOOKUP($B87,$A$112:$C$120,3,FALSE),""))</f>
        <v/>
      </c>
      <c r="E87" s="83">
        <f>IF(OR($D87="",ISNUMBER($AD87)),"",$D87-TODAY())</f>
        <v/>
      </c>
      <c r="F87" s="83">
        <f>IF($A87="","",COUNTIF($K87:$T87,"Yes")+COUNTIF($K87:$T87,"N/A")+IF(OR($U87="N/A",AND($U87="Yes",ISNUMBER($V87))),1,0)+IF(OR($W87="N/A",AND($W87="Yes",ISNUMBER($X87))),1,0)+COUNTIF($Y87:$AC87,"Yes")+COUNTIF($Y87:$AC87,"N/A"))</f>
        <v/>
      </c>
      <c r="G87" s="83">
        <f>IF($A87="","",17-$F87)</f>
        <v/>
      </c>
      <c r="H87" s="84">
        <f>IF($A87="","",$F87/17)</f>
        <v/>
      </c>
      <c r="I87" s="85">
        <f>IF($A87="","",IF(ISNUMBER($AD87),"Registered",IF($G87=0,"Ready",IF($G87&lt;=3,"Nearly","Not ready"))))</f>
        <v/>
      </c>
      <c r="J87" s="86">
        <f>IF($A87="","",IF(ISNUMBER($AD87),"Registered",IF($D87="","Pick a region",IF(TODAY()&gt;$D87,"OVERDUE: register now",IF(TODAY()&gt;=$C87,"Open: register by "&amp;TEXT($D87,"dd/mm/yyyy"),"Opens "&amp;TEXT($C87,"dd/mm/yyyy"))))))</f>
        <v/>
      </c>
      <c r="K87" s="51"/>
      <c r="L87" s="51"/>
      <c r="M87" s="51"/>
      <c r="N87" s="51"/>
      <c r="O87" s="51"/>
      <c r="P87" s="51"/>
      <c r="Q87" s="51"/>
      <c r="R87" s="51"/>
      <c r="S87" s="51"/>
      <c r="T87" s="51"/>
      <c r="U87" s="51"/>
      <c r="V87" s="52"/>
      <c r="W87" s="51"/>
      <c r="X87" s="52"/>
      <c r="Y87" s="51"/>
      <c r="Z87" s="51"/>
      <c r="AA87" s="51"/>
      <c r="AB87" s="51"/>
      <c r="AC87" s="51"/>
      <c r="AD87" s="52"/>
      <c r="AE87" s="54"/>
      <c r="AF87" s="82">
        <f>IF(ISNUMBER($AD87),EDATE($AD87,12)-1,"")</f>
        <v/>
      </c>
      <c r="AG87" s="52"/>
      <c r="AH87" s="82">
        <f>IF(ISNUMBER($AG87),$AG87+27,"")</f>
        <v/>
      </c>
      <c r="AI87" s="54"/>
      <c r="AJ87" s="87">
        <f>IF(AND($A87&lt;&gt;"",ISNUMBER($D87),NOT(ISNUMBER($AD87))),$D87,"")</f>
        <v/>
      </c>
    </row>
    <row r="88" spans="1:36">
      <c r="A88" s="54"/>
      <c r="B88" s="81"/>
      <c r="C88" s="82">
        <f>IF($B88="","",IFERROR(VLOOKUP($B88,$A$112:$C$120,2,FALSE),""))</f>
        <v/>
      </c>
      <c r="D88" s="82">
        <f>IF($B88="","",IFERROR(VLOOKUP($B88,$A$112:$C$120,3,FALSE),""))</f>
        <v/>
      </c>
      <c r="E88" s="83">
        <f>IF(OR($D88="",ISNUMBER($AD88)),"",$D88-TODAY())</f>
        <v/>
      </c>
      <c r="F88" s="83">
        <f>IF($A88="","",COUNTIF($K88:$T88,"Yes")+COUNTIF($K88:$T88,"N/A")+IF(OR($U88="N/A",AND($U88="Yes",ISNUMBER($V88))),1,0)+IF(OR($W88="N/A",AND($W88="Yes",ISNUMBER($X88))),1,0)+COUNTIF($Y88:$AC88,"Yes")+COUNTIF($Y88:$AC88,"N/A"))</f>
        <v/>
      </c>
      <c r="G88" s="83">
        <f>IF($A88="","",17-$F88)</f>
        <v/>
      </c>
      <c r="H88" s="84">
        <f>IF($A88="","",$F88/17)</f>
        <v/>
      </c>
      <c r="I88" s="85">
        <f>IF($A88="","",IF(ISNUMBER($AD88),"Registered",IF($G88=0,"Ready",IF($G88&lt;=3,"Nearly","Not ready"))))</f>
        <v/>
      </c>
      <c r="J88" s="86">
        <f>IF($A88="","",IF(ISNUMBER($AD88),"Registered",IF($D88="","Pick a region",IF(TODAY()&gt;$D88,"OVERDUE: register now",IF(TODAY()&gt;=$C88,"Open: register by "&amp;TEXT($D88,"dd/mm/yyyy"),"Opens "&amp;TEXT($C88,"dd/mm/yyyy"))))))</f>
        <v/>
      </c>
      <c r="K88" s="51"/>
      <c r="L88" s="51"/>
      <c r="M88" s="51"/>
      <c r="N88" s="51"/>
      <c r="O88" s="51"/>
      <c r="P88" s="51"/>
      <c r="Q88" s="51"/>
      <c r="R88" s="51"/>
      <c r="S88" s="51"/>
      <c r="T88" s="51"/>
      <c r="U88" s="51"/>
      <c r="V88" s="52"/>
      <c r="W88" s="51"/>
      <c r="X88" s="52"/>
      <c r="Y88" s="51"/>
      <c r="Z88" s="51"/>
      <c r="AA88" s="51"/>
      <c r="AB88" s="51"/>
      <c r="AC88" s="51"/>
      <c r="AD88" s="52"/>
      <c r="AE88" s="54"/>
      <c r="AF88" s="82">
        <f>IF(ISNUMBER($AD88),EDATE($AD88,12)-1,"")</f>
        <v/>
      </c>
      <c r="AG88" s="52"/>
      <c r="AH88" s="82">
        <f>IF(ISNUMBER($AG88),$AG88+27,"")</f>
        <v/>
      </c>
      <c r="AI88" s="54"/>
      <c r="AJ88" s="87">
        <f>IF(AND($A88&lt;&gt;"",ISNUMBER($D88),NOT(ISNUMBER($AD88))),$D88,"")</f>
        <v/>
      </c>
    </row>
    <row r="89" spans="1:36">
      <c r="A89" s="54"/>
      <c r="B89" s="81"/>
      <c r="C89" s="82">
        <f>IF($B89="","",IFERROR(VLOOKUP($B89,$A$112:$C$120,2,FALSE),""))</f>
        <v/>
      </c>
      <c r="D89" s="82">
        <f>IF($B89="","",IFERROR(VLOOKUP($B89,$A$112:$C$120,3,FALSE),""))</f>
        <v/>
      </c>
      <c r="E89" s="83">
        <f>IF(OR($D89="",ISNUMBER($AD89)),"",$D89-TODAY())</f>
        <v/>
      </c>
      <c r="F89" s="83">
        <f>IF($A89="","",COUNTIF($K89:$T89,"Yes")+COUNTIF($K89:$T89,"N/A")+IF(OR($U89="N/A",AND($U89="Yes",ISNUMBER($V89))),1,0)+IF(OR($W89="N/A",AND($W89="Yes",ISNUMBER($X89))),1,0)+COUNTIF($Y89:$AC89,"Yes")+COUNTIF($Y89:$AC89,"N/A"))</f>
        <v/>
      </c>
      <c r="G89" s="83">
        <f>IF($A89="","",17-$F89)</f>
        <v/>
      </c>
      <c r="H89" s="84">
        <f>IF($A89="","",$F89/17)</f>
        <v/>
      </c>
      <c r="I89" s="85">
        <f>IF($A89="","",IF(ISNUMBER($AD89),"Registered",IF($G89=0,"Ready",IF($G89&lt;=3,"Nearly","Not ready"))))</f>
        <v/>
      </c>
      <c r="J89" s="86">
        <f>IF($A89="","",IF(ISNUMBER($AD89),"Registered",IF($D89="","Pick a region",IF(TODAY()&gt;$D89,"OVERDUE: register now",IF(TODAY()&gt;=$C89,"Open: register by "&amp;TEXT($D89,"dd/mm/yyyy"),"Opens "&amp;TEXT($C89,"dd/mm/yyyy"))))))</f>
        <v/>
      </c>
      <c r="K89" s="51"/>
      <c r="L89" s="51"/>
      <c r="M89" s="51"/>
      <c r="N89" s="51"/>
      <c r="O89" s="51"/>
      <c r="P89" s="51"/>
      <c r="Q89" s="51"/>
      <c r="R89" s="51"/>
      <c r="S89" s="51"/>
      <c r="T89" s="51"/>
      <c r="U89" s="51"/>
      <c r="V89" s="52"/>
      <c r="W89" s="51"/>
      <c r="X89" s="52"/>
      <c r="Y89" s="51"/>
      <c r="Z89" s="51"/>
      <c r="AA89" s="51"/>
      <c r="AB89" s="51"/>
      <c r="AC89" s="51"/>
      <c r="AD89" s="52"/>
      <c r="AE89" s="54"/>
      <c r="AF89" s="82">
        <f>IF(ISNUMBER($AD89),EDATE($AD89,12)-1,"")</f>
        <v/>
      </c>
      <c r="AG89" s="52"/>
      <c r="AH89" s="82">
        <f>IF(ISNUMBER($AG89),$AG89+27,"")</f>
        <v/>
      </c>
      <c r="AI89" s="54"/>
      <c r="AJ89" s="87">
        <f>IF(AND($A89&lt;&gt;"",ISNUMBER($D89),NOT(ISNUMBER($AD89))),$D89,"")</f>
        <v/>
      </c>
    </row>
    <row r="90" spans="1:36">
      <c r="A90" s="54"/>
      <c r="B90" s="81"/>
      <c r="C90" s="82">
        <f>IF($B90="","",IFERROR(VLOOKUP($B90,$A$112:$C$120,2,FALSE),""))</f>
        <v/>
      </c>
      <c r="D90" s="82">
        <f>IF($B90="","",IFERROR(VLOOKUP($B90,$A$112:$C$120,3,FALSE),""))</f>
        <v/>
      </c>
      <c r="E90" s="83">
        <f>IF(OR($D90="",ISNUMBER($AD90)),"",$D90-TODAY())</f>
        <v/>
      </c>
      <c r="F90" s="83">
        <f>IF($A90="","",COUNTIF($K90:$T90,"Yes")+COUNTIF($K90:$T90,"N/A")+IF(OR($U90="N/A",AND($U90="Yes",ISNUMBER($V90))),1,0)+IF(OR($W90="N/A",AND($W90="Yes",ISNUMBER($X90))),1,0)+COUNTIF($Y90:$AC90,"Yes")+COUNTIF($Y90:$AC90,"N/A"))</f>
        <v/>
      </c>
      <c r="G90" s="83">
        <f>IF($A90="","",17-$F90)</f>
        <v/>
      </c>
      <c r="H90" s="84">
        <f>IF($A90="","",$F90/17)</f>
        <v/>
      </c>
      <c r="I90" s="85">
        <f>IF($A90="","",IF(ISNUMBER($AD90),"Registered",IF($G90=0,"Ready",IF($G90&lt;=3,"Nearly","Not ready"))))</f>
        <v/>
      </c>
      <c r="J90" s="86">
        <f>IF($A90="","",IF(ISNUMBER($AD90),"Registered",IF($D90="","Pick a region",IF(TODAY()&gt;$D90,"OVERDUE: register now",IF(TODAY()&gt;=$C90,"Open: register by "&amp;TEXT($D90,"dd/mm/yyyy"),"Opens "&amp;TEXT($C90,"dd/mm/yyyy"))))))</f>
        <v/>
      </c>
      <c r="K90" s="51"/>
      <c r="L90" s="51"/>
      <c r="M90" s="51"/>
      <c r="N90" s="51"/>
      <c r="O90" s="51"/>
      <c r="P90" s="51"/>
      <c r="Q90" s="51"/>
      <c r="R90" s="51"/>
      <c r="S90" s="51"/>
      <c r="T90" s="51"/>
      <c r="U90" s="51"/>
      <c r="V90" s="52"/>
      <c r="W90" s="51"/>
      <c r="X90" s="52"/>
      <c r="Y90" s="51"/>
      <c r="Z90" s="51"/>
      <c r="AA90" s="51"/>
      <c r="AB90" s="51"/>
      <c r="AC90" s="51"/>
      <c r="AD90" s="52"/>
      <c r="AE90" s="54"/>
      <c r="AF90" s="82">
        <f>IF(ISNUMBER($AD90),EDATE($AD90,12)-1,"")</f>
        <v/>
      </c>
      <c r="AG90" s="52"/>
      <c r="AH90" s="82">
        <f>IF(ISNUMBER($AG90),$AG90+27,"")</f>
        <v/>
      </c>
      <c r="AI90" s="54"/>
      <c r="AJ90" s="87">
        <f>IF(AND($A90&lt;&gt;"",ISNUMBER($D90),NOT(ISNUMBER($AD90))),$D90,"")</f>
        <v/>
      </c>
    </row>
    <row r="91" spans="1:36">
      <c r="A91" s="54"/>
      <c r="B91" s="81"/>
      <c r="C91" s="82">
        <f>IF($B91="","",IFERROR(VLOOKUP($B91,$A$112:$C$120,2,FALSE),""))</f>
        <v/>
      </c>
      <c r="D91" s="82">
        <f>IF($B91="","",IFERROR(VLOOKUP($B91,$A$112:$C$120,3,FALSE),""))</f>
        <v/>
      </c>
      <c r="E91" s="83">
        <f>IF(OR($D91="",ISNUMBER($AD91)),"",$D91-TODAY())</f>
        <v/>
      </c>
      <c r="F91" s="83">
        <f>IF($A91="","",COUNTIF($K91:$T91,"Yes")+COUNTIF($K91:$T91,"N/A")+IF(OR($U91="N/A",AND($U91="Yes",ISNUMBER($V91))),1,0)+IF(OR($W91="N/A",AND($W91="Yes",ISNUMBER($X91))),1,0)+COUNTIF($Y91:$AC91,"Yes")+COUNTIF($Y91:$AC91,"N/A"))</f>
        <v/>
      </c>
      <c r="G91" s="83">
        <f>IF($A91="","",17-$F91)</f>
        <v/>
      </c>
      <c r="H91" s="84">
        <f>IF($A91="","",$F91/17)</f>
        <v/>
      </c>
      <c r="I91" s="85">
        <f>IF($A91="","",IF(ISNUMBER($AD91),"Registered",IF($G91=0,"Ready",IF($G91&lt;=3,"Nearly","Not ready"))))</f>
        <v/>
      </c>
      <c r="J91" s="86">
        <f>IF($A91="","",IF(ISNUMBER($AD91),"Registered",IF($D91="","Pick a region",IF(TODAY()&gt;$D91,"OVERDUE: register now",IF(TODAY()&gt;=$C91,"Open: register by "&amp;TEXT($D91,"dd/mm/yyyy"),"Opens "&amp;TEXT($C91,"dd/mm/yyyy"))))))</f>
        <v/>
      </c>
      <c r="K91" s="51"/>
      <c r="L91" s="51"/>
      <c r="M91" s="51"/>
      <c r="N91" s="51"/>
      <c r="O91" s="51"/>
      <c r="P91" s="51"/>
      <c r="Q91" s="51"/>
      <c r="R91" s="51"/>
      <c r="S91" s="51"/>
      <c r="T91" s="51"/>
      <c r="U91" s="51"/>
      <c r="V91" s="52"/>
      <c r="W91" s="51"/>
      <c r="X91" s="52"/>
      <c r="Y91" s="51"/>
      <c r="Z91" s="51"/>
      <c r="AA91" s="51"/>
      <c r="AB91" s="51"/>
      <c r="AC91" s="51"/>
      <c r="AD91" s="52"/>
      <c r="AE91" s="54"/>
      <c r="AF91" s="82">
        <f>IF(ISNUMBER($AD91),EDATE($AD91,12)-1,"")</f>
        <v/>
      </c>
      <c r="AG91" s="52"/>
      <c r="AH91" s="82">
        <f>IF(ISNUMBER($AG91),$AG91+27,"")</f>
        <v/>
      </c>
      <c r="AI91" s="54"/>
      <c r="AJ91" s="87">
        <f>IF(AND($A91&lt;&gt;"",ISNUMBER($D91),NOT(ISNUMBER($AD91))),$D91,"")</f>
        <v/>
      </c>
    </row>
    <row r="92" spans="1:36">
      <c r="A92" s="54"/>
      <c r="B92" s="81"/>
      <c r="C92" s="82">
        <f>IF($B92="","",IFERROR(VLOOKUP($B92,$A$112:$C$120,2,FALSE),""))</f>
        <v/>
      </c>
      <c r="D92" s="82">
        <f>IF($B92="","",IFERROR(VLOOKUP($B92,$A$112:$C$120,3,FALSE),""))</f>
        <v/>
      </c>
      <c r="E92" s="83">
        <f>IF(OR($D92="",ISNUMBER($AD92)),"",$D92-TODAY())</f>
        <v/>
      </c>
      <c r="F92" s="83">
        <f>IF($A92="","",COUNTIF($K92:$T92,"Yes")+COUNTIF($K92:$T92,"N/A")+IF(OR($U92="N/A",AND($U92="Yes",ISNUMBER($V92))),1,0)+IF(OR($W92="N/A",AND($W92="Yes",ISNUMBER($X92))),1,0)+COUNTIF($Y92:$AC92,"Yes")+COUNTIF($Y92:$AC92,"N/A"))</f>
        <v/>
      </c>
      <c r="G92" s="83">
        <f>IF($A92="","",17-$F92)</f>
        <v/>
      </c>
      <c r="H92" s="84">
        <f>IF($A92="","",$F92/17)</f>
        <v/>
      </c>
      <c r="I92" s="85">
        <f>IF($A92="","",IF(ISNUMBER($AD92),"Registered",IF($G92=0,"Ready",IF($G92&lt;=3,"Nearly","Not ready"))))</f>
        <v/>
      </c>
      <c r="J92" s="86">
        <f>IF($A92="","",IF(ISNUMBER($AD92),"Registered",IF($D92="","Pick a region",IF(TODAY()&gt;$D92,"OVERDUE: register now",IF(TODAY()&gt;=$C92,"Open: register by "&amp;TEXT($D92,"dd/mm/yyyy"),"Opens "&amp;TEXT($C92,"dd/mm/yyyy"))))))</f>
        <v/>
      </c>
      <c r="K92" s="51"/>
      <c r="L92" s="51"/>
      <c r="M92" s="51"/>
      <c r="N92" s="51"/>
      <c r="O92" s="51"/>
      <c r="P92" s="51"/>
      <c r="Q92" s="51"/>
      <c r="R92" s="51"/>
      <c r="S92" s="51"/>
      <c r="T92" s="51"/>
      <c r="U92" s="51"/>
      <c r="V92" s="52"/>
      <c r="W92" s="51"/>
      <c r="X92" s="52"/>
      <c r="Y92" s="51"/>
      <c r="Z92" s="51"/>
      <c r="AA92" s="51"/>
      <c r="AB92" s="51"/>
      <c r="AC92" s="51"/>
      <c r="AD92" s="52"/>
      <c r="AE92" s="54"/>
      <c r="AF92" s="82">
        <f>IF(ISNUMBER($AD92),EDATE($AD92,12)-1,"")</f>
        <v/>
      </c>
      <c r="AG92" s="52"/>
      <c r="AH92" s="82">
        <f>IF(ISNUMBER($AG92),$AG92+27,"")</f>
        <v/>
      </c>
      <c r="AI92" s="54"/>
      <c r="AJ92" s="87">
        <f>IF(AND($A92&lt;&gt;"",ISNUMBER($D92),NOT(ISNUMBER($AD92))),$D92,"")</f>
        <v/>
      </c>
    </row>
    <row r="93" spans="1:36">
      <c r="A93" s="54"/>
      <c r="B93" s="81"/>
      <c r="C93" s="82">
        <f>IF($B93="","",IFERROR(VLOOKUP($B93,$A$112:$C$120,2,FALSE),""))</f>
        <v/>
      </c>
      <c r="D93" s="82">
        <f>IF($B93="","",IFERROR(VLOOKUP($B93,$A$112:$C$120,3,FALSE),""))</f>
        <v/>
      </c>
      <c r="E93" s="83">
        <f>IF(OR($D93="",ISNUMBER($AD93)),"",$D93-TODAY())</f>
        <v/>
      </c>
      <c r="F93" s="83">
        <f>IF($A93="","",COUNTIF($K93:$T93,"Yes")+COUNTIF($K93:$T93,"N/A")+IF(OR($U93="N/A",AND($U93="Yes",ISNUMBER($V93))),1,0)+IF(OR($W93="N/A",AND($W93="Yes",ISNUMBER($X93))),1,0)+COUNTIF($Y93:$AC93,"Yes")+COUNTIF($Y93:$AC93,"N/A"))</f>
        <v/>
      </c>
      <c r="G93" s="83">
        <f>IF($A93="","",17-$F93)</f>
        <v/>
      </c>
      <c r="H93" s="84">
        <f>IF($A93="","",$F93/17)</f>
        <v/>
      </c>
      <c r="I93" s="85">
        <f>IF($A93="","",IF(ISNUMBER($AD93),"Registered",IF($G93=0,"Ready",IF($G93&lt;=3,"Nearly","Not ready"))))</f>
        <v/>
      </c>
      <c r="J93" s="86">
        <f>IF($A93="","",IF(ISNUMBER($AD93),"Registered",IF($D93="","Pick a region",IF(TODAY()&gt;$D93,"OVERDUE: register now",IF(TODAY()&gt;=$C93,"Open: register by "&amp;TEXT($D93,"dd/mm/yyyy"),"Opens "&amp;TEXT($C93,"dd/mm/yyyy"))))))</f>
        <v/>
      </c>
      <c r="K93" s="51"/>
      <c r="L93" s="51"/>
      <c r="M93" s="51"/>
      <c r="N93" s="51"/>
      <c r="O93" s="51"/>
      <c r="P93" s="51"/>
      <c r="Q93" s="51"/>
      <c r="R93" s="51"/>
      <c r="S93" s="51"/>
      <c r="T93" s="51"/>
      <c r="U93" s="51"/>
      <c r="V93" s="52"/>
      <c r="W93" s="51"/>
      <c r="X93" s="52"/>
      <c r="Y93" s="51"/>
      <c r="Z93" s="51"/>
      <c r="AA93" s="51"/>
      <c r="AB93" s="51"/>
      <c r="AC93" s="51"/>
      <c r="AD93" s="52"/>
      <c r="AE93" s="54"/>
      <c r="AF93" s="82">
        <f>IF(ISNUMBER($AD93),EDATE($AD93,12)-1,"")</f>
        <v/>
      </c>
      <c r="AG93" s="52"/>
      <c r="AH93" s="82">
        <f>IF(ISNUMBER($AG93),$AG93+27,"")</f>
        <v/>
      </c>
      <c r="AI93" s="54"/>
      <c r="AJ93" s="87">
        <f>IF(AND($A93&lt;&gt;"",ISNUMBER($D93),NOT(ISNUMBER($AD93))),$D93,"")</f>
        <v/>
      </c>
    </row>
    <row r="94" spans="1:36">
      <c r="A94" s="54"/>
      <c r="B94" s="81"/>
      <c r="C94" s="82">
        <f>IF($B94="","",IFERROR(VLOOKUP($B94,$A$112:$C$120,2,FALSE),""))</f>
        <v/>
      </c>
      <c r="D94" s="82">
        <f>IF($B94="","",IFERROR(VLOOKUP($B94,$A$112:$C$120,3,FALSE),""))</f>
        <v/>
      </c>
      <c r="E94" s="83">
        <f>IF(OR($D94="",ISNUMBER($AD94)),"",$D94-TODAY())</f>
        <v/>
      </c>
      <c r="F94" s="83">
        <f>IF($A94="","",COUNTIF($K94:$T94,"Yes")+COUNTIF($K94:$T94,"N/A")+IF(OR($U94="N/A",AND($U94="Yes",ISNUMBER($V94))),1,0)+IF(OR($W94="N/A",AND($W94="Yes",ISNUMBER($X94))),1,0)+COUNTIF($Y94:$AC94,"Yes")+COUNTIF($Y94:$AC94,"N/A"))</f>
        <v/>
      </c>
      <c r="G94" s="83">
        <f>IF($A94="","",17-$F94)</f>
        <v/>
      </c>
      <c r="H94" s="84">
        <f>IF($A94="","",$F94/17)</f>
        <v/>
      </c>
      <c r="I94" s="85">
        <f>IF($A94="","",IF(ISNUMBER($AD94),"Registered",IF($G94=0,"Ready",IF($G94&lt;=3,"Nearly","Not ready"))))</f>
        <v/>
      </c>
      <c r="J94" s="86">
        <f>IF($A94="","",IF(ISNUMBER($AD94),"Registered",IF($D94="","Pick a region",IF(TODAY()&gt;$D94,"OVERDUE: register now",IF(TODAY()&gt;=$C94,"Open: register by "&amp;TEXT($D94,"dd/mm/yyyy"),"Opens "&amp;TEXT($C94,"dd/mm/yyyy"))))))</f>
        <v/>
      </c>
      <c r="K94" s="51"/>
      <c r="L94" s="51"/>
      <c r="M94" s="51"/>
      <c r="N94" s="51"/>
      <c r="O94" s="51"/>
      <c r="P94" s="51"/>
      <c r="Q94" s="51"/>
      <c r="R94" s="51"/>
      <c r="S94" s="51"/>
      <c r="T94" s="51"/>
      <c r="U94" s="51"/>
      <c r="V94" s="52"/>
      <c r="W94" s="51"/>
      <c r="X94" s="52"/>
      <c r="Y94" s="51"/>
      <c r="Z94" s="51"/>
      <c r="AA94" s="51"/>
      <c r="AB94" s="51"/>
      <c r="AC94" s="51"/>
      <c r="AD94" s="52"/>
      <c r="AE94" s="54"/>
      <c r="AF94" s="82">
        <f>IF(ISNUMBER($AD94),EDATE($AD94,12)-1,"")</f>
        <v/>
      </c>
      <c r="AG94" s="52"/>
      <c r="AH94" s="82">
        <f>IF(ISNUMBER($AG94),$AG94+27,"")</f>
        <v/>
      </c>
      <c r="AI94" s="54"/>
      <c r="AJ94" s="87">
        <f>IF(AND($A94&lt;&gt;"",ISNUMBER($D94),NOT(ISNUMBER($AD94))),$D94,"")</f>
        <v/>
      </c>
    </row>
    <row r="95" spans="1:36">
      <c r="A95" s="54"/>
      <c r="B95" s="81"/>
      <c r="C95" s="82">
        <f>IF($B95="","",IFERROR(VLOOKUP($B95,$A$112:$C$120,2,FALSE),""))</f>
        <v/>
      </c>
      <c r="D95" s="82">
        <f>IF($B95="","",IFERROR(VLOOKUP($B95,$A$112:$C$120,3,FALSE),""))</f>
        <v/>
      </c>
      <c r="E95" s="83">
        <f>IF(OR($D95="",ISNUMBER($AD95)),"",$D95-TODAY())</f>
        <v/>
      </c>
      <c r="F95" s="83">
        <f>IF($A95="","",COUNTIF($K95:$T95,"Yes")+COUNTIF($K95:$T95,"N/A")+IF(OR($U95="N/A",AND($U95="Yes",ISNUMBER($V95))),1,0)+IF(OR($W95="N/A",AND($W95="Yes",ISNUMBER($X95))),1,0)+COUNTIF($Y95:$AC95,"Yes")+COUNTIF($Y95:$AC95,"N/A"))</f>
        <v/>
      </c>
      <c r="G95" s="83">
        <f>IF($A95="","",17-$F95)</f>
        <v/>
      </c>
      <c r="H95" s="84">
        <f>IF($A95="","",$F95/17)</f>
        <v/>
      </c>
      <c r="I95" s="85">
        <f>IF($A95="","",IF(ISNUMBER($AD95),"Registered",IF($G95=0,"Ready",IF($G95&lt;=3,"Nearly","Not ready"))))</f>
        <v/>
      </c>
      <c r="J95" s="86">
        <f>IF($A95="","",IF(ISNUMBER($AD95),"Registered",IF($D95="","Pick a region",IF(TODAY()&gt;$D95,"OVERDUE: register now",IF(TODAY()&gt;=$C95,"Open: register by "&amp;TEXT($D95,"dd/mm/yyyy"),"Opens "&amp;TEXT($C95,"dd/mm/yyyy"))))))</f>
        <v/>
      </c>
      <c r="K95" s="51"/>
      <c r="L95" s="51"/>
      <c r="M95" s="51"/>
      <c r="N95" s="51"/>
      <c r="O95" s="51"/>
      <c r="P95" s="51"/>
      <c r="Q95" s="51"/>
      <c r="R95" s="51"/>
      <c r="S95" s="51"/>
      <c r="T95" s="51"/>
      <c r="U95" s="51"/>
      <c r="V95" s="52"/>
      <c r="W95" s="51"/>
      <c r="X95" s="52"/>
      <c r="Y95" s="51"/>
      <c r="Z95" s="51"/>
      <c r="AA95" s="51"/>
      <c r="AB95" s="51"/>
      <c r="AC95" s="51"/>
      <c r="AD95" s="52"/>
      <c r="AE95" s="54"/>
      <c r="AF95" s="82">
        <f>IF(ISNUMBER($AD95),EDATE($AD95,12)-1,"")</f>
        <v/>
      </c>
      <c r="AG95" s="52"/>
      <c r="AH95" s="82">
        <f>IF(ISNUMBER($AG95),$AG95+27,"")</f>
        <v/>
      </c>
      <c r="AI95" s="54"/>
      <c r="AJ95" s="87">
        <f>IF(AND($A95&lt;&gt;"",ISNUMBER($D95),NOT(ISNUMBER($AD95))),$D95,"")</f>
        <v/>
      </c>
    </row>
    <row r="96" spans="1:36">
      <c r="A96" s="54"/>
      <c r="B96" s="81"/>
      <c r="C96" s="82">
        <f>IF($B96="","",IFERROR(VLOOKUP($B96,$A$112:$C$120,2,FALSE),""))</f>
        <v/>
      </c>
      <c r="D96" s="82">
        <f>IF($B96="","",IFERROR(VLOOKUP($B96,$A$112:$C$120,3,FALSE),""))</f>
        <v/>
      </c>
      <c r="E96" s="83">
        <f>IF(OR($D96="",ISNUMBER($AD96)),"",$D96-TODAY())</f>
        <v/>
      </c>
      <c r="F96" s="83">
        <f>IF($A96="","",COUNTIF($K96:$T96,"Yes")+COUNTIF($K96:$T96,"N/A")+IF(OR($U96="N/A",AND($U96="Yes",ISNUMBER($V96))),1,0)+IF(OR($W96="N/A",AND($W96="Yes",ISNUMBER($X96))),1,0)+COUNTIF($Y96:$AC96,"Yes")+COUNTIF($Y96:$AC96,"N/A"))</f>
        <v/>
      </c>
      <c r="G96" s="83">
        <f>IF($A96="","",17-$F96)</f>
        <v/>
      </c>
      <c r="H96" s="84">
        <f>IF($A96="","",$F96/17)</f>
        <v/>
      </c>
      <c r="I96" s="85">
        <f>IF($A96="","",IF(ISNUMBER($AD96),"Registered",IF($G96=0,"Ready",IF($G96&lt;=3,"Nearly","Not ready"))))</f>
        <v/>
      </c>
      <c r="J96" s="86">
        <f>IF($A96="","",IF(ISNUMBER($AD96),"Registered",IF($D96="","Pick a region",IF(TODAY()&gt;$D96,"OVERDUE: register now",IF(TODAY()&gt;=$C96,"Open: register by "&amp;TEXT($D96,"dd/mm/yyyy"),"Opens "&amp;TEXT($C96,"dd/mm/yyyy"))))))</f>
        <v/>
      </c>
      <c r="K96" s="51"/>
      <c r="L96" s="51"/>
      <c r="M96" s="51"/>
      <c r="N96" s="51"/>
      <c r="O96" s="51"/>
      <c r="P96" s="51"/>
      <c r="Q96" s="51"/>
      <c r="R96" s="51"/>
      <c r="S96" s="51"/>
      <c r="T96" s="51"/>
      <c r="U96" s="51"/>
      <c r="V96" s="52"/>
      <c r="W96" s="51"/>
      <c r="X96" s="52"/>
      <c r="Y96" s="51"/>
      <c r="Z96" s="51"/>
      <c r="AA96" s="51"/>
      <c r="AB96" s="51"/>
      <c r="AC96" s="51"/>
      <c r="AD96" s="52"/>
      <c r="AE96" s="54"/>
      <c r="AF96" s="82">
        <f>IF(ISNUMBER($AD96),EDATE($AD96,12)-1,"")</f>
        <v/>
      </c>
      <c r="AG96" s="52"/>
      <c r="AH96" s="82">
        <f>IF(ISNUMBER($AG96),$AG96+27,"")</f>
        <v/>
      </c>
      <c r="AI96" s="54"/>
      <c r="AJ96" s="87">
        <f>IF(AND($A96&lt;&gt;"",ISNUMBER($D96),NOT(ISNUMBER($AD96))),$D96,"")</f>
        <v/>
      </c>
    </row>
    <row r="97" spans="1:36">
      <c r="A97" s="54"/>
      <c r="B97" s="81"/>
      <c r="C97" s="82">
        <f>IF($B97="","",IFERROR(VLOOKUP($B97,$A$112:$C$120,2,FALSE),""))</f>
        <v/>
      </c>
      <c r="D97" s="82">
        <f>IF($B97="","",IFERROR(VLOOKUP($B97,$A$112:$C$120,3,FALSE),""))</f>
        <v/>
      </c>
      <c r="E97" s="83">
        <f>IF(OR($D97="",ISNUMBER($AD97)),"",$D97-TODAY())</f>
        <v/>
      </c>
      <c r="F97" s="83">
        <f>IF($A97="","",COUNTIF($K97:$T97,"Yes")+COUNTIF($K97:$T97,"N/A")+IF(OR($U97="N/A",AND($U97="Yes",ISNUMBER($V97))),1,0)+IF(OR($W97="N/A",AND($W97="Yes",ISNUMBER($X97))),1,0)+COUNTIF($Y97:$AC97,"Yes")+COUNTIF($Y97:$AC97,"N/A"))</f>
        <v/>
      </c>
      <c r="G97" s="83">
        <f>IF($A97="","",17-$F97)</f>
        <v/>
      </c>
      <c r="H97" s="84">
        <f>IF($A97="","",$F97/17)</f>
        <v/>
      </c>
      <c r="I97" s="85">
        <f>IF($A97="","",IF(ISNUMBER($AD97),"Registered",IF($G97=0,"Ready",IF($G97&lt;=3,"Nearly","Not ready"))))</f>
        <v/>
      </c>
      <c r="J97" s="86">
        <f>IF($A97="","",IF(ISNUMBER($AD97),"Registered",IF($D97="","Pick a region",IF(TODAY()&gt;$D97,"OVERDUE: register now",IF(TODAY()&gt;=$C97,"Open: register by "&amp;TEXT($D97,"dd/mm/yyyy"),"Opens "&amp;TEXT($C97,"dd/mm/yyyy"))))))</f>
        <v/>
      </c>
      <c r="K97" s="51"/>
      <c r="L97" s="51"/>
      <c r="M97" s="51"/>
      <c r="N97" s="51"/>
      <c r="O97" s="51"/>
      <c r="P97" s="51"/>
      <c r="Q97" s="51"/>
      <c r="R97" s="51"/>
      <c r="S97" s="51"/>
      <c r="T97" s="51"/>
      <c r="U97" s="51"/>
      <c r="V97" s="52"/>
      <c r="W97" s="51"/>
      <c r="X97" s="52"/>
      <c r="Y97" s="51"/>
      <c r="Z97" s="51"/>
      <c r="AA97" s="51"/>
      <c r="AB97" s="51"/>
      <c r="AC97" s="51"/>
      <c r="AD97" s="52"/>
      <c r="AE97" s="54"/>
      <c r="AF97" s="82">
        <f>IF(ISNUMBER($AD97),EDATE($AD97,12)-1,"")</f>
        <v/>
      </c>
      <c r="AG97" s="52"/>
      <c r="AH97" s="82">
        <f>IF(ISNUMBER($AG97),$AG97+27,"")</f>
        <v/>
      </c>
      <c r="AI97" s="54"/>
      <c r="AJ97" s="87">
        <f>IF(AND($A97&lt;&gt;"",ISNUMBER($D97),NOT(ISNUMBER($AD97))),$D97,"")</f>
        <v/>
      </c>
    </row>
    <row r="98" spans="1:36">
      <c r="A98" s="54"/>
      <c r="B98" s="81"/>
      <c r="C98" s="82">
        <f>IF($B98="","",IFERROR(VLOOKUP($B98,$A$112:$C$120,2,FALSE),""))</f>
        <v/>
      </c>
      <c r="D98" s="82">
        <f>IF($B98="","",IFERROR(VLOOKUP($B98,$A$112:$C$120,3,FALSE),""))</f>
        <v/>
      </c>
      <c r="E98" s="83">
        <f>IF(OR($D98="",ISNUMBER($AD98)),"",$D98-TODAY())</f>
        <v/>
      </c>
      <c r="F98" s="83">
        <f>IF($A98="","",COUNTIF($K98:$T98,"Yes")+COUNTIF($K98:$T98,"N/A")+IF(OR($U98="N/A",AND($U98="Yes",ISNUMBER($V98))),1,0)+IF(OR($W98="N/A",AND($W98="Yes",ISNUMBER($X98))),1,0)+COUNTIF($Y98:$AC98,"Yes")+COUNTIF($Y98:$AC98,"N/A"))</f>
        <v/>
      </c>
      <c r="G98" s="83">
        <f>IF($A98="","",17-$F98)</f>
        <v/>
      </c>
      <c r="H98" s="84">
        <f>IF($A98="","",$F98/17)</f>
        <v/>
      </c>
      <c r="I98" s="85">
        <f>IF($A98="","",IF(ISNUMBER($AD98),"Registered",IF($G98=0,"Ready",IF($G98&lt;=3,"Nearly","Not ready"))))</f>
        <v/>
      </c>
      <c r="J98" s="86">
        <f>IF($A98="","",IF(ISNUMBER($AD98),"Registered",IF($D98="","Pick a region",IF(TODAY()&gt;$D98,"OVERDUE: register now",IF(TODAY()&gt;=$C98,"Open: register by "&amp;TEXT($D98,"dd/mm/yyyy"),"Opens "&amp;TEXT($C98,"dd/mm/yyyy"))))))</f>
        <v/>
      </c>
      <c r="K98" s="51"/>
      <c r="L98" s="51"/>
      <c r="M98" s="51"/>
      <c r="N98" s="51"/>
      <c r="O98" s="51"/>
      <c r="P98" s="51"/>
      <c r="Q98" s="51"/>
      <c r="R98" s="51"/>
      <c r="S98" s="51"/>
      <c r="T98" s="51"/>
      <c r="U98" s="51"/>
      <c r="V98" s="52"/>
      <c r="W98" s="51"/>
      <c r="X98" s="52"/>
      <c r="Y98" s="51"/>
      <c r="Z98" s="51"/>
      <c r="AA98" s="51"/>
      <c r="AB98" s="51"/>
      <c r="AC98" s="51"/>
      <c r="AD98" s="52"/>
      <c r="AE98" s="54"/>
      <c r="AF98" s="82">
        <f>IF(ISNUMBER($AD98),EDATE($AD98,12)-1,"")</f>
        <v/>
      </c>
      <c r="AG98" s="52"/>
      <c r="AH98" s="82">
        <f>IF(ISNUMBER($AG98),$AG98+27,"")</f>
        <v/>
      </c>
      <c r="AI98" s="54"/>
      <c r="AJ98" s="87">
        <f>IF(AND($A98&lt;&gt;"",ISNUMBER($D98),NOT(ISNUMBER($AD98))),$D98,"")</f>
        <v/>
      </c>
    </row>
    <row r="99" spans="1:36">
      <c r="A99" s="54"/>
      <c r="B99" s="81"/>
      <c r="C99" s="82">
        <f>IF($B99="","",IFERROR(VLOOKUP($B99,$A$112:$C$120,2,FALSE),""))</f>
        <v/>
      </c>
      <c r="D99" s="82">
        <f>IF($B99="","",IFERROR(VLOOKUP($B99,$A$112:$C$120,3,FALSE),""))</f>
        <v/>
      </c>
      <c r="E99" s="83">
        <f>IF(OR($D99="",ISNUMBER($AD99)),"",$D99-TODAY())</f>
        <v/>
      </c>
      <c r="F99" s="83">
        <f>IF($A99="","",COUNTIF($K99:$T99,"Yes")+COUNTIF($K99:$T99,"N/A")+IF(OR($U99="N/A",AND($U99="Yes",ISNUMBER($V99))),1,0)+IF(OR($W99="N/A",AND($W99="Yes",ISNUMBER($X99))),1,0)+COUNTIF($Y99:$AC99,"Yes")+COUNTIF($Y99:$AC99,"N/A"))</f>
        <v/>
      </c>
      <c r="G99" s="83">
        <f>IF($A99="","",17-$F99)</f>
        <v/>
      </c>
      <c r="H99" s="84">
        <f>IF($A99="","",$F99/17)</f>
        <v/>
      </c>
      <c r="I99" s="85">
        <f>IF($A99="","",IF(ISNUMBER($AD99),"Registered",IF($G99=0,"Ready",IF($G99&lt;=3,"Nearly","Not ready"))))</f>
        <v/>
      </c>
      <c r="J99" s="86">
        <f>IF($A99="","",IF(ISNUMBER($AD99),"Registered",IF($D99="","Pick a region",IF(TODAY()&gt;$D99,"OVERDUE: register now",IF(TODAY()&gt;=$C99,"Open: register by "&amp;TEXT($D99,"dd/mm/yyyy"),"Opens "&amp;TEXT($C99,"dd/mm/yyyy"))))))</f>
        <v/>
      </c>
      <c r="K99" s="51"/>
      <c r="L99" s="51"/>
      <c r="M99" s="51"/>
      <c r="N99" s="51"/>
      <c r="O99" s="51"/>
      <c r="P99" s="51"/>
      <c r="Q99" s="51"/>
      <c r="R99" s="51"/>
      <c r="S99" s="51"/>
      <c r="T99" s="51"/>
      <c r="U99" s="51"/>
      <c r="V99" s="52"/>
      <c r="W99" s="51"/>
      <c r="X99" s="52"/>
      <c r="Y99" s="51"/>
      <c r="Z99" s="51"/>
      <c r="AA99" s="51"/>
      <c r="AB99" s="51"/>
      <c r="AC99" s="51"/>
      <c r="AD99" s="52"/>
      <c r="AE99" s="54"/>
      <c r="AF99" s="82">
        <f>IF(ISNUMBER($AD99),EDATE($AD99,12)-1,"")</f>
        <v/>
      </c>
      <c r="AG99" s="52"/>
      <c r="AH99" s="82">
        <f>IF(ISNUMBER($AG99),$AG99+27,"")</f>
        <v/>
      </c>
      <c r="AI99" s="54"/>
      <c r="AJ99" s="87">
        <f>IF(AND($A99&lt;&gt;"",ISNUMBER($D99),NOT(ISNUMBER($AD99))),$D99,"")</f>
        <v/>
      </c>
    </row>
    <row r="100" spans="1:36">
      <c r="A100" s="54"/>
      <c r="B100" s="81"/>
      <c r="C100" s="82">
        <f>IF($B100="","",IFERROR(VLOOKUP($B100,$A$112:$C$120,2,FALSE),""))</f>
        <v/>
      </c>
      <c r="D100" s="82">
        <f>IF($B100="","",IFERROR(VLOOKUP($B100,$A$112:$C$120,3,FALSE),""))</f>
        <v/>
      </c>
      <c r="E100" s="83">
        <f>IF(OR($D100="",ISNUMBER($AD100)),"",$D100-TODAY())</f>
        <v/>
      </c>
      <c r="F100" s="83">
        <f>IF($A100="","",COUNTIF($K100:$T100,"Yes")+COUNTIF($K100:$T100,"N/A")+IF(OR($U100="N/A",AND($U100="Yes",ISNUMBER($V100))),1,0)+IF(OR($W100="N/A",AND($W100="Yes",ISNUMBER($X100))),1,0)+COUNTIF($Y100:$AC100,"Yes")+COUNTIF($Y100:$AC100,"N/A"))</f>
        <v/>
      </c>
      <c r="G100" s="83">
        <f>IF($A100="","",17-$F100)</f>
        <v/>
      </c>
      <c r="H100" s="84">
        <f>IF($A100="","",$F100/17)</f>
        <v/>
      </c>
      <c r="I100" s="85">
        <f>IF($A100="","",IF(ISNUMBER($AD100),"Registered",IF($G100=0,"Ready",IF($G100&lt;=3,"Nearly","Not ready"))))</f>
        <v/>
      </c>
      <c r="J100" s="86">
        <f>IF($A100="","",IF(ISNUMBER($AD100),"Registered",IF($D100="","Pick a region",IF(TODAY()&gt;$D100,"OVERDUE: register now",IF(TODAY()&gt;=$C100,"Open: register by "&amp;TEXT($D100,"dd/mm/yyyy"),"Opens "&amp;TEXT($C100,"dd/mm/yyyy"))))))</f>
        <v/>
      </c>
      <c r="K100" s="51"/>
      <c r="L100" s="51"/>
      <c r="M100" s="51"/>
      <c r="N100" s="51"/>
      <c r="O100" s="51"/>
      <c r="P100" s="51"/>
      <c r="Q100" s="51"/>
      <c r="R100" s="51"/>
      <c r="S100" s="51"/>
      <c r="T100" s="51"/>
      <c r="U100" s="51"/>
      <c r="V100" s="52"/>
      <c r="W100" s="51"/>
      <c r="X100" s="52"/>
      <c r="Y100" s="51"/>
      <c r="Z100" s="51"/>
      <c r="AA100" s="51"/>
      <c r="AB100" s="51"/>
      <c r="AC100" s="51"/>
      <c r="AD100" s="52"/>
      <c r="AE100" s="54"/>
      <c r="AF100" s="82">
        <f>IF(ISNUMBER($AD100),EDATE($AD100,12)-1,"")</f>
        <v/>
      </c>
      <c r="AG100" s="52"/>
      <c r="AH100" s="82">
        <f>IF(ISNUMBER($AG100),$AG100+27,"")</f>
        <v/>
      </c>
      <c r="AI100" s="54"/>
      <c r="AJ100" s="87">
        <f>IF(AND($A100&lt;&gt;"",ISNUMBER($D100),NOT(ISNUMBER($AD100))),$D100,"")</f>
        <v/>
      </c>
    </row>
    <row r="101" spans="1:36">
      <c r="A101" s="54"/>
      <c r="B101" s="81"/>
      <c r="C101" s="82">
        <f>IF($B101="","",IFERROR(VLOOKUP($B101,$A$112:$C$120,2,FALSE),""))</f>
        <v/>
      </c>
      <c r="D101" s="82">
        <f>IF($B101="","",IFERROR(VLOOKUP($B101,$A$112:$C$120,3,FALSE),""))</f>
        <v/>
      </c>
      <c r="E101" s="83">
        <f>IF(OR($D101="",ISNUMBER($AD101)),"",$D101-TODAY())</f>
        <v/>
      </c>
      <c r="F101" s="83">
        <f>IF($A101="","",COUNTIF($K101:$T101,"Yes")+COUNTIF($K101:$T101,"N/A")+IF(OR($U101="N/A",AND($U101="Yes",ISNUMBER($V101))),1,0)+IF(OR($W101="N/A",AND($W101="Yes",ISNUMBER($X101))),1,0)+COUNTIF($Y101:$AC101,"Yes")+COUNTIF($Y101:$AC101,"N/A"))</f>
        <v/>
      </c>
      <c r="G101" s="83">
        <f>IF($A101="","",17-$F101)</f>
        <v/>
      </c>
      <c r="H101" s="84">
        <f>IF($A101="","",$F101/17)</f>
        <v/>
      </c>
      <c r="I101" s="85">
        <f>IF($A101="","",IF(ISNUMBER($AD101),"Registered",IF($G101=0,"Ready",IF($G101&lt;=3,"Nearly","Not ready"))))</f>
        <v/>
      </c>
      <c r="J101" s="86">
        <f>IF($A101="","",IF(ISNUMBER($AD101),"Registered",IF($D101="","Pick a region",IF(TODAY()&gt;$D101,"OVERDUE: register now",IF(TODAY()&gt;=$C101,"Open: register by "&amp;TEXT($D101,"dd/mm/yyyy"),"Opens "&amp;TEXT($C101,"dd/mm/yyyy"))))))</f>
        <v/>
      </c>
      <c r="K101" s="51"/>
      <c r="L101" s="51"/>
      <c r="M101" s="51"/>
      <c r="N101" s="51"/>
      <c r="O101" s="51"/>
      <c r="P101" s="51"/>
      <c r="Q101" s="51"/>
      <c r="R101" s="51"/>
      <c r="S101" s="51"/>
      <c r="T101" s="51"/>
      <c r="U101" s="51"/>
      <c r="V101" s="52"/>
      <c r="W101" s="51"/>
      <c r="X101" s="52"/>
      <c r="Y101" s="51"/>
      <c r="Z101" s="51"/>
      <c r="AA101" s="51"/>
      <c r="AB101" s="51"/>
      <c r="AC101" s="51"/>
      <c r="AD101" s="52"/>
      <c r="AE101" s="54"/>
      <c r="AF101" s="82">
        <f>IF(ISNUMBER($AD101),EDATE($AD101,12)-1,"")</f>
        <v/>
      </c>
      <c r="AG101" s="52"/>
      <c r="AH101" s="82">
        <f>IF(ISNUMBER($AG101),$AG101+27,"")</f>
        <v/>
      </c>
      <c r="AI101" s="54"/>
      <c r="AJ101" s="87">
        <f>IF(AND($A101&lt;&gt;"",ISNUMBER($D101),NOT(ISNUMBER($AD101))),$D101,"")</f>
        <v/>
      </c>
    </row>
    <row r="102" spans="1:36">
      <c r="A102" s="54"/>
      <c r="B102" s="81"/>
      <c r="C102" s="82">
        <f>IF($B102="","",IFERROR(VLOOKUP($B102,$A$112:$C$120,2,FALSE),""))</f>
        <v/>
      </c>
      <c r="D102" s="82">
        <f>IF($B102="","",IFERROR(VLOOKUP($B102,$A$112:$C$120,3,FALSE),""))</f>
        <v/>
      </c>
      <c r="E102" s="83">
        <f>IF(OR($D102="",ISNUMBER($AD102)),"",$D102-TODAY())</f>
        <v/>
      </c>
      <c r="F102" s="83">
        <f>IF($A102="","",COUNTIF($K102:$T102,"Yes")+COUNTIF($K102:$T102,"N/A")+IF(OR($U102="N/A",AND($U102="Yes",ISNUMBER($V102))),1,0)+IF(OR($W102="N/A",AND($W102="Yes",ISNUMBER($X102))),1,0)+COUNTIF($Y102:$AC102,"Yes")+COUNTIF($Y102:$AC102,"N/A"))</f>
        <v/>
      </c>
      <c r="G102" s="83">
        <f>IF($A102="","",17-$F102)</f>
        <v/>
      </c>
      <c r="H102" s="84">
        <f>IF($A102="","",$F102/17)</f>
        <v/>
      </c>
      <c r="I102" s="85">
        <f>IF($A102="","",IF(ISNUMBER($AD102),"Registered",IF($G102=0,"Ready",IF($G102&lt;=3,"Nearly","Not ready"))))</f>
        <v/>
      </c>
      <c r="J102" s="86">
        <f>IF($A102="","",IF(ISNUMBER($AD102),"Registered",IF($D102="","Pick a region",IF(TODAY()&gt;$D102,"OVERDUE: register now",IF(TODAY()&gt;=$C102,"Open: register by "&amp;TEXT($D102,"dd/mm/yyyy"),"Opens "&amp;TEXT($C102,"dd/mm/yyyy"))))))</f>
        <v/>
      </c>
      <c r="K102" s="51"/>
      <c r="L102" s="51"/>
      <c r="M102" s="51"/>
      <c r="N102" s="51"/>
      <c r="O102" s="51"/>
      <c r="P102" s="51"/>
      <c r="Q102" s="51"/>
      <c r="R102" s="51"/>
      <c r="S102" s="51"/>
      <c r="T102" s="51"/>
      <c r="U102" s="51"/>
      <c r="V102" s="52"/>
      <c r="W102" s="51"/>
      <c r="X102" s="52"/>
      <c r="Y102" s="51"/>
      <c r="Z102" s="51"/>
      <c r="AA102" s="51"/>
      <c r="AB102" s="51"/>
      <c r="AC102" s="51"/>
      <c r="AD102" s="52"/>
      <c r="AE102" s="54"/>
      <c r="AF102" s="82">
        <f>IF(ISNUMBER($AD102),EDATE($AD102,12)-1,"")</f>
        <v/>
      </c>
      <c r="AG102" s="52"/>
      <c r="AH102" s="82">
        <f>IF(ISNUMBER($AG102),$AG102+27,"")</f>
        <v/>
      </c>
      <c r="AI102" s="54"/>
      <c r="AJ102" s="87">
        <f>IF(AND($A102&lt;&gt;"",ISNUMBER($D102),NOT(ISNUMBER($AD102))),$D102,"")</f>
        <v/>
      </c>
    </row>
    <row r="103" spans="1:36">
      <c r="A103" s="54"/>
      <c r="B103" s="81"/>
      <c r="C103" s="82">
        <f>IF($B103="","",IFERROR(VLOOKUP($B103,$A$112:$C$120,2,FALSE),""))</f>
        <v/>
      </c>
      <c r="D103" s="82">
        <f>IF($B103="","",IFERROR(VLOOKUP($B103,$A$112:$C$120,3,FALSE),""))</f>
        <v/>
      </c>
      <c r="E103" s="83">
        <f>IF(OR($D103="",ISNUMBER($AD103)),"",$D103-TODAY())</f>
        <v/>
      </c>
      <c r="F103" s="83">
        <f>IF($A103="","",COUNTIF($K103:$T103,"Yes")+COUNTIF($K103:$T103,"N/A")+IF(OR($U103="N/A",AND($U103="Yes",ISNUMBER($V103))),1,0)+IF(OR($W103="N/A",AND($W103="Yes",ISNUMBER($X103))),1,0)+COUNTIF($Y103:$AC103,"Yes")+COUNTIF($Y103:$AC103,"N/A"))</f>
        <v/>
      </c>
      <c r="G103" s="83">
        <f>IF($A103="","",17-$F103)</f>
        <v/>
      </c>
      <c r="H103" s="84">
        <f>IF($A103="","",$F103/17)</f>
        <v/>
      </c>
      <c r="I103" s="85">
        <f>IF($A103="","",IF(ISNUMBER($AD103),"Registered",IF($G103=0,"Ready",IF($G103&lt;=3,"Nearly","Not ready"))))</f>
        <v/>
      </c>
      <c r="J103" s="86">
        <f>IF($A103="","",IF(ISNUMBER($AD103),"Registered",IF($D103="","Pick a region",IF(TODAY()&gt;$D103,"OVERDUE: register now",IF(TODAY()&gt;=$C103,"Open: register by "&amp;TEXT($D103,"dd/mm/yyyy"),"Opens "&amp;TEXT($C103,"dd/mm/yyyy"))))))</f>
        <v/>
      </c>
      <c r="K103" s="51"/>
      <c r="L103" s="51"/>
      <c r="M103" s="51"/>
      <c r="N103" s="51"/>
      <c r="O103" s="51"/>
      <c r="P103" s="51"/>
      <c r="Q103" s="51"/>
      <c r="R103" s="51"/>
      <c r="S103" s="51"/>
      <c r="T103" s="51"/>
      <c r="U103" s="51"/>
      <c r="V103" s="52"/>
      <c r="W103" s="51"/>
      <c r="X103" s="52"/>
      <c r="Y103" s="51"/>
      <c r="Z103" s="51"/>
      <c r="AA103" s="51"/>
      <c r="AB103" s="51"/>
      <c r="AC103" s="51"/>
      <c r="AD103" s="52"/>
      <c r="AE103" s="54"/>
      <c r="AF103" s="82">
        <f>IF(ISNUMBER($AD103),EDATE($AD103,12)-1,"")</f>
        <v/>
      </c>
      <c r="AG103" s="52"/>
      <c r="AH103" s="82">
        <f>IF(ISNUMBER($AG103),$AG103+27,"")</f>
        <v/>
      </c>
      <c r="AI103" s="54"/>
      <c r="AJ103" s="87">
        <f>IF(AND($A103&lt;&gt;"",ISNUMBER($D103),NOT(ISNUMBER($AD103))),$D103,"")</f>
        <v/>
      </c>
    </row>
    <row r="104" spans="1:36">
      <c r="A104" s="54"/>
      <c r="B104" s="81"/>
      <c r="C104" s="82">
        <f>IF($B104="","",IFERROR(VLOOKUP($B104,$A$112:$C$120,2,FALSE),""))</f>
        <v/>
      </c>
      <c r="D104" s="82">
        <f>IF($B104="","",IFERROR(VLOOKUP($B104,$A$112:$C$120,3,FALSE),""))</f>
        <v/>
      </c>
      <c r="E104" s="83">
        <f>IF(OR($D104="",ISNUMBER($AD104)),"",$D104-TODAY())</f>
        <v/>
      </c>
      <c r="F104" s="83">
        <f>IF($A104="","",COUNTIF($K104:$T104,"Yes")+COUNTIF($K104:$T104,"N/A")+IF(OR($U104="N/A",AND($U104="Yes",ISNUMBER($V104))),1,0)+IF(OR($W104="N/A",AND($W104="Yes",ISNUMBER($X104))),1,0)+COUNTIF($Y104:$AC104,"Yes")+COUNTIF($Y104:$AC104,"N/A"))</f>
        <v/>
      </c>
      <c r="G104" s="83">
        <f>IF($A104="","",17-$F104)</f>
        <v/>
      </c>
      <c r="H104" s="84">
        <f>IF($A104="","",$F104/17)</f>
        <v/>
      </c>
      <c r="I104" s="85">
        <f>IF($A104="","",IF(ISNUMBER($AD104),"Registered",IF($G104=0,"Ready",IF($G104&lt;=3,"Nearly","Not ready"))))</f>
        <v/>
      </c>
      <c r="J104" s="86">
        <f>IF($A104="","",IF(ISNUMBER($AD104),"Registered",IF($D104="","Pick a region",IF(TODAY()&gt;$D104,"OVERDUE: register now",IF(TODAY()&gt;=$C104,"Open: register by "&amp;TEXT($D104,"dd/mm/yyyy"),"Opens "&amp;TEXT($C104,"dd/mm/yyyy"))))))</f>
        <v/>
      </c>
      <c r="K104" s="51"/>
      <c r="L104" s="51"/>
      <c r="M104" s="51"/>
      <c r="N104" s="51"/>
      <c r="O104" s="51"/>
      <c r="P104" s="51"/>
      <c r="Q104" s="51"/>
      <c r="R104" s="51"/>
      <c r="S104" s="51"/>
      <c r="T104" s="51"/>
      <c r="U104" s="51"/>
      <c r="V104" s="52"/>
      <c r="W104" s="51"/>
      <c r="X104" s="52"/>
      <c r="Y104" s="51"/>
      <c r="Z104" s="51"/>
      <c r="AA104" s="51"/>
      <c r="AB104" s="51"/>
      <c r="AC104" s="51"/>
      <c r="AD104" s="52"/>
      <c r="AE104" s="54"/>
      <c r="AF104" s="82">
        <f>IF(ISNUMBER($AD104),EDATE($AD104,12)-1,"")</f>
        <v/>
      </c>
      <c r="AG104" s="52"/>
      <c r="AH104" s="82">
        <f>IF(ISNUMBER($AG104),$AG104+27,"")</f>
        <v/>
      </c>
      <c r="AI104" s="54"/>
      <c r="AJ104" s="87">
        <f>IF(AND($A104&lt;&gt;"",ISNUMBER($D104),NOT(ISNUMBER($AD104))),$D104,"")</f>
        <v/>
      </c>
    </row>
    <row r="105" spans="1:36">
      <c r="A105" s="54"/>
      <c r="B105" s="81"/>
      <c r="C105" s="82">
        <f>IF($B105="","",IFERROR(VLOOKUP($B105,$A$112:$C$120,2,FALSE),""))</f>
        <v/>
      </c>
      <c r="D105" s="82">
        <f>IF($B105="","",IFERROR(VLOOKUP($B105,$A$112:$C$120,3,FALSE),""))</f>
        <v/>
      </c>
      <c r="E105" s="83">
        <f>IF(OR($D105="",ISNUMBER($AD105)),"",$D105-TODAY())</f>
        <v/>
      </c>
      <c r="F105" s="83">
        <f>IF($A105="","",COUNTIF($K105:$T105,"Yes")+COUNTIF($K105:$T105,"N/A")+IF(OR($U105="N/A",AND($U105="Yes",ISNUMBER($V105))),1,0)+IF(OR($W105="N/A",AND($W105="Yes",ISNUMBER($X105))),1,0)+COUNTIF($Y105:$AC105,"Yes")+COUNTIF($Y105:$AC105,"N/A"))</f>
        <v/>
      </c>
      <c r="G105" s="83">
        <f>IF($A105="","",17-$F105)</f>
        <v/>
      </c>
      <c r="H105" s="84">
        <f>IF($A105="","",$F105/17)</f>
        <v/>
      </c>
      <c r="I105" s="85">
        <f>IF($A105="","",IF(ISNUMBER($AD105),"Registered",IF($G105=0,"Ready",IF($G105&lt;=3,"Nearly","Not ready"))))</f>
        <v/>
      </c>
      <c r="J105" s="86">
        <f>IF($A105="","",IF(ISNUMBER($AD105),"Registered",IF($D105="","Pick a region",IF(TODAY()&gt;$D105,"OVERDUE: register now",IF(TODAY()&gt;=$C105,"Open: register by "&amp;TEXT($D105,"dd/mm/yyyy"),"Opens "&amp;TEXT($C105,"dd/mm/yyyy"))))))</f>
        <v/>
      </c>
      <c r="K105" s="51"/>
      <c r="L105" s="51"/>
      <c r="M105" s="51"/>
      <c r="N105" s="51"/>
      <c r="O105" s="51"/>
      <c r="P105" s="51"/>
      <c r="Q105" s="51"/>
      <c r="R105" s="51"/>
      <c r="S105" s="51"/>
      <c r="T105" s="51"/>
      <c r="U105" s="51"/>
      <c r="V105" s="52"/>
      <c r="W105" s="51"/>
      <c r="X105" s="52"/>
      <c r="Y105" s="51"/>
      <c r="Z105" s="51"/>
      <c r="AA105" s="51"/>
      <c r="AB105" s="51"/>
      <c r="AC105" s="51"/>
      <c r="AD105" s="52"/>
      <c r="AE105" s="54"/>
      <c r="AF105" s="82">
        <f>IF(ISNUMBER($AD105),EDATE($AD105,12)-1,"")</f>
        <v/>
      </c>
      <c r="AG105" s="52"/>
      <c r="AH105" s="82">
        <f>IF(ISNUMBER($AG105),$AG105+27,"")</f>
        <v/>
      </c>
      <c r="AI105" s="54"/>
      <c r="AJ105" s="87">
        <f>IF(AND($A105&lt;&gt;"",ISNUMBER($D105),NOT(ISNUMBER($AD105))),$D105,"")</f>
        <v/>
      </c>
    </row>
    <row r="106" spans="1:36">
      <c r="A106" s="54"/>
      <c r="B106" s="81"/>
      <c r="C106" s="82">
        <f>IF($B106="","",IFERROR(VLOOKUP($B106,$A$112:$C$120,2,FALSE),""))</f>
        <v/>
      </c>
      <c r="D106" s="82">
        <f>IF($B106="","",IFERROR(VLOOKUP($B106,$A$112:$C$120,3,FALSE),""))</f>
        <v/>
      </c>
      <c r="E106" s="83">
        <f>IF(OR($D106="",ISNUMBER($AD106)),"",$D106-TODAY())</f>
        <v/>
      </c>
      <c r="F106" s="83">
        <f>IF($A106="","",COUNTIF($K106:$T106,"Yes")+COUNTIF($K106:$T106,"N/A")+IF(OR($U106="N/A",AND($U106="Yes",ISNUMBER($V106))),1,0)+IF(OR($W106="N/A",AND($W106="Yes",ISNUMBER($X106))),1,0)+COUNTIF($Y106:$AC106,"Yes")+COUNTIF($Y106:$AC106,"N/A"))</f>
        <v/>
      </c>
      <c r="G106" s="83">
        <f>IF($A106="","",17-$F106)</f>
        <v/>
      </c>
      <c r="H106" s="84">
        <f>IF($A106="","",$F106/17)</f>
        <v/>
      </c>
      <c r="I106" s="85">
        <f>IF($A106="","",IF(ISNUMBER($AD106),"Registered",IF($G106=0,"Ready",IF($G106&lt;=3,"Nearly","Not ready"))))</f>
        <v/>
      </c>
      <c r="J106" s="86">
        <f>IF($A106="","",IF(ISNUMBER($AD106),"Registered",IF($D106="","Pick a region",IF(TODAY()&gt;$D106,"OVERDUE: register now",IF(TODAY()&gt;=$C106,"Open: register by "&amp;TEXT($D106,"dd/mm/yyyy"),"Opens "&amp;TEXT($C106,"dd/mm/yyyy"))))))</f>
        <v/>
      </c>
      <c r="K106" s="51"/>
      <c r="L106" s="51"/>
      <c r="M106" s="51"/>
      <c r="N106" s="51"/>
      <c r="O106" s="51"/>
      <c r="P106" s="51"/>
      <c r="Q106" s="51"/>
      <c r="R106" s="51"/>
      <c r="S106" s="51"/>
      <c r="T106" s="51"/>
      <c r="U106" s="51"/>
      <c r="V106" s="52"/>
      <c r="W106" s="51"/>
      <c r="X106" s="52"/>
      <c r="Y106" s="51"/>
      <c r="Z106" s="51"/>
      <c r="AA106" s="51"/>
      <c r="AB106" s="51"/>
      <c r="AC106" s="51"/>
      <c r="AD106" s="52"/>
      <c r="AE106" s="54"/>
      <c r="AF106" s="82">
        <f>IF(ISNUMBER($AD106),EDATE($AD106,12)-1,"")</f>
        <v/>
      </c>
      <c r="AG106" s="52"/>
      <c r="AH106" s="82">
        <f>IF(ISNUMBER($AG106),$AG106+27,"")</f>
        <v/>
      </c>
      <c r="AI106" s="54"/>
      <c r="AJ106" s="87">
        <f>IF(AND($A106&lt;&gt;"",ISNUMBER($D106),NOT(ISNUMBER($AD106))),$D106,"")</f>
        <v/>
      </c>
    </row>
    <row r="107" spans="1:36">
      <c r="A107" s="54"/>
      <c r="B107" s="81"/>
      <c r="C107" s="82">
        <f>IF($B107="","",IFERROR(VLOOKUP($B107,$A$112:$C$120,2,FALSE),""))</f>
        <v/>
      </c>
      <c r="D107" s="82">
        <f>IF($B107="","",IFERROR(VLOOKUP($B107,$A$112:$C$120,3,FALSE),""))</f>
        <v/>
      </c>
      <c r="E107" s="83">
        <f>IF(OR($D107="",ISNUMBER($AD107)),"",$D107-TODAY())</f>
        <v/>
      </c>
      <c r="F107" s="83">
        <f>IF($A107="","",COUNTIF($K107:$T107,"Yes")+COUNTIF($K107:$T107,"N/A")+IF(OR($U107="N/A",AND($U107="Yes",ISNUMBER($V107))),1,0)+IF(OR($W107="N/A",AND($W107="Yes",ISNUMBER($X107))),1,0)+COUNTIF($Y107:$AC107,"Yes")+COUNTIF($Y107:$AC107,"N/A"))</f>
        <v/>
      </c>
      <c r="G107" s="83">
        <f>IF($A107="","",17-$F107)</f>
        <v/>
      </c>
      <c r="H107" s="84">
        <f>IF($A107="","",$F107/17)</f>
        <v/>
      </c>
      <c r="I107" s="85">
        <f>IF($A107="","",IF(ISNUMBER($AD107),"Registered",IF($G107=0,"Ready",IF($G107&lt;=3,"Nearly","Not ready"))))</f>
        <v/>
      </c>
      <c r="J107" s="86">
        <f>IF($A107="","",IF(ISNUMBER($AD107),"Registered",IF($D107="","Pick a region",IF(TODAY()&gt;$D107,"OVERDUE: register now",IF(TODAY()&gt;=$C107,"Open: register by "&amp;TEXT($D107,"dd/mm/yyyy"),"Opens "&amp;TEXT($C107,"dd/mm/yyyy"))))))</f>
        <v/>
      </c>
      <c r="K107" s="51"/>
      <c r="L107" s="51"/>
      <c r="M107" s="51"/>
      <c r="N107" s="51"/>
      <c r="O107" s="51"/>
      <c r="P107" s="51"/>
      <c r="Q107" s="51"/>
      <c r="R107" s="51"/>
      <c r="S107" s="51"/>
      <c r="T107" s="51"/>
      <c r="U107" s="51"/>
      <c r="V107" s="52"/>
      <c r="W107" s="51"/>
      <c r="X107" s="52"/>
      <c r="Y107" s="51"/>
      <c r="Z107" s="51"/>
      <c r="AA107" s="51"/>
      <c r="AB107" s="51"/>
      <c r="AC107" s="51"/>
      <c r="AD107" s="52"/>
      <c r="AE107" s="54"/>
      <c r="AF107" s="82">
        <f>IF(ISNUMBER($AD107),EDATE($AD107,12)-1,"")</f>
        <v/>
      </c>
      <c r="AG107" s="52"/>
      <c r="AH107" s="82">
        <f>IF(ISNUMBER($AG107),$AG107+27,"")</f>
        <v/>
      </c>
      <c r="AI107" s="54"/>
      <c r="AJ107" s="87">
        <f>IF(AND($A107&lt;&gt;"",ISNUMBER($D107),NOT(ISNUMBER($AD107))),$D107,"")</f>
        <v/>
      </c>
    </row>
    <row r="108" spans="1:36">
      <c r="A108" s="54"/>
      <c r="B108" s="81"/>
      <c r="C108" s="82">
        <f>IF($B108="","",IFERROR(VLOOKUP($B108,$A$112:$C$120,2,FALSE),""))</f>
        <v/>
      </c>
      <c r="D108" s="82">
        <f>IF($B108="","",IFERROR(VLOOKUP($B108,$A$112:$C$120,3,FALSE),""))</f>
        <v/>
      </c>
      <c r="E108" s="83">
        <f>IF(OR($D108="",ISNUMBER($AD108)),"",$D108-TODAY())</f>
        <v/>
      </c>
      <c r="F108" s="83">
        <f>IF($A108="","",COUNTIF($K108:$T108,"Yes")+COUNTIF($K108:$T108,"N/A")+IF(OR($U108="N/A",AND($U108="Yes",ISNUMBER($V108))),1,0)+IF(OR($W108="N/A",AND($W108="Yes",ISNUMBER($X108))),1,0)+COUNTIF($Y108:$AC108,"Yes")+COUNTIF($Y108:$AC108,"N/A"))</f>
        <v/>
      </c>
      <c r="G108" s="83">
        <f>IF($A108="","",17-$F108)</f>
        <v/>
      </c>
      <c r="H108" s="84">
        <f>IF($A108="","",$F108/17)</f>
        <v/>
      </c>
      <c r="I108" s="85">
        <f>IF($A108="","",IF(ISNUMBER($AD108),"Registered",IF($G108=0,"Ready",IF($G108&lt;=3,"Nearly","Not ready"))))</f>
        <v/>
      </c>
      <c r="J108" s="86">
        <f>IF($A108="","",IF(ISNUMBER($AD108),"Registered",IF($D108="","Pick a region",IF(TODAY()&gt;$D108,"OVERDUE: register now",IF(TODAY()&gt;=$C108,"Open: register by "&amp;TEXT($D108,"dd/mm/yyyy"),"Opens "&amp;TEXT($C108,"dd/mm/yyyy"))))))</f>
        <v/>
      </c>
      <c r="K108" s="51"/>
      <c r="L108" s="51"/>
      <c r="M108" s="51"/>
      <c r="N108" s="51"/>
      <c r="O108" s="51"/>
      <c r="P108" s="51"/>
      <c r="Q108" s="51"/>
      <c r="R108" s="51"/>
      <c r="S108" s="51"/>
      <c r="T108" s="51"/>
      <c r="U108" s="51"/>
      <c r="V108" s="52"/>
      <c r="W108" s="51"/>
      <c r="X108" s="52"/>
      <c r="Y108" s="51"/>
      <c r="Z108" s="51"/>
      <c r="AA108" s="51"/>
      <c r="AB108" s="51"/>
      <c r="AC108" s="51"/>
      <c r="AD108" s="52"/>
      <c r="AE108" s="54"/>
      <c r="AF108" s="82">
        <f>IF(ISNUMBER($AD108),EDATE($AD108,12)-1,"")</f>
        <v/>
      </c>
      <c r="AG108" s="52"/>
      <c r="AH108" s="82">
        <f>IF(ISNUMBER($AG108),$AG108+27,"")</f>
        <v/>
      </c>
      <c r="AI108" s="54"/>
      <c r="AJ108" s="87">
        <f>IF(AND($A108&lt;&gt;"",ISNUMBER($D108),NOT(ISNUMBER($AD108))),$D108,"")</f>
        <v/>
      </c>
    </row>
    <row r="110" spans="1:36" ht="22" customHeight="1">
      <c r="A110" s="4" t="s">
        <v>140</v>
      </c>
      <c r="B110" s="4"/>
      <c r="C110" s="4"/>
      <c r="D110" s="4"/>
      <c r="E110" s="4"/>
      <c r="F110" s="4"/>
      <c r="G110" s="4"/>
      <c r="H110" s="4"/>
      <c r="I110" s="4"/>
      <c r="J110" s="4"/>
    </row>
    <row r="111" spans="1:36" ht="42" customHeight="1">
      <c r="A111" s="80" t="s">
        <v>141</v>
      </c>
      <c r="B111" s="80" t="s">
        <v>142</v>
      </c>
      <c r="C111" s="80" t="s">
        <v>143</v>
      </c>
      <c r="D111" s="88" t="s">
        <v>144</v>
      </c>
      <c r="E111" s="88"/>
      <c r="F111" s="88"/>
      <c r="G111" s="88"/>
      <c r="H111" s="88"/>
      <c r="I111" s="88"/>
      <c r="J111" s="88"/>
    </row>
    <row r="112" spans="1:36" ht="18" customHeight="1">
      <c r="A112" s="89" t="s">
        <v>145</v>
      </c>
      <c r="B112" s="90">
        <v>46371</v>
      </c>
      <c r="C112" s="82">
        <f>EDATE($B112,3)-1</f>
        <v>46460.0</v>
      </c>
      <c r="D112" s="91" t="s">
        <v>146</v>
      </c>
      <c r="E112" s="91"/>
      <c r="F112" s="91"/>
      <c r="G112" s="91"/>
      <c r="H112" s="91"/>
      <c r="I112" s="91"/>
      <c r="J112" s="91"/>
    </row>
    <row r="113" spans="1:10" ht="18" customHeight="1">
      <c r="A113" s="89" t="s">
        <v>147</v>
      </c>
      <c r="B113" s="90">
        <v>46402</v>
      </c>
      <c r="C113" s="82">
        <f>EDATE($B113,3)-1</f>
        <v>46491.0</v>
      </c>
      <c r="D113" s="91" t="s">
        <v>146</v>
      </c>
      <c r="E113" s="91"/>
      <c r="F113" s="91"/>
      <c r="G113" s="91"/>
      <c r="H113" s="91"/>
      <c r="I113" s="91"/>
      <c r="J113" s="91"/>
    </row>
    <row r="114" spans="1:10" ht="18" customHeight="1">
      <c r="A114" s="89" t="s">
        <v>148</v>
      </c>
      <c r="B114" s="90">
        <v>46433</v>
      </c>
      <c r="C114" s="82">
        <f>EDATE($B114,3)-1</f>
        <v>46521.0</v>
      </c>
      <c r="D114" s="91" t="s">
        <v>146</v>
      </c>
      <c r="E114" s="91"/>
      <c r="F114" s="91"/>
      <c r="G114" s="91"/>
      <c r="H114" s="91"/>
      <c r="I114" s="91"/>
      <c r="J114" s="91"/>
    </row>
    <row r="115" spans="1:10" ht="18" customHeight="1">
      <c r="A115" s="89" t="s">
        <v>149</v>
      </c>
      <c r="B115" s="90">
        <v>46461</v>
      </c>
      <c r="C115" s="82">
        <f>EDATE($B115,3)-1</f>
        <v>46552.0</v>
      </c>
      <c r="D115" s="91" t="s">
        <v>146</v>
      </c>
      <c r="E115" s="91"/>
      <c r="F115" s="91"/>
      <c r="G115" s="91"/>
      <c r="H115" s="91"/>
      <c r="I115" s="91"/>
      <c r="J115" s="91"/>
    </row>
    <row r="116" spans="1:10" ht="18" customHeight="1">
      <c r="A116" s="89" t="s">
        <v>150</v>
      </c>
      <c r="B116" s="90">
        <v>46492</v>
      </c>
      <c r="C116" s="82">
        <f>EDATE($B116,3)-1</f>
        <v>46582.0</v>
      </c>
      <c r="D116" s="91" t="s">
        <v>146</v>
      </c>
      <c r="E116" s="91"/>
      <c r="F116" s="91"/>
      <c r="G116" s="91"/>
      <c r="H116" s="91"/>
      <c r="I116" s="91"/>
      <c r="J116" s="91"/>
    </row>
    <row r="117" spans="1:10" ht="18" customHeight="1">
      <c r="A117" s="89" t="s">
        <v>151</v>
      </c>
      <c r="B117" s="90">
        <v>46522</v>
      </c>
      <c r="C117" s="82">
        <f>EDATE($B117,3)-1</f>
        <v>46613.0</v>
      </c>
      <c r="D117" s="91" t="s">
        <v>146</v>
      </c>
      <c r="E117" s="91"/>
      <c r="F117" s="91"/>
      <c r="G117" s="91"/>
      <c r="H117" s="91"/>
      <c r="I117" s="91"/>
      <c r="J117" s="91"/>
    </row>
    <row r="118" spans="1:10" ht="18" customHeight="1">
      <c r="A118" s="89" t="s">
        <v>152</v>
      </c>
      <c r="B118" s="90">
        <v>46553</v>
      </c>
      <c r="C118" s="82">
        <f>EDATE($B118,3)-1</f>
        <v>46644.0</v>
      </c>
      <c r="D118" s="91" t="s">
        <v>146</v>
      </c>
      <c r="E118" s="91"/>
      <c r="F118" s="91"/>
      <c r="G118" s="91"/>
      <c r="H118" s="91"/>
      <c r="I118" s="91"/>
      <c r="J118" s="91"/>
    </row>
    <row r="119" spans="1:10" ht="18" customHeight="1">
      <c r="A119" s="89" t="s">
        <v>153</v>
      </c>
      <c r="B119" s="90">
        <v>46583</v>
      </c>
      <c r="C119" s="82">
        <f>EDATE($B119,3)-1</f>
        <v>46674.0</v>
      </c>
      <c r="D119" s="91" t="s">
        <v>146</v>
      </c>
      <c r="E119" s="91"/>
      <c r="F119" s="91"/>
      <c r="G119" s="91"/>
      <c r="H119" s="91"/>
      <c r="I119" s="91"/>
      <c r="J119" s="91"/>
    </row>
    <row r="120" spans="1:10" ht="18" customHeight="1">
      <c r="A120" s="89" t="s">
        <v>154</v>
      </c>
      <c r="B120" s="90">
        <v>46614</v>
      </c>
      <c r="C120" s="82">
        <f>EDATE($B120,3)-1</f>
        <v>46705.0</v>
      </c>
      <c r="D120" s="91" t="s">
        <v>146</v>
      </c>
      <c r="E120" s="91"/>
      <c r="F120" s="91"/>
      <c r="G120" s="91"/>
      <c r="H120" s="91"/>
      <c r="I120" s="91"/>
      <c r="J120" s="91"/>
    </row>
    <row r="121" spans="1:10" ht="44" customHeight="1">
      <c r="A121" s="92" t="s">
        <v>155</v>
      </c>
      <c r="B121" s="92"/>
      <c r="C121" s="92"/>
      <c r="D121" s="92"/>
      <c r="E121" s="92"/>
      <c r="F121" s="92"/>
      <c r="G121" s="92"/>
      <c r="H121" s="92"/>
      <c r="I121" s="92"/>
      <c r="J121" s="92"/>
    </row>
    <row r="122" spans="1:10">
      <c r="A122" s="93" t="s">
        <v>156</v>
      </c>
    </row>
    <row r="123" spans="1:10" ht="22" customHeight="1">
      <c r="A123" s="4" t="s">
        <v>157</v>
      </c>
      <c r="B123" s="4"/>
      <c r="C123" s="4"/>
      <c r="D123" s="4"/>
      <c r="E123" s="4"/>
      <c r="F123" s="4"/>
      <c r="G123" s="4"/>
      <c r="H123" s="4"/>
      <c r="I123" s="4"/>
      <c r="J123" s="4"/>
    </row>
    <row r="124" spans="1:10">
      <c r="A124" s="88" t="s">
        <v>158</v>
      </c>
      <c r="B124" s="88"/>
      <c r="C124" s="88"/>
      <c r="D124" s="88"/>
      <c r="E124" s="88"/>
      <c r="F124" s="88"/>
      <c r="G124" s="88"/>
      <c r="H124" s="88"/>
      <c r="I124" s="88" t="s">
        <v>159</v>
      </c>
      <c r="J124" s="88" t="s">
        <v>139</v>
      </c>
    </row>
    <row r="125" spans="1:10" ht="20" customHeight="1">
      <c r="A125" s="23" t="s">
        <v>160</v>
      </c>
      <c r="B125" s="23"/>
      <c r="C125" s="23"/>
      <c r="D125" s="23"/>
      <c r="E125" s="23"/>
      <c r="F125" s="23"/>
      <c r="G125" s="23"/>
      <c r="H125" s="23"/>
      <c r="I125" s="94"/>
      <c r="J125" s="54"/>
    </row>
    <row r="126" spans="1:10" ht="20" customHeight="1">
      <c r="A126" s="23" t="s">
        <v>161</v>
      </c>
      <c r="B126" s="23"/>
      <c r="C126" s="23"/>
      <c r="D126" s="23"/>
      <c r="E126" s="23"/>
      <c r="F126" s="23"/>
      <c r="G126" s="23"/>
      <c r="H126" s="23"/>
      <c r="I126" s="94"/>
      <c r="J126" s="54"/>
    </row>
    <row r="127" spans="1:10" ht="20" customHeight="1">
      <c r="A127" s="23" t="s">
        <v>162</v>
      </c>
      <c r="B127" s="23"/>
      <c r="C127" s="23"/>
      <c r="D127" s="23"/>
      <c r="E127" s="23"/>
      <c r="F127" s="23"/>
      <c r="G127" s="23"/>
      <c r="H127" s="23"/>
      <c r="I127" s="94"/>
      <c r="J127" s="54"/>
    </row>
    <row r="128" spans="1:10" ht="20" customHeight="1">
      <c r="A128" s="23" t="s">
        <v>163</v>
      </c>
      <c r="B128" s="23"/>
      <c r="C128" s="23"/>
      <c r="D128" s="23"/>
      <c r="E128" s="23"/>
      <c r="F128" s="23"/>
      <c r="G128" s="23"/>
      <c r="H128" s="23"/>
      <c r="I128" s="94"/>
      <c r="J128" s="54"/>
    </row>
    <row r="129" spans="1:10" ht="20" customHeight="1">
      <c r="A129" s="23" t="s">
        <v>164</v>
      </c>
      <c r="B129" s="23"/>
      <c r="C129" s="23"/>
      <c r="D129" s="23"/>
      <c r="E129" s="23"/>
      <c r="F129" s="23"/>
      <c r="G129" s="23"/>
      <c r="H129" s="23"/>
      <c r="I129" s="94"/>
      <c r="J129" s="54"/>
    </row>
    <row r="130" spans="1:10" ht="30.2" customHeight="1">
      <c r="A130" s="23" t="s">
        <v>165</v>
      </c>
      <c r="B130" s="23"/>
      <c r="C130" s="23"/>
      <c r="D130" s="23"/>
      <c r="E130" s="23"/>
      <c r="F130" s="23"/>
      <c r="G130" s="23"/>
      <c r="H130" s="23"/>
      <c r="I130" s="94"/>
      <c r="J130" s="54"/>
    </row>
    <row r="131" spans="1:10" ht="20" customHeight="1">
      <c r="A131" s="23" t="s">
        <v>166</v>
      </c>
      <c r="B131" s="23"/>
      <c r="C131" s="23"/>
      <c r="D131" s="23"/>
      <c r="E131" s="23"/>
      <c r="F131" s="23"/>
      <c r="G131" s="23"/>
      <c r="H131" s="23"/>
      <c r="I131" s="94"/>
      <c r="J131" s="54"/>
    </row>
    <row r="132" spans="1:10" ht="30.2" customHeight="1">
      <c r="A132" s="23" t="s">
        <v>167</v>
      </c>
      <c r="B132" s="23"/>
      <c r="C132" s="23"/>
      <c r="D132" s="23"/>
      <c r="E132" s="23"/>
      <c r="F132" s="23"/>
      <c r="G132" s="23"/>
      <c r="H132" s="23"/>
      <c r="I132" s="94"/>
      <c r="J132" s="54"/>
    </row>
    <row r="133" spans="1:10" ht="44" customHeight="1">
      <c r="A133" s="92" t="s">
        <v>168</v>
      </c>
      <c r="B133" s="92"/>
      <c r="C133" s="92"/>
      <c r="D133" s="92"/>
      <c r="E133" s="92"/>
      <c r="F133" s="92"/>
      <c r="G133" s="92"/>
      <c r="H133" s="92"/>
      <c r="I133" s="92"/>
      <c r="J133" s="92"/>
    </row>
  </sheetData>
  <mergeCells count="40">
    <mergeCell ref="F2:J2"/>
    <mergeCell ref="A3:J3"/>
    <mergeCell ref="B4:C4"/>
    <mergeCell ref="B5:C5"/>
    <mergeCell ref="D4:E4"/>
    <mergeCell ref="D5:E5"/>
    <mergeCell ref="F4:G4"/>
    <mergeCell ref="F5:G5"/>
    <mergeCell ref="H4:I4"/>
    <mergeCell ref="H5:I5"/>
    <mergeCell ref="C6:E6"/>
    <mergeCell ref="F6:G6"/>
    <mergeCell ref="H6:J6"/>
    <mergeCell ref="A7:J7"/>
    <mergeCell ref="K7:Q7"/>
    <mergeCell ref="R7:AC7"/>
    <mergeCell ref="AD7:AI7"/>
    <mergeCell ref="A110:J110"/>
    <mergeCell ref="D111:J111"/>
    <mergeCell ref="D112:J112"/>
    <mergeCell ref="D113:J113"/>
    <mergeCell ref="D114:J114"/>
    <mergeCell ref="D115:J115"/>
    <mergeCell ref="D116:J116"/>
    <mergeCell ref="D117:J117"/>
    <mergeCell ref="D118:J118"/>
    <mergeCell ref="D119:J119"/>
    <mergeCell ref="D120:J120"/>
    <mergeCell ref="A121:J121"/>
    <mergeCell ref="A123:J123"/>
    <mergeCell ref="A124:H124"/>
    <mergeCell ref="A125:H125"/>
    <mergeCell ref="A126:H126"/>
    <mergeCell ref="A127:H127"/>
    <mergeCell ref="A128:H128"/>
    <mergeCell ref="A129:H129"/>
    <mergeCell ref="A130:H130"/>
    <mergeCell ref="A131:H131"/>
    <mergeCell ref="A132:H132"/>
    <mergeCell ref="A133:J133"/>
  </mergeCells>
  <conditionalFormatting sqref="AD9:AD108">
    <cfRule type="expression" dxfId="5" priority="3">
      <formula>AND(AD9&lt;&gt;"",NOT(ISNUMBER(AD9)))</formula>
    </cfRule>
  </conditionalFormatting>
  <conditionalFormatting sqref="AF9:AF108">
    <cfRule type="expression" dxfId="0" priority="21">
      <formula>AND(ISNUMBER($AF9),$AF9&lt;TODAY())</formula>
    </cfRule>
    <cfRule type="expression" dxfId="2" priority="22">
      <formula>AND(ISNUMBER($AF9),$AF9-TODAY()&lt;=60)</formula>
    </cfRule>
  </conditionalFormatting>
  <conditionalFormatting sqref="AG9:AG108">
    <cfRule type="expression" dxfId="5" priority="4">
      <formula>AND(AG9&lt;&gt;"",NOT(ISNUMBER(AG9)))</formula>
    </cfRule>
  </conditionalFormatting>
  <conditionalFormatting sqref="AH9:AH108">
    <cfRule type="expression" dxfId="0" priority="23">
      <formula>AND(ISNUMBER($AH9),$AH9&lt;TODAY())</formula>
    </cfRule>
    <cfRule type="expression" dxfId="1" priority="24">
      <formula>AND(ISNUMBER($AH9),$AH9-TODAY()&lt;=7)</formula>
    </cfRule>
  </conditionalFormatting>
  <conditionalFormatting sqref="E9:E108">
    <cfRule type="expression" dxfId="0" priority="18">
      <formula>AND(ISNUMBER($E9),$E9&lt;0)</formula>
    </cfRule>
    <cfRule type="expression" dxfId="1" priority="19">
      <formula>AND(ISNUMBER($E9),$E9&lt;=30)</formula>
    </cfRule>
    <cfRule type="expression" dxfId="2" priority="20">
      <formula>AND(ISNUMBER($E9),$E9&lt;=60)</formula>
    </cfRule>
  </conditionalFormatting>
  <conditionalFormatting sqref="F9:I108">
    <cfRule type="expression" dxfId="3" priority="10">
      <formula>$I9="Ready"</formula>
    </cfRule>
    <cfRule type="expression" dxfId="2" priority="11">
      <formula>$I9="Nearly"</formula>
    </cfRule>
    <cfRule type="expression" dxfId="0" priority="12">
      <formula>$I9="Not ready"</formula>
    </cfRule>
    <cfRule type="expression" dxfId="7" priority="13">
      <formula>$I9="Registered"</formula>
    </cfRule>
  </conditionalFormatting>
  <conditionalFormatting sqref="I125:I132">
    <cfRule type="cellIs" dxfId="3" priority="25" operator="equal">
      <formula>"Yes"</formula>
    </cfRule>
    <cfRule type="cellIs" dxfId="0" priority="26" operator="equal">
      <formula>"No"</formula>
    </cfRule>
    <cfRule type="cellIs" dxfId="4" priority="27" operator="equal">
      <formula>"N/A"</formula>
    </cfRule>
  </conditionalFormatting>
  <conditionalFormatting sqref="J9:J108">
    <cfRule type="expression" dxfId="0" priority="14">
      <formula>LEFT($J9,4)="OVER"</formula>
    </cfRule>
    <cfRule type="expression" dxfId="1" priority="15">
      <formula>LEFT($J9,5)="Open:"</formula>
    </cfRule>
    <cfRule type="expression" dxfId="3" priority="16">
      <formula>OR($J9="Registered")</formula>
    </cfRule>
    <cfRule type="expression" dxfId="4" priority="17">
      <formula>LEFT($J9,4)="Pick"</formula>
    </cfRule>
  </conditionalFormatting>
  <conditionalFormatting sqref="K9:AC108">
    <cfRule type="cellIs" dxfId="3" priority="7" operator="equal">
      <formula>"Yes"</formula>
    </cfRule>
    <cfRule type="cellIs" dxfId="0" priority="8" operator="equal">
      <formula>"No"</formula>
    </cfRule>
    <cfRule type="cellIs" dxfId="4" priority="9" operator="equal">
      <formula>"N/A"</formula>
    </cfRule>
  </conditionalFormatting>
  <conditionalFormatting sqref="V9:V108">
    <cfRule type="expression" dxfId="5" priority="1">
      <formula>AND(V9&lt;&gt;"",NOT(ISNUMBER(V9)))</formula>
    </cfRule>
    <cfRule type="expression" dxfId="6" priority="5">
      <formula>AND($U9="Yes",$V9="")</formula>
    </cfRule>
  </conditionalFormatting>
  <conditionalFormatting sqref="X9:X108">
    <cfRule type="expression" dxfId="5" priority="2">
      <formula>AND(X9&lt;&gt;"",NOT(ISNUMBER(X9)))</formula>
    </cfRule>
    <cfRule type="expression" dxfId="6" priority="6">
      <formula>AND($W9="Yes",$X9="")</formula>
    </cfRule>
  </conditionalFormatting>
  <dataValidations count="24">
    <dataValidation type="list" allowBlank="1" showInputMessage="1" showErrorMessage="1" errorTitle="Property not found" error="Choose a property from the dropdown. Add new properties on the Properties sheet first." sqref="A9:A108">
      <formula1>Properties!$A$6:$A$105</formula1>
    </dataValidation>
    <dataValidation type="list" allowBlank="1" showInputMessage="1" showErrorMessage="1" errorTitle="Region" error="Choose a region from the list (see the regional rollout table below the property table)." sqref="B9:B108">
      <formula1>$A$112:$A$120</formula1>
    </dataValidation>
    <dataValidation type="list" allowBlank="1" showInputMessage="1" showErrorMessage="1" errorTitle="Yes / No / N/A" error="Choose Yes, No or N/A." sqref="K9:K108">
      <formula1>"Yes,No,N/A"</formula1>
    </dataValidation>
    <dataValidation type="list" allowBlank="1" showInputMessage="1" showErrorMessage="1" errorTitle="Yes / No / N/A" error="Choose Yes, No or N/A." sqref="L9:L108">
      <formula1>"Yes,No,N/A"</formula1>
    </dataValidation>
    <dataValidation type="list" allowBlank="1" showInputMessage="1" showErrorMessage="1" errorTitle="Yes / No / N/A" error="Choose Yes, No or N/A." sqref="M9:M108">
      <formula1>"Yes,No,N/A"</formula1>
    </dataValidation>
    <dataValidation type="list" allowBlank="1" showInputMessage="1" showErrorMessage="1" errorTitle="Yes / No / N/A" error="Choose Yes, No or N/A." sqref="N9:N108">
      <formula1>"Yes,No,N/A"</formula1>
    </dataValidation>
    <dataValidation type="list" allowBlank="1" showInputMessage="1" showErrorMessage="1" errorTitle="Yes / No / N/A" error="Choose Yes, No or N/A." sqref="O9:O108">
      <formula1>"Yes,No,N/A"</formula1>
    </dataValidation>
    <dataValidation type="list" allowBlank="1" showInputMessage="1" showErrorMessage="1" errorTitle="Yes / No / N/A" error="Choose Yes, No or N/A." sqref="P9:P108">
      <formula1>"Yes,No,N/A"</formula1>
    </dataValidation>
    <dataValidation type="list" allowBlank="1" showInputMessage="1" showErrorMessage="1" errorTitle="Yes / No / N/A" error="Choose Yes, No or N/A." sqref="Q9:Q108">
      <formula1>"Yes,No,N/A"</formula1>
    </dataValidation>
    <dataValidation type="list" allowBlank="1" showInputMessage="1" showErrorMessage="1" errorTitle="Yes / No / N/A" error="Choose Yes, No or N/A." sqref="R9:R108">
      <formula1>"Yes,No,N/A"</formula1>
    </dataValidation>
    <dataValidation type="list" allowBlank="1" showInputMessage="1" showErrorMessage="1" errorTitle="Yes / No / N/A" error="Choose Yes, No or N/A." sqref="S9:S108">
      <formula1>"Yes,No,N/A"</formula1>
    </dataValidation>
    <dataValidation type="list" allowBlank="1" showInputMessage="1" showErrorMessage="1" errorTitle="Yes / No / N/A" error="Choose Yes, No or N/A." sqref="T9:T108">
      <formula1>"Yes,No,N/A"</formula1>
    </dataValidation>
    <dataValidation type="list" allowBlank="1" showInputMessage="1" showErrorMessage="1" errorTitle="Yes / No / N/A" error="Choose Yes, No or N/A." sqref="U9:U108">
      <formula1>"Yes,No,N/A"</formula1>
    </dataValidation>
    <dataValidation type="list" allowBlank="1" showInputMessage="1" showErrorMessage="1" errorTitle="Yes / No / N/A" error="Choose Yes, No or N/A." sqref="W9:W108">
      <formula1>"Yes,No,N/A"</formula1>
    </dataValidation>
    <dataValidation type="list" allowBlank="1" showInputMessage="1" showErrorMessage="1" errorTitle="Yes / No / N/A" error="Choose Yes, No or N/A." sqref="Y9:Y108">
      <formula1>"Yes,No,N/A"</formula1>
    </dataValidation>
    <dataValidation type="list" allowBlank="1" showInputMessage="1" showErrorMessage="1" errorTitle="Yes / No / N/A" error="Choose Yes, No or N/A." sqref="Z9:Z108">
      <formula1>"Yes,No,N/A"</formula1>
    </dataValidation>
    <dataValidation type="list" allowBlank="1" showInputMessage="1" showErrorMessage="1" errorTitle="Yes / No / N/A" error="Choose Yes, No or N/A." sqref="AA9:AA108">
      <formula1>"Yes,No,N/A"</formula1>
    </dataValidation>
    <dataValidation type="list" allowBlank="1" showInputMessage="1" showErrorMessage="1" errorTitle="Yes / No / N/A" error="Choose Yes, No or N/A." sqref="AB9:AB108">
      <formula1>"Yes,No,N/A"</formula1>
    </dataValidation>
    <dataValidation type="list" allowBlank="1" showInputMessage="1" showErrorMessage="1" errorTitle="Yes / No / N/A" error="Choose Yes, No or N/A." sqref="AC9:AC108">
      <formula1>"Yes,No,N/A"</formula1>
    </dataValidation>
    <dataValidation type="date" allowBlank="1" showInputMessage="1" showErrorMessage="1" errorTitle="Not a date" error="Enter a date as dd/mm/yyyy. In Google Sheets set File &gt; Settings &gt; Locale to United Kingdom." sqref="V9:V108">
      <formula1>36526</formula1>
      <formula2>73415</formula2>
    </dataValidation>
    <dataValidation type="date" allowBlank="1" showInputMessage="1" showErrorMessage="1" errorTitle="Not a date" error="Enter a date as dd/mm/yyyy. In Google Sheets set File &gt; Settings &gt; Locale to United Kingdom." sqref="X9:X108">
      <formula1>36526</formula1>
      <formula2>73415</formula2>
    </dataValidation>
    <dataValidation type="date" allowBlank="1" showInputMessage="1" showErrorMessage="1" errorTitle="Not a date" error="Enter a date as dd/mm/yyyy. In Google Sheets set File &gt; Settings &gt; Locale to United Kingdom." sqref="AD9:AD108">
      <formula1>36526</formula1>
      <formula2>73415</formula2>
    </dataValidation>
    <dataValidation type="date" allowBlank="1" showInputMessage="1" showErrorMessage="1" errorTitle="Not a date" error="Enter a date as dd/mm/yyyy. In Google Sheets set File &gt; Settings &gt; Locale to United Kingdom." sqref="AG9:AG108">
      <formula1>36526</formula1>
      <formula2>73415</formula2>
    </dataValidation>
    <dataValidation type="list" allowBlank="1" showInputMessage="1" showErrorMessage="1" errorTitle="Yes / No / N/A" error="Choose Yes, No or N/A." sqref="I125:I132">
      <formula1>"Yes,No,N/A"</formula1>
    </dataValidation>
  </dataValidations>
  <hyperlinks>
    <hyperlink ref="F2" location="'PRS Database Readiness'!A110" display="Regional dates and the landlord checklist are below the table (click)"/>
    <hyperlink ref="A122" r:id="rId1"/>
  </hyperlinks>
  <pageMargins left="0.4" right="0.4" top="0.5" bottom="0.55" header="0.3" footer="0.3"/>
  <pageSetup paperSize="9" fitToHeight="0" orientation="landscape"/>
  <headerFooter>
    <oddFooter>&amp;L&amp;8&amp;A&amp;C&amp;8Page &amp;P of &amp;N&amp;R&amp;8Printed &amp;D</oddFooter>
  </headerFooter>
  <ignoredErrors>
    <ignoredError sqref="A1:Z2000" numberStoredAsText="1"/>
    <ignoredError sqref="A1:Z2000" formula="1"/>
  </ignoredErrors>
</worksheet>
</file>

<file path=xl/worksheets/sheet4.xml><?xml version="1.0" encoding="utf-8"?>
<worksheet xmlns="http://schemas.openxmlformats.org/spreadsheetml/2006/main" xmlns:r="http://schemas.openxmlformats.org/officeDocument/2006/relationships">
  <sheetPr>
    <tabColor rgb="FF1565C0"/>
    <pageSetUpPr fitToPage="1"/>
  </sheetPr>
  <dimension ref="A1:T105"/>
  <sheetViews>
    <sheetView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42.7109375" customWidth="1"/>
    <col min="2" max="2" width="22.7109375" customWidth="1"/>
    <col min="3" max="3" width="18.7109375" customWidth="1"/>
    <col min="4" max="4" width="16.7109375" customWidth="1"/>
    <col min="5" max="6" width="12.7109375" customWidth="1"/>
    <col min="7" max="7" width="10.7109375" customWidth="1"/>
    <col min="8" max="8" width="15.7109375" customWidth="1"/>
    <col min="9" max="10" width="11.7109375" customWidth="1"/>
    <col min="11" max="11" width="12.7109375" customWidth="1"/>
    <col min="12" max="14" width="8.7109375" customWidth="1"/>
    <col min="15" max="15" width="12.7109375" customWidth="1"/>
    <col min="16" max="16" width="17.7109375" customWidth="1"/>
    <col min="17" max="17" width="22.7109375" customWidth="1"/>
    <col min="18" max="18" width="20.7109375" customWidth="1"/>
    <col min="19" max="19" width="16.7109375" customWidth="1"/>
    <col min="20" max="20" width="42.7109375" customWidth="1"/>
  </cols>
  <sheetData>
    <row r="1" spans="1:20" ht="17" customHeight="1">
      <c r="A1" s="25" t="str">
        <f>IF(TRIM('Start Here'!$C$20)="","HMO Compliance Tracker 2026",TRIM('Start Here'!$C$20))&amp;IF(TRIM('Start Here'!$C$21)="","","  |  "&amp;TRIM('Start Here'!$C$21))&amp;IF(TRIM('Start Here'!$C$22)="","","  |  "&amp;TRIM('Start Here'!$C$22))&amp;IF(TRIM('Start Here'!$C$23)="","","  |  "&amp;TRIM('Start Here'!$C$23))</f>
        <v>HMO Compliance Tracker 2026</v>
      </c>
      <c r="B1" s="26"/>
      <c r="C1" s="26"/>
      <c r="D1" s="26"/>
      <c r="E1" s="26"/>
      <c r="F1" s="26"/>
      <c r="G1" s="26"/>
      <c r="H1" s="26"/>
      <c r="I1" s="26"/>
      <c r="J1" s="26"/>
      <c r="K1" s="26"/>
      <c r="L1" s="26"/>
      <c r="M1" s="26"/>
      <c r="N1" s="26"/>
      <c r="O1" s="26"/>
      <c r="P1" s="26"/>
      <c r="Q1" s="26"/>
      <c r="R1" s="26"/>
      <c r="S1" s="26"/>
      <c r="T1" s="26"/>
    </row>
    <row r="2" spans="1:20" ht="30" customHeight="1">
      <c r="A2" s="55" t="s">
        <v>52</v>
      </c>
    </row>
    <row r="3" spans="1:20" ht="32" customHeight="1">
      <c r="A3" s="95" t="s">
        <v>176</v>
      </c>
      <c r="B3" s="95"/>
      <c r="C3" s="95"/>
      <c r="D3" s="95"/>
      <c r="E3" s="95"/>
      <c r="F3" s="95"/>
      <c r="G3" s="95"/>
      <c r="H3" s="95"/>
      <c r="I3" s="95"/>
      <c r="J3" s="95"/>
      <c r="K3" s="95"/>
      <c r="L3" s="95"/>
      <c r="M3" s="95"/>
      <c r="N3" s="95"/>
      <c r="O3" s="95"/>
      <c r="P3" s="95"/>
      <c r="Q3" s="95"/>
      <c r="R3" s="95"/>
      <c r="S3" s="95"/>
      <c r="T3" s="95"/>
    </row>
    <row r="4" spans="1:20" ht="6" customHeight="1"/>
    <row r="5" spans="1:20" ht="44" customHeight="1">
      <c r="A5" s="96" t="s">
        <v>177</v>
      </c>
      <c r="B5" s="96" t="s">
        <v>178</v>
      </c>
      <c r="C5" s="96" t="s">
        <v>179</v>
      </c>
      <c r="D5" s="96" t="s">
        <v>180</v>
      </c>
      <c r="E5" s="96" t="s">
        <v>181</v>
      </c>
      <c r="F5" s="96" t="s">
        <v>182</v>
      </c>
      <c r="G5" s="50" t="s">
        <v>183</v>
      </c>
      <c r="H5" s="50" t="s">
        <v>184</v>
      </c>
      <c r="I5" s="96" t="s">
        <v>185</v>
      </c>
      <c r="J5" s="96" t="s">
        <v>186</v>
      </c>
      <c r="K5" s="50" t="s">
        <v>187</v>
      </c>
      <c r="L5" s="96" t="s">
        <v>188</v>
      </c>
      <c r="M5" s="96" t="s">
        <v>189</v>
      </c>
      <c r="N5" s="96" t="s">
        <v>190</v>
      </c>
      <c r="O5" s="96" t="s">
        <v>191</v>
      </c>
      <c r="P5" s="50" t="s">
        <v>192</v>
      </c>
      <c r="Q5" s="50" t="s">
        <v>193</v>
      </c>
      <c r="R5" s="96" t="s">
        <v>194</v>
      </c>
      <c r="S5" s="96" t="s">
        <v>195</v>
      </c>
      <c r="T5" s="96" t="s">
        <v>139</v>
      </c>
    </row>
    <row r="6" spans="1:20" ht="18" customHeight="1">
      <c r="A6" s="54" t="s">
        <v>169</v>
      </c>
      <c r="B6" s="81" t="s">
        <v>196</v>
      </c>
      <c r="C6" s="81" t="s">
        <v>197</v>
      </c>
      <c r="D6" s="81" t="s">
        <v>198</v>
      </c>
      <c r="E6" s="52">
        <f>TODAY()-(1700)</f>
        <v>44597.0</v>
      </c>
      <c r="F6" s="52">
        <f>TODAY()+(126)</f>
        <v>46423.0</v>
      </c>
      <c r="G6" s="83">
        <f>IF(OR($C6="",NOT(ISNUMBER($F6))),"",$F6-TODAY())</f>
        <v>126</v>
      </c>
      <c r="H6" s="97" t="str">
        <f>IF($C6="","",IF($C6="Not licensable","n/a",IF($C6="Applied-pending","Pending",IF(NOT(ISNUMBER($F6)),"No date",IF($G6&lt;0,"Expired",IF($G6&lt;=30,"Expires &lt;=30",IF($G6&lt;=60,"Expires 31-60","Valid")))))))</f>
        <v>Valid</v>
      </c>
      <c r="I6" s="53">
        <v>5</v>
      </c>
      <c r="J6" s="53">
        <v>6</v>
      </c>
      <c r="K6" s="97" t="str">
        <f>IF(OR(NOT(ISNUMBER($I6)),NOT(ISNUMBER($J6))),"",IF($J6&gt;$I6,"OVER","OK"))</f>
        <v>OVER</v>
      </c>
      <c r="L6" s="51">
        <v>3</v>
      </c>
      <c r="M6" s="51">
        <v>5</v>
      </c>
      <c r="N6" s="51" t="s">
        <v>199</v>
      </c>
      <c r="O6" s="52">
        <f>TODAY()-(1500)</f>
        <v>44797.0</v>
      </c>
      <c r="P6" s="97" t="str">
        <f>IF($N6="","",IF(OR($N6="F",$N6="G"),"Below E - check",IF(NOT(ISNUMBER($O6)),"No date",IF($O6&lt;TODAY(),"Expired",IF($O6-TODAY()&lt;=60,"Expires &lt;=60","Valid")))))</f>
        <v>Expired</v>
      </c>
      <c r="Q6" s="97">
        <f>IF($A6="","",IFERROR(IF(INDEX('PRS Database Readiness'!$AE$9:$AE$108,MATCH($A6,'PRS Database Readiness'!$A$9:$A$108,0))="","",INDEX('PRS Database Readiness'!$AE$9:$AE$108,MATCH($A6,'PRS Database Readiness'!$A$9:$A$108,0))),""))</f>
        <v/>
      </c>
      <c r="R6" s="81" t="s">
        <v>200</v>
      </c>
      <c r="S6" s="81" t="s">
        <v>201</v>
      </c>
      <c r="T6" s="81" t="s">
        <v>202</v>
      </c>
    </row>
    <row r="7" spans="1:20" ht="18" customHeight="1">
      <c r="A7" s="54" t="s">
        <v>174</v>
      </c>
      <c r="B7" s="81" t="s">
        <v>203</v>
      </c>
      <c r="C7" s="81" t="s">
        <v>204</v>
      </c>
      <c r="D7" s="81" t="s">
        <v>205</v>
      </c>
      <c r="E7" s="52">
        <f>TODAY()-(900)</f>
        <v>45397.0</v>
      </c>
      <c r="F7" s="52">
        <f>TODAY()+(40)</f>
        <v>46337.0</v>
      </c>
      <c r="G7" s="83">
        <f>IF(OR($C7="",NOT(ISNUMBER($F7))),"",$F7-TODAY())</f>
        <v>40</v>
      </c>
      <c r="H7" s="97" t="str">
        <f>IF($C7="","",IF($C7="Not licensable","n/a",IF($C7="Applied-pending","Pending",IF(NOT(ISNUMBER($F7)),"No date",IF($G7&lt;0,"Expired",IF($G7&lt;=30,"Expires &lt;=30",IF($G7&lt;=60,"Expires 31-60","Valid")))))))</f>
        <v>Expires 31-60</v>
      </c>
      <c r="I7" s="53">
        <v>4</v>
      </c>
      <c r="J7" s="53">
        <v>4</v>
      </c>
      <c r="K7" s="97" t="str">
        <f>IF(OR(NOT(ISNUMBER($I7)),NOT(ISNUMBER($J7))),"",IF($J7&gt;$I7,"OVER","OK"))</f>
        <v>OK</v>
      </c>
      <c r="L7" s="51">
        <v>2</v>
      </c>
      <c r="M7" s="51">
        <v>4</v>
      </c>
      <c r="N7" s="51" t="s">
        <v>206</v>
      </c>
      <c r="O7" s="52">
        <f>TODAY()-(2000)</f>
        <v>44297.0</v>
      </c>
      <c r="P7" s="97" t="str">
        <f>IF($N7="","",IF(OR($N7="F",$N7="G"),"Below E - check",IF(NOT(ISNUMBER($O7)),"No date",IF($O7&lt;TODAY(),"Expired",IF($O7-TODAY()&lt;=60,"Expires &lt;=60","Valid")))))</f>
        <v>Expired</v>
      </c>
      <c r="Q7" s="97">
        <f>IF($A7="","",IFERROR(IF(INDEX('PRS Database Readiness'!$AE$9:$AE$108,MATCH($A7,'PRS Database Readiness'!$A$9:$A$108,0))="","",INDEX('PRS Database Readiness'!$AE$9:$AE$108,MATCH($A7,'PRS Database Readiness'!$A$9:$A$108,0))),""))</f>
        <v/>
      </c>
      <c r="R7" s="81" t="s">
        <v>200</v>
      </c>
      <c r="S7" s="81" t="s">
        <v>201</v>
      </c>
      <c r="T7" s="81" t="s">
        <v>207</v>
      </c>
    </row>
    <row r="8" spans="1:20" ht="18" customHeight="1">
      <c r="A8" s="54"/>
      <c r="B8" s="81"/>
      <c r="C8" s="81"/>
      <c r="D8" s="81"/>
      <c r="E8" s="52"/>
      <c r="F8" s="52"/>
      <c r="G8" s="83">
        <f>IF(OR($C8="",NOT(ISNUMBER($F8))),"",$F8-TODAY())</f>
        <v/>
      </c>
      <c r="H8" s="97">
        <f>IF($C8="","",IF($C8="Not licensable","n/a",IF($C8="Applied-pending","Pending",IF(NOT(ISNUMBER($F8)),"No date",IF($G8&lt;0,"Expired",IF($G8&lt;=30,"Expires &lt;=30",IF($G8&lt;=60,"Expires 31-60","Valid")))))))</f>
        <v/>
      </c>
      <c r="I8" s="53"/>
      <c r="J8" s="53"/>
      <c r="K8" s="97">
        <f>IF(OR(NOT(ISNUMBER($I8)),NOT(ISNUMBER($J8))),"",IF($J8&gt;$I8,"OVER","OK"))</f>
        <v/>
      </c>
      <c r="L8" s="51"/>
      <c r="M8" s="51"/>
      <c r="N8" s="51"/>
      <c r="O8" s="52"/>
      <c r="P8" s="97">
        <f>IF($N8="","",IF(OR($N8="F",$N8="G"),"Below E - check",IF(NOT(ISNUMBER($O8)),"No date",IF($O8&lt;TODAY(),"Expired",IF($O8-TODAY()&lt;=60,"Expires &lt;=60","Valid")))))</f>
        <v/>
      </c>
      <c r="Q8" s="97">
        <f>IF($A8="","",IFERROR(IF(INDEX('PRS Database Readiness'!$AE$9:$AE$108,MATCH($A8,'PRS Database Readiness'!$A$9:$A$108,0))="","",INDEX('PRS Database Readiness'!$AE$9:$AE$108,MATCH($A8,'PRS Database Readiness'!$A$9:$A$108,0))),""))</f>
        <v/>
      </c>
      <c r="R8" s="81"/>
      <c r="S8" s="81"/>
      <c r="T8" s="81"/>
    </row>
    <row r="9" spans="1:20" ht="18" customHeight="1">
      <c r="A9" s="54"/>
      <c r="B9" s="81"/>
      <c r="C9" s="81"/>
      <c r="D9" s="81"/>
      <c r="E9" s="52"/>
      <c r="F9" s="52"/>
      <c r="G9" s="83">
        <f>IF(OR($C9="",NOT(ISNUMBER($F9))),"",$F9-TODAY())</f>
        <v/>
      </c>
      <c r="H9" s="97">
        <f>IF($C9="","",IF($C9="Not licensable","n/a",IF($C9="Applied-pending","Pending",IF(NOT(ISNUMBER($F9)),"No date",IF($G9&lt;0,"Expired",IF($G9&lt;=30,"Expires &lt;=30",IF($G9&lt;=60,"Expires 31-60","Valid")))))))</f>
        <v/>
      </c>
      <c r="I9" s="53"/>
      <c r="J9" s="53"/>
      <c r="K9" s="97">
        <f>IF(OR(NOT(ISNUMBER($I9)),NOT(ISNUMBER($J9))),"",IF($J9&gt;$I9,"OVER","OK"))</f>
        <v/>
      </c>
      <c r="L9" s="51"/>
      <c r="M9" s="51"/>
      <c r="N9" s="51"/>
      <c r="O9" s="52"/>
      <c r="P9" s="97">
        <f>IF($N9="","",IF(OR($N9="F",$N9="G"),"Below E - check",IF(NOT(ISNUMBER($O9)),"No date",IF($O9&lt;TODAY(),"Expired",IF($O9-TODAY()&lt;=60,"Expires &lt;=60","Valid")))))</f>
        <v/>
      </c>
      <c r="Q9" s="97">
        <f>IF($A9="","",IFERROR(IF(INDEX('PRS Database Readiness'!$AE$9:$AE$108,MATCH($A9,'PRS Database Readiness'!$A$9:$A$108,0))="","",INDEX('PRS Database Readiness'!$AE$9:$AE$108,MATCH($A9,'PRS Database Readiness'!$A$9:$A$108,0))),""))</f>
        <v/>
      </c>
      <c r="R9" s="81"/>
      <c r="S9" s="81"/>
      <c r="T9" s="81"/>
    </row>
    <row r="10" spans="1:20" ht="18" customHeight="1">
      <c r="A10" s="54"/>
      <c r="B10" s="81"/>
      <c r="C10" s="81"/>
      <c r="D10" s="81"/>
      <c r="E10" s="52"/>
      <c r="F10" s="52"/>
      <c r="G10" s="83">
        <f>IF(OR($C10="",NOT(ISNUMBER($F10))),"",$F10-TODAY())</f>
        <v/>
      </c>
      <c r="H10" s="97">
        <f>IF($C10="","",IF($C10="Not licensable","n/a",IF($C10="Applied-pending","Pending",IF(NOT(ISNUMBER($F10)),"No date",IF($G10&lt;0,"Expired",IF($G10&lt;=30,"Expires &lt;=30",IF($G10&lt;=60,"Expires 31-60","Valid")))))))</f>
        <v/>
      </c>
      <c r="I10" s="53"/>
      <c r="J10" s="53"/>
      <c r="K10" s="97">
        <f>IF(OR(NOT(ISNUMBER($I10)),NOT(ISNUMBER($J10))),"",IF($J10&gt;$I10,"OVER","OK"))</f>
        <v/>
      </c>
      <c r="L10" s="51"/>
      <c r="M10" s="51"/>
      <c r="N10" s="51"/>
      <c r="O10" s="52"/>
      <c r="P10" s="97">
        <f>IF($N10="","",IF(OR($N10="F",$N10="G"),"Below E - check",IF(NOT(ISNUMBER($O10)),"No date",IF($O10&lt;TODAY(),"Expired",IF($O10-TODAY()&lt;=60,"Expires &lt;=60","Valid")))))</f>
        <v/>
      </c>
      <c r="Q10" s="97">
        <f>IF($A10="","",IFERROR(IF(INDEX('PRS Database Readiness'!$AE$9:$AE$108,MATCH($A10,'PRS Database Readiness'!$A$9:$A$108,0))="","",INDEX('PRS Database Readiness'!$AE$9:$AE$108,MATCH($A10,'PRS Database Readiness'!$A$9:$A$108,0))),""))</f>
        <v/>
      </c>
      <c r="R10" s="81"/>
      <c r="S10" s="81"/>
      <c r="T10" s="81"/>
    </row>
    <row r="11" spans="1:20" ht="18" customHeight="1">
      <c r="A11" s="54"/>
      <c r="B11" s="81"/>
      <c r="C11" s="81"/>
      <c r="D11" s="81"/>
      <c r="E11" s="52"/>
      <c r="F11" s="52"/>
      <c r="G11" s="83">
        <f>IF(OR($C11="",NOT(ISNUMBER($F11))),"",$F11-TODAY())</f>
        <v/>
      </c>
      <c r="H11" s="97">
        <f>IF($C11="","",IF($C11="Not licensable","n/a",IF($C11="Applied-pending","Pending",IF(NOT(ISNUMBER($F11)),"No date",IF($G11&lt;0,"Expired",IF($G11&lt;=30,"Expires &lt;=30",IF($G11&lt;=60,"Expires 31-60","Valid")))))))</f>
        <v/>
      </c>
      <c r="I11" s="53"/>
      <c r="J11" s="53"/>
      <c r="K11" s="97">
        <f>IF(OR(NOT(ISNUMBER($I11)),NOT(ISNUMBER($J11))),"",IF($J11&gt;$I11,"OVER","OK"))</f>
        <v/>
      </c>
      <c r="L11" s="51"/>
      <c r="M11" s="51"/>
      <c r="N11" s="51"/>
      <c r="O11" s="52"/>
      <c r="P11" s="97">
        <f>IF($N11="","",IF(OR($N11="F",$N11="G"),"Below E - check",IF(NOT(ISNUMBER($O11)),"No date",IF($O11&lt;TODAY(),"Expired",IF($O11-TODAY()&lt;=60,"Expires &lt;=60","Valid")))))</f>
        <v/>
      </c>
      <c r="Q11" s="97">
        <f>IF($A11="","",IFERROR(IF(INDEX('PRS Database Readiness'!$AE$9:$AE$108,MATCH($A11,'PRS Database Readiness'!$A$9:$A$108,0))="","",INDEX('PRS Database Readiness'!$AE$9:$AE$108,MATCH($A11,'PRS Database Readiness'!$A$9:$A$108,0))),""))</f>
        <v/>
      </c>
      <c r="R11" s="81"/>
      <c r="S11" s="81"/>
      <c r="T11" s="81"/>
    </row>
    <row r="12" spans="1:20" ht="18" customHeight="1">
      <c r="A12" s="54"/>
      <c r="B12" s="81"/>
      <c r="C12" s="81"/>
      <c r="D12" s="81"/>
      <c r="E12" s="52"/>
      <c r="F12" s="52"/>
      <c r="G12" s="83">
        <f>IF(OR($C12="",NOT(ISNUMBER($F12))),"",$F12-TODAY())</f>
        <v/>
      </c>
      <c r="H12" s="97">
        <f>IF($C12="","",IF($C12="Not licensable","n/a",IF($C12="Applied-pending","Pending",IF(NOT(ISNUMBER($F12)),"No date",IF($G12&lt;0,"Expired",IF($G12&lt;=30,"Expires &lt;=30",IF($G12&lt;=60,"Expires 31-60","Valid")))))))</f>
        <v/>
      </c>
      <c r="I12" s="53"/>
      <c r="J12" s="53"/>
      <c r="K12" s="97">
        <f>IF(OR(NOT(ISNUMBER($I12)),NOT(ISNUMBER($J12))),"",IF($J12&gt;$I12,"OVER","OK"))</f>
        <v/>
      </c>
      <c r="L12" s="51"/>
      <c r="M12" s="51"/>
      <c r="N12" s="51"/>
      <c r="O12" s="52"/>
      <c r="P12" s="97">
        <f>IF($N12="","",IF(OR($N12="F",$N12="G"),"Below E - check",IF(NOT(ISNUMBER($O12)),"No date",IF($O12&lt;TODAY(),"Expired",IF($O12-TODAY()&lt;=60,"Expires &lt;=60","Valid")))))</f>
        <v/>
      </c>
      <c r="Q12" s="97">
        <f>IF($A12="","",IFERROR(IF(INDEX('PRS Database Readiness'!$AE$9:$AE$108,MATCH($A12,'PRS Database Readiness'!$A$9:$A$108,0))="","",INDEX('PRS Database Readiness'!$AE$9:$AE$108,MATCH($A12,'PRS Database Readiness'!$A$9:$A$108,0))),""))</f>
        <v/>
      </c>
      <c r="R12" s="81"/>
      <c r="S12" s="81"/>
      <c r="T12" s="81"/>
    </row>
    <row r="13" spans="1:20" ht="18" customHeight="1">
      <c r="A13" s="54"/>
      <c r="B13" s="81"/>
      <c r="C13" s="81"/>
      <c r="D13" s="81"/>
      <c r="E13" s="52"/>
      <c r="F13" s="52"/>
      <c r="G13" s="83">
        <f>IF(OR($C13="",NOT(ISNUMBER($F13))),"",$F13-TODAY())</f>
        <v/>
      </c>
      <c r="H13" s="97">
        <f>IF($C13="","",IF($C13="Not licensable","n/a",IF($C13="Applied-pending","Pending",IF(NOT(ISNUMBER($F13)),"No date",IF($G13&lt;0,"Expired",IF($G13&lt;=30,"Expires &lt;=30",IF($G13&lt;=60,"Expires 31-60","Valid")))))))</f>
        <v/>
      </c>
      <c r="I13" s="53"/>
      <c r="J13" s="53"/>
      <c r="K13" s="97">
        <f>IF(OR(NOT(ISNUMBER($I13)),NOT(ISNUMBER($J13))),"",IF($J13&gt;$I13,"OVER","OK"))</f>
        <v/>
      </c>
      <c r="L13" s="51"/>
      <c r="M13" s="51"/>
      <c r="N13" s="51"/>
      <c r="O13" s="52"/>
      <c r="P13" s="97">
        <f>IF($N13="","",IF(OR($N13="F",$N13="G"),"Below E - check",IF(NOT(ISNUMBER($O13)),"No date",IF($O13&lt;TODAY(),"Expired",IF($O13-TODAY()&lt;=60,"Expires &lt;=60","Valid")))))</f>
        <v/>
      </c>
      <c r="Q13" s="97">
        <f>IF($A13="","",IFERROR(IF(INDEX('PRS Database Readiness'!$AE$9:$AE$108,MATCH($A13,'PRS Database Readiness'!$A$9:$A$108,0))="","",INDEX('PRS Database Readiness'!$AE$9:$AE$108,MATCH($A13,'PRS Database Readiness'!$A$9:$A$108,0))),""))</f>
        <v/>
      </c>
      <c r="R13" s="81"/>
      <c r="S13" s="81"/>
      <c r="T13" s="81"/>
    </row>
    <row r="14" spans="1:20" ht="18" customHeight="1">
      <c r="A14" s="54"/>
      <c r="B14" s="81"/>
      <c r="C14" s="81"/>
      <c r="D14" s="81"/>
      <c r="E14" s="52"/>
      <c r="F14" s="52"/>
      <c r="G14" s="83">
        <f>IF(OR($C14="",NOT(ISNUMBER($F14))),"",$F14-TODAY())</f>
        <v/>
      </c>
      <c r="H14" s="97">
        <f>IF($C14="","",IF($C14="Not licensable","n/a",IF($C14="Applied-pending","Pending",IF(NOT(ISNUMBER($F14)),"No date",IF($G14&lt;0,"Expired",IF($G14&lt;=30,"Expires &lt;=30",IF($G14&lt;=60,"Expires 31-60","Valid")))))))</f>
        <v/>
      </c>
      <c r="I14" s="53"/>
      <c r="J14" s="53"/>
      <c r="K14" s="97">
        <f>IF(OR(NOT(ISNUMBER($I14)),NOT(ISNUMBER($J14))),"",IF($J14&gt;$I14,"OVER","OK"))</f>
        <v/>
      </c>
      <c r="L14" s="51"/>
      <c r="M14" s="51"/>
      <c r="N14" s="51"/>
      <c r="O14" s="52"/>
      <c r="P14" s="97">
        <f>IF($N14="","",IF(OR($N14="F",$N14="G"),"Below E - check",IF(NOT(ISNUMBER($O14)),"No date",IF($O14&lt;TODAY(),"Expired",IF($O14-TODAY()&lt;=60,"Expires &lt;=60","Valid")))))</f>
        <v/>
      </c>
      <c r="Q14" s="97">
        <f>IF($A14="","",IFERROR(IF(INDEX('PRS Database Readiness'!$AE$9:$AE$108,MATCH($A14,'PRS Database Readiness'!$A$9:$A$108,0))="","",INDEX('PRS Database Readiness'!$AE$9:$AE$108,MATCH($A14,'PRS Database Readiness'!$A$9:$A$108,0))),""))</f>
        <v/>
      </c>
      <c r="R14" s="81"/>
      <c r="S14" s="81"/>
      <c r="T14" s="81"/>
    </row>
    <row r="15" spans="1:20" ht="18" customHeight="1">
      <c r="A15" s="54"/>
      <c r="B15" s="81"/>
      <c r="C15" s="81"/>
      <c r="D15" s="81"/>
      <c r="E15" s="52"/>
      <c r="F15" s="52"/>
      <c r="G15" s="83">
        <f>IF(OR($C15="",NOT(ISNUMBER($F15))),"",$F15-TODAY())</f>
        <v/>
      </c>
      <c r="H15" s="97">
        <f>IF($C15="","",IF($C15="Not licensable","n/a",IF($C15="Applied-pending","Pending",IF(NOT(ISNUMBER($F15)),"No date",IF($G15&lt;0,"Expired",IF($G15&lt;=30,"Expires &lt;=30",IF($G15&lt;=60,"Expires 31-60","Valid")))))))</f>
        <v/>
      </c>
      <c r="I15" s="53"/>
      <c r="J15" s="53"/>
      <c r="K15" s="97">
        <f>IF(OR(NOT(ISNUMBER($I15)),NOT(ISNUMBER($J15))),"",IF($J15&gt;$I15,"OVER","OK"))</f>
        <v/>
      </c>
      <c r="L15" s="51"/>
      <c r="M15" s="51"/>
      <c r="N15" s="51"/>
      <c r="O15" s="52"/>
      <c r="P15" s="97">
        <f>IF($N15="","",IF(OR($N15="F",$N15="G"),"Below E - check",IF(NOT(ISNUMBER($O15)),"No date",IF($O15&lt;TODAY(),"Expired",IF($O15-TODAY()&lt;=60,"Expires &lt;=60","Valid")))))</f>
        <v/>
      </c>
      <c r="Q15" s="97">
        <f>IF($A15="","",IFERROR(IF(INDEX('PRS Database Readiness'!$AE$9:$AE$108,MATCH($A15,'PRS Database Readiness'!$A$9:$A$108,0))="","",INDEX('PRS Database Readiness'!$AE$9:$AE$108,MATCH($A15,'PRS Database Readiness'!$A$9:$A$108,0))),""))</f>
        <v/>
      </c>
      <c r="R15" s="81"/>
      <c r="S15" s="81"/>
      <c r="T15" s="81"/>
    </row>
    <row r="16" spans="1:20" ht="18" customHeight="1">
      <c r="A16" s="54"/>
      <c r="B16" s="81"/>
      <c r="C16" s="81"/>
      <c r="D16" s="81"/>
      <c r="E16" s="52"/>
      <c r="F16" s="52"/>
      <c r="G16" s="83">
        <f>IF(OR($C16="",NOT(ISNUMBER($F16))),"",$F16-TODAY())</f>
        <v/>
      </c>
      <c r="H16" s="97">
        <f>IF($C16="","",IF($C16="Not licensable","n/a",IF($C16="Applied-pending","Pending",IF(NOT(ISNUMBER($F16)),"No date",IF($G16&lt;0,"Expired",IF($G16&lt;=30,"Expires &lt;=30",IF($G16&lt;=60,"Expires 31-60","Valid")))))))</f>
        <v/>
      </c>
      <c r="I16" s="53"/>
      <c r="J16" s="53"/>
      <c r="K16" s="97">
        <f>IF(OR(NOT(ISNUMBER($I16)),NOT(ISNUMBER($J16))),"",IF($J16&gt;$I16,"OVER","OK"))</f>
        <v/>
      </c>
      <c r="L16" s="51"/>
      <c r="M16" s="51"/>
      <c r="N16" s="51"/>
      <c r="O16" s="52"/>
      <c r="P16" s="97">
        <f>IF($N16="","",IF(OR($N16="F",$N16="G"),"Below E - check",IF(NOT(ISNUMBER($O16)),"No date",IF($O16&lt;TODAY(),"Expired",IF($O16-TODAY()&lt;=60,"Expires &lt;=60","Valid")))))</f>
        <v/>
      </c>
      <c r="Q16" s="97">
        <f>IF($A16="","",IFERROR(IF(INDEX('PRS Database Readiness'!$AE$9:$AE$108,MATCH($A16,'PRS Database Readiness'!$A$9:$A$108,0))="","",INDEX('PRS Database Readiness'!$AE$9:$AE$108,MATCH($A16,'PRS Database Readiness'!$A$9:$A$108,0))),""))</f>
        <v/>
      </c>
      <c r="R16" s="81"/>
      <c r="S16" s="81"/>
      <c r="T16" s="81"/>
    </row>
    <row r="17" spans="1:20" ht="18" customHeight="1">
      <c r="A17" s="54"/>
      <c r="B17" s="81"/>
      <c r="C17" s="81"/>
      <c r="D17" s="81"/>
      <c r="E17" s="52"/>
      <c r="F17" s="52"/>
      <c r="G17" s="83">
        <f>IF(OR($C17="",NOT(ISNUMBER($F17))),"",$F17-TODAY())</f>
        <v/>
      </c>
      <c r="H17" s="97">
        <f>IF($C17="","",IF($C17="Not licensable","n/a",IF($C17="Applied-pending","Pending",IF(NOT(ISNUMBER($F17)),"No date",IF($G17&lt;0,"Expired",IF($G17&lt;=30,"Expires &lt;=30",IF($G17&lt;=60,"Expires 31-60","Valid")))))))</f>
        <v/>
      </c>
      <c r="I17" s="53"/>
      <c r="J17" s="53"/>
      <c r="K17" s="97">
        <f>IF(OR(NOT(ISNUMBER($I17)),NOT(ISNUMBER($J17))),"",IF($J17&gt;$I17,"OVER","OK"))</f>
        <v/>
      </c>
      <c r="L17" s="51"/>
      <c r="M17" s="51"/>
      <c r="N17" s="51"/>
      <c r="O17" s="52"/>
      <c r="P17" s="97">
        <f>IF($N17="","",IF(OR($N17="F",$N17="G"),"Below E - check",IF(NOT(ISNUMBER($O17)),"No date",IF($O17&lt;TODAY(),"Expired",IF($O17-TODAY()&lt;=60,"Expires &lt;=60","Valid")))))</f>
        <v/>
      </c>
      <c r="Q17" s="97">
        <f>IF($A17="","",IFERROR(IF(INDEX('PRS Database Readiness'!$AE$9:$AE$108,MATCH($A17,'PRS Database Readiness'!$A$9:$A$108,0))="","",INDEX('PRS Database Readiness'!$AE$9:$AE$108,MATCH($A17,'PRS Database Readiness'!$A$9:$A$108,0))),""))</f>
        <v/>
      </c>
      <c r="R17" s="81"/>
      <c r="S17" s="81"/>
      <c r="T17" s="81"/>
    </row>
    <row r="18" spans="1:20" ht="18" customHeight="1">
      <c r="A18" s="54"/>
      <c r="B18" s="81"/>
      <c r="C18" s="81"/>
      <c r="D18" s="81"/>
      <c r="E18" s="52"/>
      <c r="F18" s="52"/>
      <c r="G18" s="83">
        <f>IF(OR($C18="",NOT(ISNUMBER($F18))),"",$F18-TODAY())</f>
        <v/>
      </c>
      <c r="H18" s="97">
        <f>IF($C18="","",IF($C18="Not licensable","n/a",IF($C18="Applied-pending","Pending",IF(NOT(ISNUMBER($F18)),"No date",IF($G18&lt;0,"Expired",IF($G18&lt;=30,"Expires &lt;=30",IF($G18&lt;=60,"Expires 31-60","Valid")))))))</f>
        <v/>
      </c>
      <c r="I18" s="53"/>
      <c r="J18" s="53"/>
      <c r="K18" s="97">
        <f>IF(OR(NOT(ISNUMBER($I18)),NOT(ISNUMBER($J18))),"",IF($J18&gt;$I18,"OVER","OK"))</f>
        <v/>
      </c>
      <c r="L18" s="51"/>
      <c r="M18" s="51"/>
      <c r="N18" s="51"/>
      <c r="O18" s="52"/>
      <c r="P18" s="97">
        <f>IF($N18="","",IF(OR($N18="F",$N18="G"),"Below E - check",IF(NOT(ISNUMBER($O18)),"No date",IF($O18&lt;TODAY(),"Expired",IF($O18-TODAY()&lt;=60,"Expires &lt;=60","Valid")))))</f>
        <v/>
      </c>
      <c r="Q18" s="97">
        <f>IF($A18="","",IFERROR(IF(INDEX('PRS Database Readiness'!$AE$9:$AE$108,MATCH($A18,'PRS Database Readiness'!$A$9:$A$108,0))="","",INDEX('PRS Database Readiness'!$AE$9:$AE$108,MATCH($A18,'PRS Database Readiness'!$A$9:$A$108,0))),""))</f>
        <v/>
      </c>
      <c r="R18" s="81"/>
      <c r="S18" s="81"/>
      <c r="T18" s="81"/>
    </row>
    <row r="19" spans="1:20" ht="18" customHeight="1">
      <c r="A19" s="54"/>
      <c r="B19" s="81"/>
      <c r="C19" s="81"/>
      <c r="D19" s="81"/>
      <c r="E19" s="52"/>
      <c r="F19" s="52"/>
      <c r="G19" s="83">
        <f>IF(OR($C19="",NOT(ISNUMBER($F19))),"",$F19-TODAY())</f>
        <v/>
      </c>
      <c r="H19" s="97">
        <f>IF($C19="","",IF($C19="Not licensable","n/a",IF($C19="Applied-pending","Pending",IF(NOT(ISNUMBER($F19)),"No date",IF($G19&lt;0,"Expired",IF($G19&lt;=30,"Expires &lt;=30",IF($G19&lt;=60,"Expires 31-60","Valid")))))))</f>
        <v/>
      </c>
      <c r="I19" s="53"/>
      <c r="J19" s="53"/>
      <c r="K19" s="97">
        <f>IF(OR(NOT(ISNUMBER($I19)),NOT(ISNUMBER($J19))),"",IF($J19&gt;$I19,"OVER","OK"))</f>
        <v/>
      </c>
      <c r="L19" s="51"/>
      <c r="M19" s="51"/>
      <c r="N19" s="51"/>
      <c r="O19" s="52"/>
      <c r="P19" s="97">
        <f>IF($N19="","",IF(OR($N19="F",$N19="G"),"Below E - check",IF(NOT(ISNUMBER($O19)),"No date",IF($O19&lt;TODAY(),"Expired",IF($O19-TODAY()&lt;=60,"Expires &lt;=60","Valid")))))</f>
        <v/>
      </c>
      <c r="Q19" s="97">
        <f>IF($A19="","",IFERROR(IF(INDEX('PRS Database Readiness'!$AE$9:$AE$108,MATCH($A19,'PRS Database Readiness'!$A$9:$A$108,0))="","",INDEX('PRS Database Readiness'!$AE$9:$AE$108,MATCH($A19,'PRS Database Readiness'!$A$9:$A$108,0))),""))</f>
        <v/>
      </c>
      <c r="R19" s="81"/>
      <c r="S19" s="81"/>
      <c r="T19" s="81"/>
    </row>
    <row r="20" spans="1:20" ht="18" customHeight="1">
      <c r="A20" s="54"/>
      <c r="B20" s="81"/>
      <c r="C20" s="81"/>
      <c r="D20" s="81"/>
      <c r="E20" s="52"/>
      <c r="F20" s="52"/>
      <c r="G20" s="83">
        <f>IF(OR($C20="",NOT(ISNUMBER($F20))),"",$F20-TODAY())</f>
        <v/>
      </c>
      <c r="H20" s="97">
        <f>IF($C20="","",IF($C20="Not licensable","n/a",IF($C20="Applied-pending","Pending",IF(NOT(ISNUMBER($F20)),"No date",IF($G20&lt;0,"Expired",IF($G20&lt;=30,"Expires &lt;=30",IF($G20&lt;=60,"Expires 31-60","Valid")))))))</f>
        <v/>
      </c>
      <c r="I20" s="53"/>
      <c r="J20" s="53"/>
      <c r="K20" s="97">
        <f>IF(OR(NOT(ISNUMBER($I20)),NOT(ISNUMBER($J20))),"",IF($J20&gt;$I20,"OVER","OK"))</f>
        <v/>
      </c>
      <c r="L20" s="51"/>
      <c r="M20" s="51"/>
      <c r="N20" s="51"/>
      <c r="O20" s="52"/>
      <c r="P20" s="97">
        <f>IF($N20="","",IF(OR($N20="F",$N20="G"),"Below E - check",IF(NOT(ISNUMBER($O20)),"No date",IF($O20&lt;TODAY(),"Expired",IF($O20-TODAY()&lt;=60,"Expires &lt;=60","Valid")))))</f>
        <v/>
      </c>
      <c r="Q20" s="97">
        <f>IF($A20="","",IFERROR(IF(INDEX('PRS Database Readiness'!$AE$9:$AE$108,MATCH($A20,'PRS Database Readiness'!$A$9:$A$108,0))="","",INDEX('PRS Database Readiness'!$AE$9:$AE$108,MATCH($A20,'PRS Database Readiness'!$A$9:$A$108,0))),""))</f>
        <v/>
      </c>
      <c r="R20" s="81"/>
      <c r="S20" s="81"/>
      <c r="T20" s="81"/>
    </row>
    <row r="21" spans="1:20" ht="18" customHeight="1">
      <c r="A21" s="54"/>
      <c r="B21" s="81"/>
      <c r="C21" s="81"/>
      <c r="D21" s="81"/>
      <c r="E21" s="52"/>
      <c r="F21" s="52"/>
      <c r="G21" s="83">
        <f>IF(OR($C21="",NOT(ISNUMBER($F21))),"",$F21-TODAY())</f>
        <v/>
      </c>
      <c r="H21" s="97">
        <f>IF($C21="","",IF($C21="Not licensable","n/a",IF($C21="Applied-pending","Pending",IF(NOT(ISNUMBER($F21)),"No date",IF($G21&lt;0,"Expired",IF($G21&lt;=30,"Expires &lt;=30",IF($G21&lt;=60,"Expires 31-60","Valid")))))))</f>
        <v/>
      </c>
      <c r="I21" s="53"/>
      <c r="J21" s="53"/>
      <c r="K21" s="97">
        <f>IF(OR(NOT(ISNUMBER($I21)),NOT(ISNUMBER($J21))),"",IF($J21&gt;$I21,"OVER","OK"))</f>
        <v/>
      </c>
      <c r="L21" s="51"/>
      <c r="M21" s="51"/>
      <c r="N21" s="51"/>
      <c r="O21" s="52"/>
      <c r="P21" s="97">
        <f>IF($N21="","",IF(OR($N21="F",$N21="G"),"Below E - check",IF(NOT(ISNUMBER($O21)),"No date",IF($O21&lt;TODAY(),"Expired",IF($O21-TODAY()&lt;=60,"Expires &lt;=60","Valid")))))</f>
        <v/>
      </c>
      <c r="Q21" s="97">
        <f>IF($A21="","",IFERROR(IF(INDEX('PRS Database Readiness'!$AE$9:$AE$108,MATCH($A21,'PRS Database Readiness'!$A$9:$A$108,0))="","",INDEX('PRS Database Readiness'!$AE$9:$AE$108,MATCH($A21,'PRS Database Readiness'!$A$9:$A$108,0))),""))</f>
        <v/>
      </c>
      <c r="R21" s="81"/>
      <c r="S21" s="81"/>
      <c r="T21" s="81"/>
    </row>
    <row r="22" spans="1:20" ht="18" customHeight="1">
      <c r="A22" s="54"/>
      <c r="B22" s="81"/>
      <c r="C22" s="81"/>
      <c r="D22" s="81"/>
      <c r="E22" s="52"/>
      <c r="F22" s="52"/>
      <c r="G22" s="83">
        <f>IF(OR($C22="",NOT(ISNUMBER($F22))),"",$F22-TODAY())</f>
        <v/>
      </c>
      <c r="H22" s="97">
        <f>IF($C22="","",IF($C22="Not licensable","n/a",IF($C22="Applied-pending","Pending",IF(NOT(ISNUMBER($F22)),"No date",IF($G22&lt;0,"Expired",IF($G22&lt;=30,"Expires &lt;=30",IF($G22&lt;=60,"Expires 31-60","Valid")))))))</f>
        <v/>
      </c>
      <c r="I22" s="53"/>
      <c r="J22" s="53"/>
      <c r="K22" s="97">
        <f>IF(OR(NOT(ISNUMBER($I22)),NOT(ISNUMBER($J22))),"",IF($J22&gt;$I22,"OVER","OK"))</f>
        <v/>
      </c>
      <c r="L22" s="51"/>
      <c r="M22" s="51"/>
      <c r="N22" s="51"/>
      <c r="O22" s="52"/>
      <c r="P22" s="97">
        <f>IF($N22="","",IF(OR($N22="F",$N22="G"),"Below E - check",IF(NOT(ISNUMBER($O22)),"No date",IF($O22&lt;TODAY(),"Expired",IF($O22-TODAY()&lt;=60,"Expires &lt;=60","Valid")))))</f>
        <v/>
      </c>
      <c r="Q22" s="97">
        <f>IF($A22="","",IFERROR(IF(INDEX('PRS Database Readiness'!$AE$9:$AE$108,MATCH($A22,'PRS Database Readiness'!$A$9:$A$108,0))="","",INDEX('PRS Database Readiness'!$AE$9:$AE$108,MATCH($A22,'PRS Database Readiness'!$A$9:$A$108,0))),""))</f>
        <v/>
      </c>
      <c r="R22" s="81"/>
      <c r="S22" s="81"/>
      <c r="T22" s="81"/>
    </row>
    <row r="23" spans="1:20" ht="18" customHeight="1">
      <c r="A23" s="54"/>
      <c r="B23" s="81"/>
      <c r="C23" s="81"/>
      <c r="D23" s="81"/>
      <c r="E23" s="52"/>
      <c r="F23" s="52"/>
      <c r="G23" s="83">
        <f>IF(OR($C23="",NOT(ISNUMBER($F23))),"",$F23-TODAY())</f>
        <v/>
      </c>
      <c r="H23" s="97">
        <f>IF($C23="","",IF($C23="Not licensable","n/a",IF($C23="Applied-pending","Pending",IF(NOT(ISNUMBER($F23)),"No date",IF($G23&lt;0,"Expired",IF($G23&lt;=30,"Expires &lt;=30",IF($G23&lt;=60,"Expires 31-60","Valid")))))))</f>
        <v/>
      </c>
      <c r="I23" s="53"/>
      <c r="J23" s="53"/>
      <c r="K23" s="97">
        <f>IF(OR(NOT(ISNUMBER($I23)),NOT(ISNUMBER($J23))),"",IF($J23&gt;$I23,"OVER","OK"))</f>
        <v/>
      </c>
      <c r="L23" s="51"/>
      <c r="M23" s="51"/>
      <c r="N23" s="51"/>
      <c r="O23" s="52"/>
      <c r="P23" s="97">
        <f>IF($N23="","",IF(OR($N23="F",$N23="G"),"Below E - check",IF(NOT(ISNUMBER($O23)),"No date",IF($O23&lt;TODAY(),"Expired",IF($O23-TODAY()&lt;=60,"Expires &lt;=60","Valid")))))</f>
        <v/>
      </c>
      <c r="Q23" s="97">
        <f>IF($A23="","",IFERROR(IF(INDEX('PRS Database Readiness'!$AE$9:$AE$108,MATCH($A23,'PRS Database Readiness'!$A$9:$A$108,0))="","",INDEX('PRS Database Readiness'!$AE$9:$AE$108,MATCH($A23,'PRS Database Readiness'!$A$9:$A$108,0))),""))</f>
        <v/>
      </c>
      <c r="R23" s="81"/>
      <c r="S23" s="81"/>
      <c r="T23" s="81"/>
    </row>
    <row r="24" spans="1:20" ht="18" customHeight="1">
      <c r="A24" s="54"/>
      <c r="B24" s="81"/>
      <c r="C24" s="81"/>
      <c r="D24" s="81"/>
      <c r="E24" s="52"/>
      <c r="F24" s="52"/>
      <c r="G24" s="83">
        <f>IF(OR($C24="",NOT(ISNUMBER($F24))),"",$F24-TODAY())</f>
        <v/>
      </c>
      <c r="H24" s="97">
        <f>IF($C24="","",IF($C24="Not licensable","n/a",IF($C24="Applied-pending","Pending",IF(NOT(ISNUMBER($F24)),"No date",IF($G24&lt;0,"Expired",IF($G24&lt;=30,"Expires &lt;=30",IF($G24&lt;=60,"Expires 31-60","Valid")))))))</f>
        <v/>
      </c>
      <c r="I24" s="53"/>
      <c r="J24" s="53"/>
      <c r="K24" s="97">
        <f>IF(OR(NOT(ISNUMBER($I24)),NOT(ISNUMBER($J24))),"",IF($J24&gt;$I24,"OVER","OK"))</f>
        <v/>
      </c>
      <c r="L24" s="51"/>
      <c r="M24" s="51"/>
      <c r="N24" s="51"/>
      <c r="O24" s="52"/>
      <c r="P24" s="97">
        <f>IF($N24="","",IF(OR($N24="F",$N24="G"),"Below E - check",IF(NOT(ISNUMBER($O24)),"No date",IF($O24&lt;TODAY(),"Expired",IF($O24-TODAY()&lt;=60,"Expires &lt;=60","Valid")))))</f>
        <v/>
      </c>
      <c r="Q24" s="97">
        <f>IF($A24="","",IFERROR(IF(INDEX('PRS Database Readiness'!$AE$9:$AE$108,MATCH($A24,'PRS Database Readiness'!$A$9:$A$108,0))="","",INDEX('PRS Database Readiness'!$AE$9:$AE$108,MATCH($A24,'PRS Database Readiness'!$A$9:$A$108,0))),""))</f>
        <v/>
      </c>
      <c r="R24" s="81"/>
      <c r="S24" s="81"/>
      <c r="T24" s="81"/>
    </row>
    <row r="25" spans="1:20" ht="18" customHeight="1">
      <c r="A25" s="54"/>
      <c r="B25" s="81"/>
      <c r="C25" s="81"/>
      <c r="D25" s="81"/>
      <c r="E25" s="52"/>
      <c r="F25" s="52"/>
      <c r="G25" s="83">
        <f>IF(OR($C25="",NOT(ISNUMBER($F25))),"",$F25-TODAY())</f>
        <v/>
      </c>
      <c r="H25" s="97">
        <f>IF($C25="","",IF($C25="Not licensable","n/a",IF($C25="Applied-pending","Pending",IF(NOT(ISNUMBER($F25)),"No date",IF($G25&lt;0,"Expired",IF($G25&lt;=30,"Expires &lt;=30",IF($G25&lt;=60,"Expires 31-60","Valid")))))))</f>
        <v/>
      </c>
      <c r="I25" s="53"/>
      <c r="J25" s="53"/>
      <c r="K25" s="97">
        <f>IF(OR(NOT(ISNUMBER($I25)),NOT(ISNUMBER($J25))),"",IF($J25&gt;$I25,"OVER","OK"))</f>
        <v/>
      </c>
      <c r="L25" s="51"/>
      <c r="M25" s="51"/>
      <c r="N25" s="51"/>
      <c r="O25" s="52"/>
      <c r="P25" s="97">
        <f>IF($N25="","",IF(OR($N25="F",$N25="G"),"Below E - check",IF(NOT(ISNUMBER($O25)),"No date",IF($O25&lt;TODAY(),"Expired",IF($O25-TODAY()&lt;=60,"Expires &lt;=60","Valid")))))</f>
        <v/>
      </c>
      <c r="Q25" s="97">
        <f>IF($A25="","",IFERROR(IF(INDEX('PRS Database Readiness'!$AE$9:$AE$108,MATCH($A25,'PRS Database Readiness'!$A$9:$A$108,0))="","",INDEX('PRS Database Readiness'!$AE$9:$AE$108,MATCH($A25,'PRS Database Readiness'!$A$9:$A$108,0))),""))</f>
        <v/>
      </c>
      <c r="R25" s="81"/>
      <c r="S25" s="81"/>
      <c r="T25" s="81"/>
    </row>
    <row r="26" spans="1:20" ht="18" customHeight="1">
      <c r="A26" s="54"/>
      <c r="B26" s="81"/>
      <c r="C26" s="81"/>
      <c r="D26" s="81"/>
      <c r="E26" s="52"/>
      <c r="F26" s="52"/>
      <c r="G26" s="83">
        <f>IF(OR($C26="",NOT(ISNUMBER($F26))),"",$F26-TODAY())</f>
        <v/>
      </c>
      <c r="H26" s="97">
        <f>IF($C26="","",IF($C26="Not licensable","n/a",IF($C26="Applied-pending","Pending",IF(NOT(ISNUMBER($F26)),"No date",IF($G26&lt;0,"Expired",IF($G26&lt;=30,"Expires &lt;=30",IF($G26&lt;=60,"Expires 31-60","Valid")))))))</f>
        <v/>
      </c>
      <c r="I26" s="53"/>
      <c r="J26" s="53"/>
      <c r="K26" s="97">
        <f>IF(OR(NOT(ISNUMBER($I26)),NOT(ISNUMBER($J26))),"",IF($J26&gt;$I26,"OVER","OK"))</f>
        <v/>
      </c>
      <c r="L26" s="51"/>
      <c r="M26" s="51"/>
      <c r="N26" s="51"/>
      <c r="O26" s="52"/>
      <c r="P26" s="97">
        <f>IF($N26="","",IF(OR($N26="F",$N26="G"),"Below E - check",IF(NOT(ISNUMBER($O26)),"No date",IF($O26&lt;TODAY(),"Expired",IF($O26-TODAY()&lt;=60,"Expires &lt;=60","Valid")))))</f>
        <v/>
      </c>
      <c r="Q26" s="97">
        <f>IF($A26="","",IFERROR(IF(INDEX('PRS Database Readiness'!$AE$9:$AE$108,MATCH($A26,'PRS Database Readiness'!$A$9:$A$108,0))="","",INDEX('PRS Database Readiness'!$AE$9:$AE$108,MATCH($A26,'PRS Database Readiness'!$A$9:$A$108,0))),""))</f>
        <v/>
      </c>
      <c r="R26" s="81"/>
      <c r="S26" s="81"/>
      <c r="T26" s="81"/>
    </row>
    <row r="27" spans="1:20" ht="18" customHeight="1">
      <c r="A27" s="54"/>
      <c r="B27" s="81"/>
      <c r="C27" s="81"/>
      <c r="D27" s="81"/>
      <c r="E27" s="52"/>
      <c r="F27" s="52"/>
      <c r="G27" s="83">
        <f>IF(OR($C27="",NOT(ISNUMBER($F27))),"",$F27-TODAY())</f>
        <v/>
      </c>
      <c r="H27" s="97">
        <f>IF($C27="","",IF($C27="Not licensable","n/a",IF($C27="Applied-pending","Pending",IF(NOT(ISNUMBER($F27)),"No date",IF($G27&lt;0,"Expired",IF($G27&lt;=30,"Expires &lt;=30",IF($G27&lt;=60,"Expires 31-60","Valid")))))))</f>
        <v/>
      </c>
      <c r="I27" s="53"/>
      <c r="J27" s="53"/>
      <c r="K27" s="97">
        <f>IF(OR(NOT(ISNUMBER($I27)),NOT(ISNUMBER($J27))),"",IF($J27&gt;$I27,"OVER","OK"))</f>
        <v/>
      </c>
      <c r="L27" s="51"/>
      <c r="M27" s="51"/>
      <c r="N27" s="51"/>
      <c r="O27" s="52"/>
      <c r="P27" s="97">
        <f>IF($N27="","",IF(OR($N27="F",$N27="G"),"Below E - check",IF(NOT(ISNUMBER($O27)),"No date",IF($O27&lt;TODAY(),"Expired",IF($O27-TODAY()&lt;=60,"Expires &lt;=60","Valid")))))</f>
        <v/>
      </c>
      <c r="Q27" s="97">
        <f>IF($A27="","",IFERROR(IF(INDEX('PRS Database Readiness'!$AE$9:$AE$108,MATCH($A27,'PRS Database Readiness'!$A$9:$A$108,0))="","",INDEX('PRS Database Readiness'!$AE$9:$AE$108,MATCH($A27,'PRS Database Readiness'!$A$9:$A$108,0))),""))</f>
        <v/>
      </c>
      <c r="R27" s="81"/>
      <c r="S27" s="81"/>
      <c r="T27" s="81"/>
    </row>
    <row r="28" spans="1:20" ht="18" customHeight="1">
      <c r="A28" s="54"/>
      <c r="B28" s="81"/>
      <c r="C28" s="81"/>
      <c r="D28" s="81"/>
      <c r="E28" s="52"/>
      <c r="F28" s="52"/>
      <c r="G28" s="83">
        <f>IF(OR($C28="",NOT(ISNUMBER($F28))),"",$F28-TODAY())</f>
        <v/>
      </c>
      <c r="H28" s="97">
        <f>IF($C28="","",IF($C28="Not licensable","n/a",IF($C28="Applied-pending","Pending",IF(NOT(ISNUMBER($F28)),"No date",IF($G28&lt;0,"Expired",IF($G28&lt;=30,"Expires &lt;=30",IF($G28&lt;=60,"Expires 31-60","Valid")))))))</f>
        <v/>
      </c>
      <c r="I28" s="53"/>
      <c r="J28" s="53"/>
      <c r="K28" s="97">
        <f>IF(OR(NOT(ISNUMBER($I28)),NOT(ISNUMBER($J28))),"",IF($J28&gt;$I28,"OVER","OK"))</f>
        <v/>
      </c>
      <c r="L28" s="51"/>
      <c r="M28" s="51"/>
      <c r="N28" s="51"/>
      <c r="O28" s="52"/>
      <c r="P28" s="97">
        <f>IF($N28="","",IF(OR($N28="F",$N28="G"),"Below E - check",IF(NOT(ISNUMBER($O28)),"No date",IF($O28&lt;TODAY(),"Expired",IF($O28-TODAY()&lt;=60,"Expires &lt;=60","Valid")))))</f>
        <v/>
      </c>
      <c r="Q28" s="97">
        <f>IF($A28="","",IFERROR(IF(INDEX('PRS Database Readiness'!$AE$9:$AE$108,MATCH($A28,'PRS Database Readiness'!$A$9:$A$108,0))="","",INDEX('PRS Database Readiness'!$AE$9:$AE$108,MATCH($A28,'PRS Database Readiness'!$A$9:$A$108,0))),""))</f>
        <v/>
      </c>
      <c r="R28" s="81"/>
      <c r="S28" s="81"/>
      <c r="T28" s="81"/>
    </row>
    <row r="29" spans="1:20" ht="18" customHeight="1">
      <c r="A29" s="54"/>
      <c r="B29" s="81"/>
      <c r="C29" s="81"/>
      <c r="D29" s="81"/>
      <c r="E29" s="52"/>
      <c r="F29" s="52"/>
      <c r="G29" s="83">
        <f>IF(OR($C29="",NOT(ISNUMBER($F29))),"",$F29-TODAY())</f>
        <v/>
      </c>
      <c r="H29" s="97">
        <f>IF($C29="","",IF($C29="Not licensable","n/a",IF($C29="Applied-pending","Pending",IF(NOT(ISNUMBER($F29)),"No date",IF($G29&lt;0,"Expired",IF($G29&lt;=30,"Expires &lt;=30",IF($G29&lt;=60,"Expires 31-60","Valid")))))))</f>
        <v/>
      </c>
      <c r="I29" s="53"/>
      <c r="J29" s="53"/>
      <c r="K29" s="97">
        <f>IF(OR(NOT(ISNUMBER($I29)),NOT(ISNUMBER($J29))),"",IF($J29&gt;$I29,"OVER","OK"))</f>
        <v/>
      </c>
      <c r="L29" s="51"/>
      <c r="M29" s="51"/>
      <c r="N29" s="51"/>
      <c r="O29" s="52"/>
      <c r="P29" s="97">
        <f>IF($N29="","",IF(OR($N29="F",$N29="G"),"Below E - check",IF(NOT(ISNUMBER($O29)),"No date",IF($O29&lt;TODAY(),"Expired",IF($O29-TODAY()&lt;=60,"Expires &lt;=60","Valid")))))</f>
        <v/>
      </c>
      <c r="Q29" s="97">
        <f>IF($A29="","",IFERROR(IF(INDEX('PRS Database Readiness'!$AE$9:$AE$108,MATCH($A29,'PRS Database Readiness'!$A$9:$A$108,0))="","",INDEX('PRS Database Readiness'!$AE$9:$AE$108,MATCH($A29,'PRS Database Readiness'!$A$9:$A$108,0))),""))</f>
        <v/>
      </c>
      <c r="R29" s="81"/>
      <c r="S29" s="81"/>
      <c r="T29" s="81"/>
    </row>
    <row r="30" spans="1:20" ht="18" customHeight="1">
      <c r="A30" s="54"/>
      <c r="B30" s="81"/>
      <c r="C30" s="81"/>
      <c r="D30" s="81"/>
      <c r="E30" s="52"/>
      <c r="F30" s="52"/>
      <c r="G30" s="83">
        <f>IF(OR($C30="",NOT(ISNUMBER($F30))),"",$F30-TODAY())</f>
        <v/>
      </c>
      <c r="H30" s="97">
        <f>IF($C30="","",IF($C30="Not licensable","n/a",IF($C30="Applied-pending","Pending",IF(NOT(ISNUMBER($F30)),"No date",IF($G30&lt;0,"Expired",IF($G30&lt;=30,"Expires &lt;=30",IF($G30&lt;=60,"Expires 31-60","Valid")))))))</f>
        <v/>
      </c>
      <c r="I30" s="53"/>
      <c r="J30" s="53"/>
      <c r="K30" s="97">
        <f>IF(OR(NOT(ISNUMBER($I30)),NOT(ISNUMBER($J30))),"",IF($J30&gt;$I30,"OVER","OK"))</f>
        <v/>
      </c>
      <c r="L30" s="51"/>
      <c r="M30" s="51"/>
      <c r="N30" s="51"/>
      <c r="O30" s="52"/>
      <c r="P30" s="97">
        <f>IF($N30="","",IF(OR($N30="F",$N30="G"),"Below E - check",IF(NOT(ISNUMBER($O30)),"No date",IF($O30&lt;TODAY(),"Expired",IF($O30-TODAY()&lt;=60,"Expires &lt;=60","Valid")))))</f>
        <v/>
      </c>
      <c r="Q30" s="97">
        <f>IF($A30="","",IFERROR(IF(INDEX('PRS Database Readiness'!$AE$9:$AE$108,MATCH($A30,'PRS Database Readiness'!$A$9:$A$108,0))="","",INDEX('PRS Database Readiness'!$AE$9:$AE$108,MATCH($A30,'PRS Database Readiness'!$A$9:$A$108,0))),""))</f>
        <v/>
      </c>
      <c r="R30" s="81"/>
      <c r="S30" s="81"/>
      <c r="T30" s="81"/>
    </row>
    <row r="31" spans="1:20" ht="18" customHeight="1">
      <c r="A31" s="54"/>
      <c r="B31" s="81"/>
      <c r="C31" s="81"/>
      <c r="D31" s="81"/>
      <c r="E31" s="52"/>
      <c r="F31" s="52"/>
      <c r="G31" s="83">
        <f>IF(OR($C31="",NOT(ISNUMBER($F31))),"",$F31-TODAY())</f>
        <v/>
      </c>
      <c r="H31" s="97">
        <f>IF($C31="","",IF($C31="Not licensable","n/a",IF($C31="Applied-pending","Pending",IF(NOT(ISNUMBER($F31)),"No date",IF($G31&lt;0,"Expired",IF($G31&lt;=30,"Expires &lt;=30",IF($G31&lt;=60,"Expires 31-60","Valid")))))))</f>
        <v/>
      </c>
      <c r="I31" s="53"/>
      <c r="J31" s="53"/>
      <c r="K31" s="97">
        <f>IF(OR(NOT(ISNUMBER($I31)),NOT(ISNUMBER($J31))),"",IF($J31&gt;$I31,"OVER","OK"))</f>
        <v/>
      </c>
      <c r="L31" s="51"/>
      <c r="M31" s="51"/>
      <c r="N31" s="51"/>
      <c r="O31" s="52"/>
      <c r="P31" s="97">
        <f>IF($N31="","",IF(OR($N31="F",$N31="G"),"Below E - check",IF(NOT(ISNUMBER($O31)),"No date",IF($O31&lt;TODAY(),"Expired",IF($O31-TODAY()&lt;=60,"Expires &lt;=60","Valid")))))</f>
        <v/>
      </c>
      <c r="Q31" s="97">
        <f>IF($A31="","",IFERROR(IF(INDEX('PRS Database Readiness'!$AE$9:$AE$108,MATCH($A31,'PRS Database Readiness'!$A$9:$A$108,0))="","",INDEX('PRS Database Readiness'!$AE$9:$AE$108,MATCH($A31,'PRS Database Readiness'!$A$9:$A$108,0))),""))</f>
        <v/>
      </c>
      <c r="R31" s="81"/>
      <c r="S31" s="81"/>
      <c r="T31" s="81"/>
    </row>
    <row r="32" spans="1:20" ht="18" customHeight="1">
      <c r="A32" s="54"/>
      <c r="B32" s="81"/>
      <c r="C32" s="81"/>
      <c r="D32" s="81"/>
      <c r="E32" s="52"/>
      <c r="F32" s="52"/>
      <c r="G32" s="83">
        <f>IF(OR($C32="",NOT(ISNUMBER($F32))),"",$F32-TODAY())</f>
        <v/>
      </c>
      <c r="H32" s="97">
        <f>IF($C32="","",IF($C32="Not licensable","n/a",IF($C32="Applied-pending","Pending",IF(NOT(ISNUMBER($F32)),"No date",IF($G32&lt;0,"Expired",IF($G32&lt;=30,"Expires &lt;=30",IF($G32&lt;=60,"Expires 31-60","Valid")))))))</f>
        <v/>
      </c>
      <c r="I32" s="53"/>
      <c r="J32" s="53"/>
      <c r="K32" s="97">
        <f>IF(OR(NOT(ISNUMBER($I32)),NOT(ISNUMBER($J32))),"",IF($J32&gt;$I32,"OVER","OK"))</f>
        <v/>
      </c>
      <c r="L32" s="51"/>
      <c r="M32" s="51"/>
      <c r="N32" s="51"/>
      <c r="O32" s="52"/>
      <c r="P32" s="97">
        <f>IF($N32="","",IF(OR($N32="F",$N32="G"),"Below E - check",IF(NOT(ISNUMBER($O32)),"No date",IF($O32&lt;TODAY(),"Expired",IF($O32-TODAY()&lt;=60,"Expires &lt;=60","Valid")))))</f>
        <v/>
      </c>
      <c r="Q32" s="97">
        <f>IF($A32="","",IFERROR(IF(INDEX('PRS Database Readiness'!$AE$9:$AE$108,MATCH($A32,'PRS Database Readiness'!$A$9:$A$108,0))="","",INDEX('PRS Database Readiness'!$AE$9:$AE$108,MATCH($A32,'PRS Database Readiness'!$A$9:$A$108,0))),""))</f>
        <v/>
      </c>
      <c r="R32" s="81"/>
      <c r="S32" s="81"/>
      <c r="T32" s="81"/>
    </row>
    <row r="33" spans="1:20" ht="18" customHeight="1">
      <c r="A33" s="54"/>
      <c r="B33" s="81"/>
      <c r="C33" s="81"/>
      <c r="D33" s="81"/>
      <c r="E33" s="52"/>
      <c r="F33" s="52"/>
      <c r="G33" s="83">
        <f>IF(OR($C33="",NOT(ISNUMBER($F33))),"",$F33-TODAY())</f>
        <v/>
      </c>
      <c r="H33" s="97">
        <f>IF($C33="","",IF($C33="Not licensable","n/a",IF($C33="Applied-pending","Pending",IF(NOT(ISNUMBER($F33)),"No date",IF($G33&lt;0,"Expired",IF($G33&lt;=30,"Expires &lt;=30",IF($G33&lt;=60,"Expires 31-60","Valid")))))))</f>
        <v/>
      </c>
      <c r="I33" s="53"/>
      <c r="J33" s="53"/>
      <c r="K33" s="97">
        <f>IF(OR(NOT(ISNUMBER($I33)),NOT(ISNUMBER($J33))),"",IF($J33&gt;$I33,"OVER","OK"))</f>
        <v/>
      </c>
      <c r="L33" s="51"/>
      <c r="M33" s="51"/>
      <c r="N33" s="51"/>
      <c r="O33" s="52"/>
      <c r="P33" s="97">
        <f>IF($N33="","",IF(OR($N33="F",$N33="G"),"Below E - check",IF(NOT(ISNUMBER($O33)),"No date",IF($O33&lt;TODAY(),"Expired",IF($O33-TODAY()&lt;=60,"Expires &lt;=60","Valid")))))</f>
        <v/>
      </c>
      <c r="Q33" s="97">
        <f>IF($A33="","",IFERROR(IF(INDEX('PRS Database Readiness'!$AE$9:$AE$108,MATCH($A33,'PRS Database Readiness'!$A$9:$A$108,0))="","",INDEX('PRS Database Readiness'!$AE$9:$AE$108,MATCH($A33,'PRS Database Readiness'!$A$9:$A$108,0))),""))</f>
        <v/>
      </c>
      <c r="R33" s="81"/>
      <c r="S33" s="81"/>
      <c r="T33" s="81"/>
    </row>
    <row r="34" spans="1:20" ht="18" customHeight="1">
      <c r="A34" s="54"/>
      <c r="B34" s="81"/>
      <c r="C34" s="81"/>
      <c r="D34" s="81"/>
      <c r="E34" s="52"/>
      <c r="F34" s="52"/>
      <c r="G34" s="83">
        <f>IF(OR($C34="",NOT(ISNUMBER($F34))),"",$F34-TODAY())</f>
        <v/>
      </c>
      <c r="H34" s="97">
        <f>IF($C34="","",IF($C34="Not licensable","n/a",IF($C34="Applied-pending","Pending",IF(NOT(ISNUMBER($F34)),"No date",IF($G34&lt;0,"Expired",IF($G34&lt;=30,"Expires &lt;=30",IF($G34&lt;=60,"Expires 31-60","Valid")))))))</f>
        <v/>
      </c>
      <c r="I34" s="53"/>
      <c r="J34" s="53"/>
      <c r="K34" s="97">
        <f>IF(OR(NOT(ISNUMBER($I34)),NOT(ISNUMBER($J34))),"",IF($J34&gt;$I34,"OVER","OK"))</f>
        <v/>
      </c>
      <c r="L34" s="51"/>
      <c r="M34" s="51"/>
      <c r="N34" s="51"/>
      <c r="O34" s="52"/>
      <c r="P34" s="97">
        <f>IF($N34="","",IF(OR($N34="F",$N34="G"),"Below E - check",IF(NOT(ISNUMBER($O34)),"No date",IF($O34&lt;TODAY(),"Expired",IF($O34-TODAY()&lt;=60,"Expires &lt;=60","Valid")))))</f>
        <v/>
      </c>
      <c r="Q34" s="97">
        <f>IF($A34="","",IFERROR(IF(INDEX('PRS Database Readiness'!$AE$9:$AE$108,MATCH($A34,'PRS Database Readiness'!$A$9:$A$108,0))="","",INDEX('PRS Database Readiness'!$AE$9:$AE$108,MATCH($A34,'PRS Database Readiness'!$A$9:$A$108,0))),""))</f>
        <v/>
      </c>
      <c r="R34" s="81"/>
      <c r="S34" s="81"/>
      <c r="T34" s="81"/>
    </row>
    <row r="35" spans="1:20" ht="18" customHeight="1">
      <c r="A35" s="54"/>
      <c r="B35" s="81"/>
      <c r="C35" s="81"/>
      <c r="D35" s="81"/>
      <c r="E35" s="52"/>
      <c r="F35" s="52"/>
      <c r="G35" s="83">
        <f>IF(OR($C35="",NOT(ISNUMBER($F35))),"",$F35-TODAY())</f>
        <v/>
      </c>
      <c r="H35" s="97">
        <f>IF($C35="","",IF($C35="Not licensable","n/a",IF($C35="Applied-pending","Pending",IF(NOT(ISNUMBER($F35)),"No date",IF($G35&lt;0,"Expired",IF($G35&lt;=30,"Expires &lt;=30",IF($G35&lt;=60,"Expires 31-60","Valid")))))))</f>
        <v/>
      </c>
      <c r="I35" s="53"/>
      <c r="J35" s="53"/>
      <c r="K35" s="97">
        <f>IF(OR(NOT(ISNUMBER($I35)),NOT(ISNUMBER($J35))),"",IF($J35&gt;$I35,"OVER","OK"))</f>
        <v/>
      </c>
      <c r="L35" s="51"/>
      <c r="M35" s="51"/>
      <c r="N35" s="51"/>
      <c r="O35" s="52"/>
      <c r="P35" s="97">
        <f>IF($N35="","",IF(OR($N35="F",$N35="G"),"Below E - check",IF(NOT(ISNUMBER($O35)),"No date",IF($O35&lt;TODAY(),"Expired",IF($O35-TODAY()&lt;=60,"Expires &lt;=60","Valid")))))</f>
        <v/>
      </c>
      <c r="Q35" s="97">
        <f>IF($A35="","",IFERROR(IF(INDEX('PRS Database Readiness'!$AE$9:$AE$108,MATCH($A35,'PRS Database Readiness'!$A$9:$A$108,0))="","",INDEX('PRS Database Readiness'!$AE$9:$AE$108,MATCH($A35,'PRS Database Readiness'!$A$9:$A$108,0))),""))</f>
        <v/>
      </c>
      <c r="R35" s="81"/>
      <c r="S35" s="81"/>
      <c r="T35" s="81"/>
    </row>
    <row r="36" spans="1:20" ht="18" customHeight="1">
      <c r="A36" s="54"/>
      <c r="B36" s="81"/>
      <c r="C36" s="81"/>
      <c r="D36" s="81"/>
      <c r="E36" s="52"/>
      <c r="F36" s="52"/>
      <c r="G36" s="83">
        <f>IF(OR($C36="",NOT(ISNUMBER($F36))),"",$F36-TODAY())</f>
        <v/>
      </c>
      <c r="H36" s="97">
        <f>IF($C36="","",IF($C36="Not licensable","n/a",IF($C36="Applied-pending","Pending",IF(NOT(ISNUMBER($F36)),"No date",IF($G36&lt;0,"Expired",IF($G36&lt;=30,"Expires &lt;=30",IF($G36&lt;=60,"Expires 31-60","Valid")))))))</f>
        <v/>
      </c>
      <c r="I36" s="53"/>
      <c r="J36" s="53"/>
      <c r="K36" s="97">
        <f>IF(OR(NOT(ISNUMBER($I36)),NOT(ISNUMBER($J36))),"",IF($J36&gt;$I36,"OVER","OK"))</f>
        <v/>
      </c>
      <c r="L36" s="51"/>
      <c r="M36" s="51"/>
      <c r="N36" s="51"/>
      <c r="O36" s="52"/>
      <c r="P36" s="97">
        <f>IF($N36="","",IF(OR($N36="F",$N36="G"),"Below E - check",IF(NOT(ISNUMBER($O36)),"No date",IF($O36&lt;TODAY(),"Expired",IF($O36-TODAY()&lt;=60,"Expires &lt;=60","Valid")))))</f>
        <v/>
      </c>
      <c r="Q36" s="97">
        <f>IF($A36="","",IFERROR(IF(INDEX('PRS Database Readiness'!$AE$9:$AE$108,MATCH($A36,'PRS Database Readiness'!$A$9:$A$108,0))="","",INDEX('PRS Database Readiness'!$AE$9:$AE$108,MATCH($A36,'PRS Database Readiness'!$A$9:$A$108,0))),""))</f>
        <v/>
      </c>
      <c r="R36" s="81"/>
      <c r="S36" s="81"/>
      <c r="T36" s="81"/>
    </row>
    <row r="37" spans="1:20" ht="18" customHeight="1">
      <c r="A37" s="54"/>
      <c r="B37" s="81"/>
      <c r="C37" s="81"/>
      <c r="D37" s="81"/>
      <c r="E37" s="52"/>
      <c r="F37" s="52"/>
      <c r="G37" s="83">
        <f>IF(OR($C37="",NOT(ISNUMBER($F37))),"",$F37-TODAY())</f>
        <v/>
      </c>
      <c r="H37" s="97">
        <f>IF($C37="","",IF($C37="Not licensable","n/a",IF($C37="Applied-pending","Pending",IF(NOT(ISNUMBER($F37)),"No date",IF($G37&lt;0,"Expired",IF($G37&lt;=30,"Expires &lt;=30",IF($G37&lt;=60,"Expires 31-60","Valid")))))))</f>
        <v/>
      </c>
      <c r="I37" s="53"/>
      <c r="J37" s="53"/>
      <c r="K37" s="97">
        <f>IF(OR(NOT(ISNUMBER($I37)),NOT(ISNUMBER($J37))),"",IF($J37&gt;$I37,"OVER","OK"))</f>
        <v/>
      </c>
      <c r="L37" s="51"/>
      <c r="M37" s="51"/>
      <c r="N37" s="51"/>
      <c r="O37" s="52"/>
      <c r="P37" s="97">
        <f>IF($N37="","",IF(OR($N37="F",$N37="G"),"Below E - check",IF(NOT(ISNUMBER($O37)),"No date",IF($O37&lt;TODAY(),"Expired",IF($O37-TODAY()&lt;=60,"Expires &lt;=60","Valid")))))</f>
        <v/>
      </c>
      <c r="Q37" s="97">
        <f>IF($A37="","",IFERROR(IF(INDEX('PRS Database Readiness'!$AE$9:$AE$108,MATCH($A37,'PRS Database Readiness'!$A$9:$A$108,0))="","",INDEX('PRS Database Readiness'!$AE$9:$AE$108,MATCH($A37,'PRS Database Readiness'!$A$9:$A$108,0))),""))</f>
        <v/>
      </c>
      <c r="R37" s="81"/>
      <c r="S37" s="81"/>
      <c r="T37" s="81"/>
    </row>
    <row r="38" spans="1:20" ht="18" customHeight="1">
      <c r="A38" s="54"/>
      <c r="B38" s="81"/>
      <c r="C38" s="81"/>
      <c r="D38" s="81"/>
      <c r="E38" s="52"/>
      <c r="F38" s="52"/>
      <c r="G38" s="83">
        <f>IF(OR($C38="",NOT(ISNUMBER($F38))),"",$F38-TODAY())</f>
        <v/>
      </c>
      <c r="H38" s="97">
        <f>IF($C38="","",IF($C38="Not licensable","n/a",IF($C38="Applied-pending","Pending",IF(NOT(ISNUMBER($F38)),"No date",IF($G38&lt;0,"Expired",IF($G38&lt;=30,"Expires &lt;=30",IF($G38&lt;=60,"Expires 31-60","Valid")))))))</f>
        <v/>
      </c>
      <c r="I38" s="53"/>
      <c r="J38" s="53"/>
      <c r="K38" s="97">
        <f>IF(OR(NOT(ISNUMBER($I38)),NOT(ISNUMBER($J38))),"",IF($J38&gt;$I38,"OVER","OK"))</f>
        <v/>
      </c>
      <c r="L38" s="51"/>
      <c r="M38" s="51"/>
      <c r="N38" s="51"/>
      <c r="O38" s="52"/>
      <c r="P38" s="97">
        <f>IF($N38="","",IF(OR($N38="F",$N38="G"),"Below E - check",IF(NOT(ISNUMBER($O38)),"No date",IF($O38&lt;TODAY(),"Expired",IF($O38-TODAY()&lt;=60,"Expires &lt;=60","Valid")))))</f>
        <v/>
      </c>
      <c r="Q38" s="97">
        <f>IF($A38="","",IFERROR(IF(INDEX('PRS Database Readiness'!$AE$9:$AE$108,MATCH($A38,'PRS Database Readiness'!$A$9:$A$108,0))="","",INDEX('PRS Database Readiness'!$AE$9:$AE$108,MATCH($A38,'PRS Database Readiness'!$A$9:$A$108,0))),""))</f>
        <v/>
      </c>
      <c r="R38" s="81"/>
      <c r="S38" s="81"/>
      <c r="T38" s="81"/>
    </row>
    <row r="39" spans="1:20" ht="18" customHeight="1">
      <c r="A39" s="54"/>
      <c r="B39" s="81"/>
      <c r="C39" s="81"/>
      <c r="D39" s="81"/>
      <c r="E39" s="52"/>
      <c r="F39" s="52"/>
      <c r="G39" s="83">
        <f>IF(OR($C39="",NOT(ISNUMBER($F39))),"",$F39-TODAY())</f>
        <v/>
      </c>
      <c r="H39" s="97">
        <f>IF($C39="","",IF($C39="Not licensable","n/a",IF($C39="Applied-pending","Pending",IF(NOT(ISNUMBER($F39)),"No date",IF($G39&lt;0,"Expired",IF($G39&lt;=30,"Expires &lt;=30",IF($G39&lt;=60,"Expires 31-60","Valid")))))))</f>
        <v/>
      </c>
      <c r="I39" s="53"/>
      <c r="J39" s="53"/>
      <c r="K39" s="97">
        <f>IF(OR(NOT(ISNUMBER($I39)),NOT(ISNUMBER($J39))),"",IF($J39&gt;$I39,"OVER","OK"))</f>
        <v/>
      </c>
      <c r="L39" s="51"/>
      <c r="M39" s="51"/>
      <c r="N39" s="51"/>
      <c r="O39" s="52"/>
      <c r="P39" s="97">
        <f>IF($N39="","",IF(OR($N39="F",$N39="G"),"Below E - check",IF(NOT(ISNUMBER($O39)),"No date",IF($O39&lt;TODAY(),"Expired",IF($O39-TODAY()&lt;=60,"Expires &lt;=60","Valid")))))</f>
        <v/>
      </c>
      <c r="Q39" s="97">
        <f>IF($A39="","",IFERROR(IF(INDEX('PRS Database Readiness'!$AE$9:$AE$108,MATCH($A39,'PRS Database Readiness'!$A$9:$A$108,0))="","",INDEX('PRS Database Readiness'!$AE$9:$AE$108,MATCH($A39,'PRS Database Readiness'!$A$9:$A$108,0))),""))</f>
        <v/>
      </c>
      <c r="R39" s="81"/>
      <c r="S39" s="81"/>
      <c r="T39" s="81"/>
    </row>
    <row r="40" spans="1:20" ht="18" customHeight="1">
      <c r="A40" s="54"/>
      <c r="B40" s="81"/>
      <c r="C40" s="81"/>
      <c r="D40" s="81"/>
      <c r="E40" s="52"/>
      <c r="F40" s="52"/>
      <c r="G40" s="83">
        <f>IF(OR($C40="",NOT(ISNUMBER($F40))),"",$F40-TODAY())</f>
        <v/>
      </c>
      <c r="H40" s="97">
        <f>IF($C40="","",IF($C40="Not licensable","n/a",IF($C40="Applied-pending","Pending",IF(NOT(ISNUMBER($F40)),"No date",IF($G40&lt;0,"Expired",IF($G40&lt;=30,"Expires &lt;=30",IF($G40&lt;=60,"Expires 31-60","Valid")))))))</f>
        <v/>
      </c>
      <c r="I40" s="53"/>
      <c r="J40" s="53"/>
      <c r="K40" s="97">
        <f>IF(OR(NOT(ISNUMBER($I40)),NOT(ISNUMBER($J40))),"",IF($J40&gt;$I40,"OVER","OK"))</f>
        <v/>
      </c>
      <c r="L40" s="51"/>
      <c r="M40" s="51"/>
      <c r="N40" s="51"/>
      <c r="O40" s="52"/>
      <c r="P40" s="97">
        <f>IF($N40="","",IF(OR($N40="F",$N40="G"),"Below E - check",IF(NOT(ISNUMBER($O40)),"No date",IF($O40&lt;TODAY(),"Expired",IF($O40-TODAY()&lt;=60,"Expires &lt;=60","Valid")))))</f>
        <v/>
      </c>
      <c r="Q40" s="97">
        <f>IF($A40="","",IFERROR(IF(INDEX('PRS Database Readiness'!$AE$9:$AE$108,MATCH($A40,'PRS Database Readiness'!$A$9:$A$108,0))="","",INDEX('PRS Database Readiness'!$AE$9:$AE$108,MATCH($A40,'PRS Database Readiness'!$A$9:$A$108,0))),""))</f>
        <v/>
      </c>
      <c r="R40" s="81"/>
      <c r="S40" s="81"/>
      <c r="T40" s="81"/>
    </row>
    <row r="41" spans="1:20" ht="18" customHeight="1">
      <c r="A41" s="54"/>
      <c r="B41" s="81"/>
      <c r="C41" s="81"/>
      <c r="D41" s="81"/>
      <c r="E41" s="52"/>
      <c r="F41" s="52"/>
      <c r="G41" s="83">
        <f>IF(OR($C41="",NOT(ISNUMBER($F41))),"",$F41-TODAY())</f>
        <v/>
      </c>
      <c r="H41" s="97">
        <f>IF($C41="","",IF($C41="Not licensable","n/a",IF($C41="Applied-pending","Pending",IF(NOT(ISNUMBER($F41)),"No date",IF($G41&lt;0,"Expired",IF($G41&lt;=30,"Expires &lt;=30",IF($G41&lt;=60,"Expires 31-60","Valid")))))))</f>
        <v/>
      </c>
      <c r="I41" s="53"/>
      <c r="J41" s="53"/>
      <c r="K41" s="97">
        <f>IF(OR(NOT(ISNUMBER($I41)),NOT(ISNUMBER($J41))),"",IF($J41&gt;$I41,"OVER","OK"))</f>
        <v/>
      </c>
      <c r="L41" s="51"/>
      <c r="M41" s="51"/>
      <c r="N41" s="51"/>
      <c r="O41" s="52"/>
      <c r="P41" s="97">
        <f>IF($N41="","",IF(OR($N41="F",$N41="G"),"Below E - check",IF(NOT(ISNUMBER($O41)),"No date",IF($O41&lt;TODAY(),"Expired",IF($O41-TODAY()&lt;=60,"Expires &lt;=60","Valid")))))</f>
        <v/>
      </c>
      <c r="Q41" s="97">
        <f>IF($A41="","",IFERROR(IF(INDEX('PRS Database Readiness'!$AE$9:$AE$108,MATCH($A41,'PRS Database Readiness'!$A$9:$A$108,0))="","",INDEX('PRS Database Readiness'!$AE$9:$AE$108,MATCH($A41,'PRS Database Readiness'!$A$9:$A$108,0))),""))</f>
        <v/>
      </c>
      <c r="R41" s="81"/>
      <c r="S41" s="81"/>
      <c r="T41" s="81"/>
    </row>
    <row r="42" spans="1:20" ht="18" customHeight="1">
      <c r="A42" s="54"/>
      <c r="B42" s="81"/>
      <c r="C42" s="81"/>
      <c r="D42" s="81"/>
      <c r="E42" s="52"/>
      <c r="F42" s="52"/>
      <c r="G42" s="83">
        <f>IF(OR($C42="",NOT(ISNUMBER($F42))),"",$F42-TODAY())</f>
        <v/>
      </c>
      <c r="H42" s="97">
        <f>IF($C42="","",IF($C42="Not licensable","n/a",IF($C42="Applied-pending","Pending",IF(NOT(ISNUMBER($F42)),"No date",IF($G42&lt;0,"Expired",IF($G42&lt;=30,"Expires &lt;=30",IF($G42&lt;=60,"Expires 31-60","Valid")))))))</f>
        <v/>
      </c>
      <c r="I42" s="53"/>
      <c r="J42" s="53"/>
      <c r="K42" s="97">
        <f>IF(OR(NOT(ISNUMBER($I42)),NOT(ISNUMBER($J42))),"",IF($J42&gt;$I42,"OVER","OK"))</f>
        <v/>
      </c>
      <c r="L42" s="51"/>
      <c r="M42" s="51"/>
      <c r="N42" s="51"/>
      <c r="O42" s="52"/>
      <c r="P42" s="97">
        <f>IF($N42="","",IF(OR($N42="F",$N42="G"),"Below E - check",IF(NOT(ISNUMBER($O42)),"No date",IF($O42&lt;TODAY(),"Expired",IF($O42-TODAY()&lt;=60,"Expires &lt;=60","Valid")))))</f>
        <v/>
      </c>
      <c r="Q42" s="97">
        <f>IF($A42="","",IFERROR(IF(INDEX('PRS Database Readiness'!$AE$9:$AE$108,MATCH($A42,'PRS Database Readiness'!$A$9:$A$108,0))="","",INDEX('PRS Database Readiness'!$AE$9:$AE$108,MATCH($A42,'PRS Database Readiness'!$A$9:$A$108,0))),""))</f>
        <v/>
      </c>
      <c r="R42" s="81"/>
      <c r="S42" s="81"/>
      <c r="T42" s="81"/>
    </row>
    <row r="43" spans="1:20" ht="18" customHeight="1">
      <c r="A43" s="54"/>
      <c r="B43" s="81"/>
      <c r="C43" s="81"/>
      <c r="D43" s="81"/>
      <c r="E43" s="52"/>
      <c r="F43" s="52"/>
      <c r="G43" s="83">
        <f>IF(OR($C43="",NOT(ISNUMBER($F43))),"",$F43-TODAY())</f>
        <v/>
      </c>
      <c r="H43" s="97">
        <f>IF($C43="","",IF($C43="Not licensable","n/a",IF($C43="Applied-pending","Pending",IF(NOT(ISNUMBER($F43)),"No date",IF($G43&lt;0,"Expired",IF($G43&lt;=30,"Expires &lt;=30",IF($G43&lt;=60,"Expires 31-60","Valid")))))))</f>
        <v/>
      </c>
      <c r="I43" s="53"/>
      <c r="J43" s="53"/>
      <c r="K43" s="97">
        <f>IF(OR(NOT(ISNUMBER($I43)),NOT(ISNUMBER($J43))),"",IF($J43&gt;$I43,"OVER","OK"))</f>
        <v/>
      </c>
      <c r="L43" s="51"/>
      <c r="M43" s="51"/>
      <c r="N43" s="51"/>
      <c r="O43" s="52"/>
      <c r="P43" s="97">
        <f>IF($N43="","",IF(OR($N43="F",$N43="G"),"Below E - check",IF(NOT(ISNUMBER($O43)),"No date",IF($O43&lt;TODAY(),"Expired",IF($O43-TODAY()&lt;=60,"Expires &lt;=60","Valid")))))</f>
        <v/>
      </c>
      <c r="Q43" s="97">
        <f>IF($A43="","",IFERROR(IF(INDEX('PRS Database Readiness'!$AE$9:$AE$108,MATCH($A43,'PRS Database Readiness'!$A$9:$A$108,0))="","",INDEX('PRS Database Readiness'!$AE$9:$AE$108,MATCH($A43,'PRS Database Readiness'!$A$9:$A$108,0))),""))</f>
        <v/>
      </c>
      <c r="R43" s="81"/>
      <c r="S43" s="81"/>
      <c r="T43" s="81"/>
    </row>
    <row r="44" spans="1:20" ht="18" customHeight="1">
      <c r="A44" s="54"/>
      <c r="B44" s="81"/>
      <c r="C44" s="81"/>
      <c r="D44" s="81"/>
      <c r="E44" s="52"/>
      <c r="F44" s="52"/>
      <c r="G44" s="83">
        <f>IF(OR($C44="",NOT(ISNUMBER($F44))),"",$F44-TODAY())</f>
        <v/>
      </c>
      <c r="H44" s="97">
        <f>IF($C44="","",IF($C44="Not licensable","n/a",IF($C44="Applied-pending","Pending",IF(NOT(ISNUMBER($F44)),"No date",IF($G44&lt;0,"Expired",IF($G44&lt;=30,"Expires &lt;=30",IF($G44&lt;=60,"Expires 31-60","Valid")))))))</f>
        <v/>
      </c>
      <c r="I44" s="53"/>
      <c r="J44" s="53"/>
      <c r="K44" s="97">
        <f>IF(OR(NOT(ISNUMBER($I44)),NOT(ISNUMBER($J44))),"",IF($J44&gt;$I44,"OVER","OK"))</f>
        <v/>
      </c>
      <c r="L44" s="51"/>
      <c r="M44" s="51"/>
      <c r="N44" s="51"/>
      <c r="O44" s="52"/>
      <c r="P44" s="97">
        <f>IF($N44="","",IF(OR($N44="F",$N44="G"),"Below E - check",IF(NOT(ISNUMBER($O44)),"No date",IF($O44&lt;TODAY(),"Expired",IF($O44-TODAY()&lt;=60,"Expires &lt;=60","Valid")))))</f>
        <v/>
      </c>
      <c r="Q44" s="97">
        <f>IF($A44="","",IFERROR(IF(INDEX('PRS Database Readiness'!$AE$9:$AE$108,MATCH($A44,'PRS Database Readiness'!$A$9:$A$108,0))="","",INDEX('PRS Database Readiness'!$AE$9:$AE$108,MATCH($A44,'PRS Database Readiness'!$A$9:$A$108,0))),""))</f>
        <v/>
      </c>
      <c r="R44" s="81"/>
      <c r="S44" s="81"/>
      <c r="T44" s="81"/>
    </row>
    <row r="45" spans="1:20" ht="18" customHeight="1">
      <c r="A45" s="54"/>
      <c r="B45" s="81"/>
      <c r="C45" s="81"/>
      <c r="D45" s="81"/>
      <c r="E45" s="52"/>
      <c r="F45" s="52"/>
      <c r="G45" s="83">
        <f>IF(OR($C45="",NOT(ISNUMBER($F45))),"",$F45-TODAY())</f>
        <v/>
      </c>
      <c r="H45" s="97">
        <f>IF($C45="","",IF($C45="Not licensable","n/a",IF($C45="Applied-pending","Pending",IF(NOT(ISNUMBER($F45)),"No date",IF($G45&lt;0,"Expired",IF($G45&lt;=30,"Expires &lt;=30",IF($G45&lt;=60,"Expires 31-60","Valid")))))))</f>
        <v/>
      </c>
      <c r="I45" s="53"/>
      <c r="J45" s="53"/>
      <c r="K45" s="97">
        <f>IF(OR(NOT(ISNUMBER($I45)),NOT(ISNUMBER($J45))),"",IF($J45&gt;$I45,"OVER","OK"))</f>
        <v/>
      </c>
      <c r="L45" s="51"/>
      <c r="M45" s="51"/>
      <c r="N45" s="51"/>
      <c r="O45" s="52"/>
      <c r="P45" s="97">
        <f>IF($N45="","",IF(OR($N45="F",$N45="G"),"Below E - check",IF(NOT(ISNUMBER($O45)),"No date",IF($O45&lt;TODAY(),"Expired",IF($O45-TODAY()&lt;=60,"Expires &lt;=60","Valid")))))</f>
        <v/>
      </c>
      <c r="Q45" s="97">
        <f>IF($A45="","",IFERROR(IF(INDEX('PRS Database Readiness'!$AE$9:$AE$108,MATCH($A45,'PRS Database Readiness'!$A$9:$A$108,0))="","",INDEX('PRS Database Readiness'!$AE$9:$AE$108,MATCH($A45,'PRS Database Readiness'!$A$9:$A$108,0))),""))</f>
        <v/>
      </c>
      <c r="R45" s="81"/>
      <c r="S45" s="81"/>
      <c r="T45" s="81"/>
    </row>
    <row r="46" spans="1:20" ht="18" customHeight="1">
      <c r="A46" s="54"/>
      <c r="B46" s="81"/>
      <c r="C46" s="81"/>
      <c r="D46" s="81"/>
      <c r="E46" s="52"/>
      <c r="F46" s="52"/>
      <c r="G46" s="83">
        <f>IF(OR($C46="",NOT(ISNUMBER($F46))),"",$F46-TODAY())</f>
        <v/>
      </c>
      <c r="H46" s="97">
        <f>IF($C46="","",IF($C46="Not licensable","n/a",IF($C46="Applied-pending","Pending",IF(NOT(ISNUMBER($F46)),"No date",IF($G46&lt;0,"Expired",IF($G46&lt;=30,"Expires &lt;=30",IF($G46&lt;=60,"Expires 31-60","Valid")))))))</f>
        <v/>
      </c>
      <c r="I46" s="53"/>
      <c r="J46" s="53"/>
      <c r="K46" s="97">
        <f>IF(OR(NOT(ISNUMBER($I46)),NOT(ISNUMBER($J46))),"",IF($J46&gt;$I46,"OVER","OK"))</f>
        <v/>
      </c>
      <c r="L46" s="51"/>
      <c r="M46" s="51"/>
      <c r="N46" s="51"/>
      <c r="O46" s="52"/>
      <c r="P46" s="97">
        <f>IF($N46="","",IF(OR($N46="F",$N46="G"),"Below E - check",IF(NOT(ISNUMBER($O46)),"No date",IF($O46&lt;TODAY(),"Expired",IF($O46-TODAY()&lt;=60,"Expires &lt;=60","Valid")))))</f>
        <v/>
      </c>
      <c r="Q46" s="97">
        <f>IF($A46="","",IFERROR(IF(INDEX('PRS Database Readiness'!$AE$9:$AE$108,MATCH($A46,'PRS Database Readiness'!$A$9:$A$108,0))="","",INDEX('PRS Database Readiness'!$AE$9:$AE$108,MATCH($A46,'PRS Database Readiness'!$A$9:$A$108,0))),""))</f>
        <v/>
      </c>
      <c r="R46" s="81"/>
      <c r="S46" s="81"/>
      <c r="T46" s="81"/>
    </row>
    <row r="47" spans="1:20" ht="18" customHeight="1">
      <c r="A47" s="54"/>
      <c r="B47" s="81"/>
      <c r="C47" s="81"/>
      <c r="D47" s="81"/>
      <c r="E47" s="52"/>
      <c r="F47" s="52"/>
      <c r="G47" s="83">
        <f>IF(OR($C47="",NOT(ISNUMBER($F47))),"",$F47-TODAY())</f>
        <v/>
      </c>
      <c r="H47" s="97">
        <f>IF($C47="","",IF($C47="Not licensable","n/a",IF($C47="Applied-pending","Pending",IF(NOT(ISNUMBER($F47)),"No date",IF($G47&lt;0,"Expired",IF($G47&lt;=30,"Expires &lt;=30",IF($G47&lt;=60,"Expires 31-60","Valid")))))))</f>
        <v/>
      </c>
      <c r="I47" s="53"/>
      <c r="J47" s="53"/>
      <c r="K47" s="97">
        <f>IF(OR(NOT(ISNUMBER($I47)),NOT(ISNUMBER($J47))),"",IF($J47&gt;$I47,"OVER","OK"))</f>
        <v/>
      </c>
      <c r="L47" s="51"/>
      <c r="M47" s="51"/>
      <c r="N47" s="51"/>
      <c r="O47" s="52"/>
      <c r="P47" s="97">
        <f>IF($N47="","",IF(OR($N47="F",$N47="G"),"Below E - check",IF(NOT(ISNUMBER($O47)),"No date",IF($O47&lt;TODAY(),"Expired",IF($O47-TODAY()&lt;=60,"Expires &lt;=60","Valid")))))</f>
        <v/>
      </c>
      <c r="Q47" s="97">
        <f>IF($A47="","",IFERROR(IF(INDEX('PRS Database Readiness'!$AE$9:$AE$108,MATCH($A47,'PRS Database Readiness'!$A$9:$A$108,0))="","",INDEX('PRS Database Readiness'!$AE$9:$AE$108,MATCH($A47,'PRS Database Readiness'!$A$9:$A$108,0))),""))</f>
        <v/>
      </c>
      <c r="R47" s="81"/>
      <c r="S47" s="81"/>
      <c r="T47" s="81"/>
    </row>
    <row r="48" spans="1:20" ht="18" customHeight="1">
      <c r="A48" s="54"/>
      <c r="B48" s="81"/>
      <c r="C48" s="81"/>
      <c r="D48" s="81"/>
      <c r="E48" s="52"/>
      <c r="F48" s="52"/>
      <c r="G48" s="83">
        <f>IF(OR($C48="",NOT(ISNUMBER($F48))),"",$F48-TODAY())</f>
        <v/>
      </c>
      <c r="H48" s="97">
        <f>IF($C48="","",IF($C48="Not licensable","n/a",IF($C48="Applied-pending","Pending",IF(NOT(ISNUMBER($F48)),"No date",IF($G48&lt;0,"Expired",IF($G48&lt;=30,"Expires &lt;=30",IF($G48&lt;=60,"Expires 31-60","Valid")))))))</f>
        <v/>
      </c>
      <c r="I48" s="53"/>
      <c r="J48" s="53"/>
      <c r="K48" s="97">
        <f>IF(OR(NOT(ISNUMBER($I48)),NOT(ISNUMBER($J48))),"",IF($J48&gt;$I48,"OVER","OK"))</f>
        <v/>
      </c>
      <c r="L48" s="51"/>
      <c r="M48" s="51"/>
      <c r="N48" s="51"/>
      <c r="O48" s="52"/>
      <c r="P48" s="97">
        <f>IF($N48="","",IF(OR($N48="F",$N48="G"),"Below E - check",IF(NOT(ISNUMBER($O48)),"No date",IF($O48&lt;TODAY(),"Expired",IF($O48-TODAY()&lt;=60,"Expires &lt;=60","Valid")))))</f>
        <v/>
      </c>
      <c r="Q48" s="97">
        <f>IF($A48="","",IFERROR(IF(INDEX('PRS Database Readiness'!$AE$9:$AE$108,MATCH($A48,'PRS Database Readiness'!$A$9:$A$108,0))="","",INDEX('PRS Database Readiness'!$AE$9:$AE$108,MATCH($A48,'PRS Database Readiness'!$A$9:$A$108,0))),""))</f>
        <v/>
      </c>
      <c r="R48" s="81"/>
      <c r="S48" s="81"/>
      <c r="T48" s="81"/>
    </row>
    <row r="49" spans="1:20" ht="18" customHeight="1">
      <c r="A49" s="54"/>
      <c r="B49" s="81"/>
      <c r="C49" s="81"/>
      <c r="D49" s="81"/>
      <c r="E49" s="52"/>
      <c r="F49" s="52"/>
      <c r="G49" s="83">
        <f>IF(OR($C49="",NOT(ISNUMBER($F49))),"",$F49-TODAY())</f>
        <v/>
      </c>
      <c r="H49" s="97">
        <f>IF($C49="","",IF($C49="Not licensable","n/a",IF($C49="Applied-pending","Pending",IF(NOT(ISNUMBER($F49)),"No date",IF($G49&lt;0,"Expired",IF($G49&lt;=30,"Expires &lt;=30",IF($G49&lt;=60,"Expires 31-60","Valid")))))))</f>
        <v/>
      </c>
      <c r="I49" s="53"/>
      <c r="J49" s="53"/>
      <c r="K49" s="97">
        <f>IF(OR(NOT(ISNUMBER($I49)),NOT(ISNUMBER($J49))),"",IF($J49&gt;$I49,"OVER","OK"))</f>
        <v/>
      </c>
      <c r="L49" s="51"/>
      <c r="M49" s="51"/>
      <c r="N49" s="51"/>
      <c r="O49" s="52"/>
      <c r="P49" s="97">
        <f>IF($N49="","",IF(OR($N49="F",$N49="G"),"Below E - check",IF(NOT(ISNUMBER($O49)),"No date",IF($O49&lt;TODAY(),"Expired",IF($O49-TODAY()&lt;=60,"Expires &lt;=60","Valid")))))</f>
        <v/>
      </c>
      <c r="Q49" s="97">
        <f>IF($A49="","",IFERROR(IF(INDEX('PRS Database Readiness'!$AE$9:$AE$108,MATCH($A49,'PRS Database Readiness'!$A$9:$A$108,0))="","",INDEX('PRS Database Readiness'!$AE$9:$AE$108,MATCH($A49,'PRS Database Readiness'!$A$9:$A$108,0))),""))</f>
        <v/>
      </c>
      <c r="R49" s="81"/>
      <c r="S49" s="81"/>
      <c r="T49" s="81"/>
    </row>
    <row r="50" spans="1:20" ht="18" customHeight="1">
      <c r="A50" s="54"/>
      <c r="B50" s="81"/>
      <c r="C50" s="81"/>
      <c r="D50" s="81"/>
      <c r="E50" s="52"/>
      <c r="F50" s="52"/>
      <c r="G50" s="83">
        <f>IF(OR($C50="",NOT(ISNUMBER($F50))),"",$F50-TODAY())</f>
        <v/>
      </c>
      <c r="H50" s="97">
        <f>IF($C50="","",IF($C50="Not licensable","n/a",IF($C50="Applied-pending","Pending",IF(NOT(ISNUMBER($F50)),"No date",IF($G50&lt;0,"Expired",IF($G50&lt;=30,"Expires &lt;=30",IF($G50&lt;=60,"Expires 31-60","Valid")))))))</f>
        <v/>
      </c>
      <c r="I50" s="53"/>
      <c r="J50" s="53"/>
      <c r="K50" s="97">
        <f>IF(OR(NOT(ISNUMBER($I50)),NOT(ISNUMBER($J50))),"",IF($J50&gt;$I50,"OVER","OK"))</f>
        <v/>
      </c>
      <c r="L50" s="51"/>
      <c r="M50" s="51"/>
      <c r="N50" s="51"/>
      <c r="O50" s="52"/>
      <c r="P50" s="97">
        <f>IF($N50="","",IF(OR($N50="F",$N50="G"),"Below E - check",IF(NOT(ISNUMBER($O50)),"No date",IF($O50&lt;TODAY(),"Expired",IF($O50-TODAY()&lt;=60,"Expires &lt;=60","Valid")))))</f>
        <v/>
      </c>
      <c r="Q50" s="97">
        <f>IF($A50="","",IFERROR(IF(INDEX('PRS Database Readiness'!$AE$9:$AE$108,MATCH($A50,'PRS Database Readiness'!$A$9:$A$108,0))="","",INDEX('PRS Database Readiness'!$AE$9:$AE$108,MATCH($A50,'PRS Database Readiness'!$A$9:$A$108,0))),""))</f>
        <v/>
      </c>
      <c r="R50" s="81"/>
      <c r="S50" s="81"/>
      <c r="T50" s="81"/>
    </row>
    <row r="51" spans="1:20" ht="18" customHeight="1">
      <c r="A51" s="54"/>
      <c r="B51" s="81"/>
      <c r="C51" s="81"/>
      <c r="D51" s="81"/>
      <c r="E51" s="52"/>
      <c r="F51" s="52"/>
      <c r="G51" s="83">
        <f>IF(OR($C51="",NOT(ISNUMBER($F51))),"",$F51-TODAY())</f>
        <v/>
      </c>
      <c r="H51" s="97">
        <f>IF($C51="","",IF($C51="Not licensable","n/a",IF($C51="Applied-pending","Pending",IF(NOT(ISNUMBER($F51)),"No date",IF($G51&lt;0,"Expired",IF($G51&lt;=30,"Expires &lt;=30",IF($G51&lt;=60,"Expires 31-60","Valid")))))))</f>
        <v/>
      </c>
      <c r="I51" s="53"/>
      <c r="J51" s="53"/>
      <c r="K51" s="97">
        <f>IF(OR(NOT(ISNUMBER($I51)),NOT(ISNUMBER($J51))),"",IF($J51&gt;$I51,"OVER","OK"))</f>
        <v/>
      </c>
      <c r="L51" s="51"/>
      <c r="M51" s="51"/>
      <c r="N51" s="51"/>
      <c r="O51" s="52"/>
      <c r="P51" s="97">
        <f>IF($N51="","",IF(OR($N51="F",$N51="G"),"Below E - check",IF(NOT(ISNUMBER($O51)),"No date",IF($O51&lt;TODAY(),"Expired",IF($O51-TODAY()&lt;=60,"Expires &lt;=60","Valid")))))</f>
        <v/>
      </c>
      <c r="Q51" s="97">
        <f>IF($A51="","",IFERROR(IF(INDEX('PRS Database Readiness'!$AE$9:$AE$108,MATCH($A51,'PRS Database Readiness'!$A$9:$A$108,0))="","",INDEX('PRS Database Readiness'!$AE$9:$AE$108,MATCH($A51,'PRS Database Readiness'!$A$9:$A$108,0))),""))</f>
        <v/>
      </c>
      <c r="R51" s="81"/>
      <c r="S51" s="81"/>
      <c r="T51" s="81"/>
    </row>
    <row r="52" spans="1:20" ht="18" customHeight="1">
      <c r="A52" s="54"/>
      <c r="B52" s="81"/>
      <c r="C52" s="81"/>
      <c r="D52" s="81"/>
      <c r="E52" s="52"/>
      <c r="F52" s="52"/>
      <c r="G52" s="83">
        <f>IF(OR($C52="",NOT(ISNUMBER($F52))),"",$F52-TODAY())</f>
        <v/>
      </c>
      <c r="H52" s="97">
        <f>IF($C52="","",IF($C52="Not licensable","n/a",IF($C52="Applied-pending","Pending",IF(NOT(ISNUMBER($F52)),"No date",IF($G52&lt;0,"Expired",IF($G52&lt;=30,"Expires &lt;=30",IF($G52&lt;=60,"Expires 31-60","Valid")))))))</f>
        <v/>
      </c>
      <c r="I52" s="53"/>
      <c r="J52" s="53"/>
      <c r="K52" s="97">
        <f>IF(OR(NOT(ISNUMBER($I52)),NOT(ISNUMBER($J52))),"",IF($J52&gt;$I52,"OVER","OK"))</f>
        <v/>
      </c>
      <c r="L52" s="51"/>
      <c r="M52" s="51"/>
      <c r="N52" s="51"/>
      <c r="O52" s="52"/>
      <c r="P52" s="97">
        <f>IF($N52="","",IF(OR($N52="F",$N52="G"),"Below E - check",IF(NOT(ISNUMBER($O52)),"No date",IF($O52&lt;TODAY(),"Expired",IF($O52-TODAY()&lt;=60,"Expires &lt;=60","Valid")))))</f>
        <v/>
      </c>
      <c r="Q52" s="97">
        <f>IF($A52="","",IFERROR(IF(INDEX('PRS Database Readiness'!$AE$9:$AE$108,MATCH($A52,'PRS Database Readiness'!$A$9:$A$108,0))="","",INDEX('PRS Database Readiness'!$AE$9:$AE$108,MATCH($A52,'PRS Database Readiness'!$A$9:$A$108,0))),""))</f>
        <v/>
      </c>
      <c r="R52" s="81"/>
      <c r="S52" s="81"/>
      <c r="T52" s="81"/>
    </row>
    <row r="53" spans="1:20" ht="18" customHeight="1">
      <c r="A53" s="54"/>
      <c r="B53" s="81"/>
      <c r="C53" s="81"/>
      <c r="D53" s="81"/>
      <c r="E53" s="52"/>
      <c r="F53" s="52"/>
      <c r="G53" s="83">
        <f>IF(OR($C53="",NOT(ISNUMBER($F53))),"",$F53-TODAY())</f>
        <v/>
      </c>
      <c r="H53" s="97">
        <f>IF($C53="","",IF($C53="Not licensable","n/a",IF($C53="Applied-pending","Pending",IF(NOT(ISNUMBER($F53)),"No date",IF($G53&lt;0,"Expired",IF($G53&lt;=30,"Expires &lt;=30",IF($G53&lt;=60,"Expires 31-60","Valid")))))))</f>
        <v/>
      </c>
      <c r="I53" s="53"/>
      <c r="J53" s="53"/>
      <c r="K53" s="97">
        <f>IF(OR(NOT(ISNUMBER($I53)),NOT(ISNUMBER($J53))),"",IF($J53&gt;$I53,"OVER","OK"))</f>
        <v/>
      </c>
      <c r="L53" s="51"/>
      <c r="M53" s="51"/>
      <c r="N53" s="51"/>
      <c r="O53" s="52"/>
      <c r="P53" s="97">
        <f>IF($N53="","",IF(OR($N53="F",$N53="G"),"Below E - check",IF(NOT(ISNUMBER($O53)),"No date",IF($O53&lt;TODAY(),"Expired",IF($O53-TODAY()&lt;=60,"Expires &lt;=60","Valid")))))</f>
        <v/>
      </c>
      <c r="Q53" s="97">
        <f>IF($A53="","",IFERROR(IF(INDEX('PRS Database Readiness'!$AE$9:$AE$108,MATCH($A53,'PRS Database Readiness'!$A$9:$A$108,0))="","",INDEX('PRS Database Readiness'!$AE$9:$AE$108,MATCH($A53,'PRS Database Readiness'!$A$9:$A$108,0))),""))</f>
        <v/>
      </c>
      <c r="R53" s="81"/>
      <c r="S53" s="81"/>
      <c r="T53" s="81"/>
    </row>
    <row r="54" spans="1:20" ht="18" customHeight="1">
      <c r="A54" s="54"/>
      <c r="B54" s="81"/>
      <c r="C54" s="81"/>
      <c r="D54" s="81"/>
      <c r="E54" s="52"/>
      <c r="F54" s="52"/>
      <c r="G54" s="83">
        <f>IF(OR($C54="",NOT(ISNUMBER($F54))),"",$F54-TODAY())</f>
        <v/>
      </c>
      <c r="H54" s="97">
        <f>IF($C54="","",IF($C54="Not licensable","n/a",IF($C54="Applied-pending","Pending",IF(NOT(ISNUMBER($F54)),"No date",IF($G54&lt;0,"Expired",IF($G54&lt;=30,"Expires &lt;=30",IF($G54&lt;=60,"Expires 31-60","Valid")))))))</f>
        <v/>
      </c>
      <c r="I54" s="53"/>
      <c r="J54" s="53"/>
      <c r="K54" s="97">
        <f>IF(OR(NOT(ISNUMBER($I54)),NOT(ISNUMBER($J54))),"",IF($J54&gt;$I54,"OVER","OK"))</f>
        <v/>
      </c>
      <c r="L54" s="51"/>
      <c r="M54" s="51"/>
      <c r="N54" s="51"/>
      <c r="O54" s="52"/>
      <c r="P54" s="97">
        <f>IF($N54="","",IF(OR($N54="F",$N54="G"),"Below E - check",IF(NOT(ISNUMBER($O54)),"No date",IF($O54&lt;TODAY(),"Expired",IF($O54-TODAY()&lt;=60,"Expires &lt;=60","Valid")))))</f>
        <v/>
      </c>
      <c r="Q54" s="97">
        <f>IF($A54="","",IFERROR(IF(INDEX('PRS Database Readiness'!$AE$9:$AE$108,MATCH($A54,'PRS Database Readiness'!$A$9:$A$108,0))="","",INDEX('PRS Database Readiness'!$AE$9:$AE$108,MATCH($A54,'PRS Database Readiness'!$A$9:$A$108,0))),""))</f>
        <v/>
      </c>
      <c r="R54" s="81"/>
      <c r="S54" s="81"/>
      <c r="T54" s="81"/>
    </row>
    <row r="55" spans="1:20" ht="18" customHeight="1">
      <c r="A55" s="54"/>
      <c r="B55" s="81"/>
      <c r="C55" s="81"/>
      <c r="D55" s="81"/>
      <c r="E55" s="52"/>
      <c r="F55" s="52"/>
      <c r="G55" s="83">
        <f>IF(OR($C55="",NOT(ISNUMBER($F55))),"",$F55-TODAY())</f>
        <v/>
      </c>
      <c r="H55" s="97">
        <f>IF($C55="","",IF($C55="Not licensable","n/a",IF($C55="Applied-pending","Pending",IF(NOT(ISNUMBER($F55)),"No date",IF($G55&lt;0,"Expired",IF($G55&lt;=30,"Expires &lt;=30",IF($G55&lt;=60,"Expires 31-60","Valid")))))))</f>
        <v/>
      </c>
      <c r="I55" s="53"/>
      <c r="J55" s="53"/>
      <c r="K55" s="97">
        <f>IF(OR(NOT(ISNUMBER($I55)),NOT(ISNUMBER($J55))),"",IF($J55&gt;$I55,"OVER","OK"))</f>
        <v/>
      </c>
      <c r="L55" s="51"/>
      <c r="M55" s="51"/>
      <c r="N55" s="51"/>
      <c r="O55" s="52"/>
      <c r="P55" s="97">
        <f>IF($N55="","",IF(OR($N55="F",$N55="G"),"Below E - check",IF(NOT(ISNUMBER($O55)),"No date",IF($O55&lt;TODAY(),"Expired",IF($O55-TODAY()&lt;=60,"Expires &lt;=60","Valid")))))</f>
        <v/>
      </c>
      <c r="Q55" s="97">
        <f>IF($A55="","",IFERROR(IF(INDEX('PRS Database Readiness'!$AE$9:$AE$108,MATCH($A55,'PRS Database Readiness'!$A$9:$A$108,0))="","",INDEX('PRS Database Readiness'!$AE$9:$AE$108,MATCH($A55,'PRS Database Readiness'!$A$9:$A$108,0))),""))</f>
        <v/>
      </c>
      <c r="R55" s="81"/>
      <c r="S55" s="81"/>
      <c r="T55" s="81"/>
    </row>
    <row r="56" spans="1:20" ht="18" customHeight="1">
      <c r="A56" s="54"/>
      <c r="B56" s="81"/>
      <c r="C56" s="81"/>
      <c r="D56" s="81"/>
      <c r="E56" s="52"/>
      <c r="F56" s="52"/>
      <c r="G56" s="83">
        <f>IF(OR($C56="",NOT(ISNUMBER($F56))),"",$F56-TODAY())</f>
        <v/>
      </c>
      <c r="H56" s="97">
        <f>IF($C56="","",IF($C56="Not licensable","n/a",IF($C56="Applied-pending","Pending",IF(NOT(ISNUMBER($F56)),"No date",IF($G56&lt;0,"Expired",IF($G56&lt;=30,"Expires &lt;=30",IF($G56&lt;=60,"Expires 31-60","Valid")))))))</f>
        <v/>
      </c>
      <c r="I56" s="53"/>
      <c r="J56" s="53"/>
      <c r="K56" s="97">
        <f>IF(OR(NOT(ISNUMBER($I56)),NOT(ISNUMBER($J56))),"",IF($J56&gt;$I56,"OVER","OK"))</f>
        <v/>
      </c>
      <c r="L56" s="51"/>
      <c r="M56" s="51"/>
      <c r="N56" s="51"/>
      <c r="O56" s="52"/>
      <c r="P56" s="97">
        <f>IF($N56="","",IF(OR($N56="F",$N56="G"),"Below E - check",IF(NOT(ISNUMBER($O56)),"No date",IF($O56&lt;TODAY(),"Expired",IF($O56-TODAY()&lt;=60,"Expires &lt;=60","Valid")))))</f>
        <v/>
      </c>
      <c r="Q56" s="97">
        <f>IF($A56="","",IFERROR(IF(INDEX('PRS Database Readiness'!$AE$9:$AE$108,MATCH($A56,'PRS Database Readiness'!$A$9:$A$108,0))="","",INDEX('PRS Database Readiness'!$AE$9:$AE$108,MATCH($A56,'PRS Database Readiness'!$A$9:$A$108,0))),""))</f>
        <v/>
      </c>
      <c r="R56" s="81"/>
      <c r="S56" s="81"/>
      <c r="T56" s="81"/>
    </row>
    <row r="57" spans="1:20" ht="18" customHeight="1">
      <c r="A57" s="54"/>
      <c r="B57" s="81"/>
      <c r="C57" s="81"/>
      <c r="D57" s="81"/>
      <c r="E57" s="52"/>
      <c r="F57" s="52"/>
      <c r="G57" s="83">
        <f>IF(OR($C57="",NOT(ISNUMBER($F57))),"",$F57-TODAY())</f>
        <v/>
      </c>
      <c r="H57" s="97">
        <f>IF($C57="","",IF($C57="Not licensable","n/a",IF($C57="Applied-pending","Pending",IF(NOT(ISNUMBER($F57)),"No date",IF($G57&lt;0,"Expired",IF($G57&lt;=30,"Expires &lt;=30",IF($G57&lt;=60,"Expires 31-60","Valid")))))))</f>
        <v/>
      </c>
      <c r="I57" s="53"/>
      <c r="J57" s="53"/>
      <c r="K57" s="97">
        <f>IF(OR(NOT(ISNUMBER($I57)),NOT(ISNUMBER($J57))),"",IF($J57&gt;$I57,"OVER","OK"))</f>
        <v/>
      </c>
      <c r="L57" s="51"/>
      <c r="M57" s="51"/>
      <c r="N57" s="51"/>
      <c r="O57" s="52"/>
      <c r="P57" s="97">
        <f>IF($N57="","",IF(OR($N57="F",$N57="G"),"Below E - check",IF(NOT(ISNUMBER($O57)),"No date",IF($O57&lt;TODAY(),"Expired",IF($O57-TODAY()&lt;=60,"Expires &lt;=60","Valid")))))</f>
        <v/>
      </c>
      <c r="Q57" s="97">
        <f>IF($A57="","",IFERROR(IF(INDEX('PRS Database Readiness'!$AE$9:$AE$108,MATCH($A57,'PRS Database Readiness'!$A$9:$A$108,0))="","",INDEX('PRS Database Readiness'!$AE$9:$AE$108,MATCH($A57,'PRS Database Readiness'!$A$9:$A$108,0))),""))</f>
        <v/>
      </c>
      <c r="R57" s="81"/>
      <c r="S57" s="81"/>
      <c r="T57" s="81"/>
    </row>
    <row r="58" spans="1:20" ht="18" customHeight="1">
      <c r="A58" s="54"/>
      <c r="B58" s="81"/>
      <c r="C58" s="81"/>
      <c r="D58" s="81"/>
      <c r="E58" s="52"/>
      <c r="F58" s="52"/>
      <c r="G58" s="83">
        <f>IF(OR($C58="",NOT(ISNUMBER($F58))),"",$F58-TODAY())</f>
        <v/>
      </c>
      <c r="H58" s="97">
        <f>IF($C58="","",IF($C58="Not licensable","n/a",IF($C58="Applied-pending","Pending",IF(NOT(ISNUMBER($F58)),"No date",IF($G58&lt;0,"Expired",IF($G58&lt;=30,"Expires &lt;=30",IF($G58&lt;=60,"Expires 31-60","Valid")))))))</f>
        <v/>
      </c>
      <c r="I58" s="53"/>
      <c r="J58" s="53"/>
      <c r="K58" s="97">
        <f>IF(OR(NOT(ISNUMBER($I58)),NOT(ISNUMBER($J58))),"",IF($J58&gt;$I58,"OVER","OK"))</f>
        <v/>
      </c>
      <c r="L58" s="51"/>
      <c r="M58" s="51"/>
      <c r="N58" s="51"/>
      <c r="O58" s="52"/>
      <c r="P58" s="97">
        <f>IF($N58="","",IF(OR($N58="F",$N58="G"),"Below E - check",IF(NOT(ISNUMBER($O58)),"No date",IF($O58&lt;TODAY(),"Expired",IF($O58-TODAY()&lt;=60,"Expires &lt;=60","Valid")))))</f>
        <v/>
      </c>
      <c r="Q58" s="97">
        <f>IF($A58="","",IFERROR(IF(INDEX('PRS Database Readiness'!$AE$9:$AE$108,MATCH($A58,'PRS Database Readiness'!$A$9:$A$108,0))="","",INDEX('PRS Database Readiness'!$AE$9:$AE$108,MATCH($A58,'PRS Database Readiness'!$A$9:$A$108,0))),""))</f>
        <v/>
      </c>
      <c r="R58" s="81"/>
      <c r="S58" s="81"/>
      <c r="T58" s="81"/>
    </row>
    <row r="59" spans="1:20" ht="18" customHeight="1">
      <c r="A59" s="54"/>
      <c r="B59" s="81"/>
      <c r="C59" s="81"/>
      <c r="D59" s="81"/>
      <c r="E59" s="52"/>
      <c r="F59" s="52"/>
      <c r="G59" s="83">
        <f>IF(OR($C59="",NOT(ISNUMBER($F59))),"",$F59-TODAY())</f>
        <v/>
      </c>
      <c r="H59" s="97">
        <f>IF($C59="","",IF($C59="Not licensable","n/a",IF($C59="Applied-pending","Pending",IF(NOT(ISNUMBER($F59)),"No date",IF($G59&lt;0,"Expired",IF($G59&lt;=30,"Expires &lt;=30",IF($G59&lt;=60,"Expires 31-60","Valid")))))))</f>
        <v/>
      </c>
      <c r="I59" s="53"/>
      <c r="J59" s="53"/>
      <c r="K59" s="97">
        <f>IF(OR(NOT(ISNUMBER($I59)),NOT(ISNUMBER($J59))),"",IF($J59&gt;$I59,"OVER","OK"))</f>
        <v/>
      </c>
      <c r="L59" s="51"/>
      <c r="M59" s="51"/>
      <c r="N59" s="51"/>
      <c r="O59" s="52"/>
      <c r="P59" s="97">
        <f>IF($N59="","",IF(OR($N59="F",$N59="G"),"Below E - check",IF(NOT(ISNUMBER($O59)),"No date",IF($O59&lt;TODAY(),"Expired",IF($O59-TODAY()&lt;=60,"Expires &lt;=60","Valid")))))</f>
        <v/>
      </c>
      <c r="Q59" s="97">
        <f>IF($A59="","",IFERROR(IF(INDEX('PRS Database Readiness'!$AE$9:$AE$108,MATCH($A59,'PRS Database Readiness'!$A$9:$A$108,0))="","",INDEX('PRS Database Readiness'!$AE$9:$AE$108,MATCH($A59,'PRS Database Readiness'!$A$9:$A$108,0))),""))</f>
        <v/>
      </c>
      <c r="R59" s="81"/>
      <c r="S59" s="81"/>
      <c r="T59" s="81"/>
    </row>
    <row r="60" spans="1:20" ht="18" customHeight="1">
      <c r="A60" s="54"/>
      <c r="B60" s="81"/>
      <c r="C60" s="81"/>
      <c r="D60" s="81"/>
      <c r="E60" s="52"/>
      <c r="F60" s="52"/>
      <c r="G60" s="83">
        <f>IF(OR($C60="",NOT(ISNUMBER($F60))),"",$F60-TODAY())</f>
        <v/>
      </c>
      <c r="H60" s="97">
        <f>IF($C60="","",IF($C60="Not licensable","n/a",IF($C60="Applied-pending","Pending",IF(NOT(ISNUMBER($F60)),"No date",IF($G60&lt;0,"Expired",IF($G60&lt;=30,"Expires &lt;=30",IF($G60&lt;=60,"Expires 31-60","Valid")))))))</f>
        <v/>
      </c>
      <c r="I60" s="53"/>
      <c r="J60" s="53"/>
      <c r="K60" s="97">
        <f>IF(OR(NOT(ISNUMBER($I60)),NOT(ISNUMBER($J60))),"",IF($J60&gt;$I60,"OVER","OK"))</f>
        <v/>
      </c>
      <c r="L60" s="51"/>
      <c r="M60" s="51"/>
      <c r="N60" s="51"/>
      <c r="O60" s="52"/>
      <c r="P60" s="97">
        <f>IF($N60="","",IF(OR($N60="F",$N60="G"),"Below E - check",IF(NOT(ISNUMBER($O60)),"No date",IF($O60&lt;TODAY(),"Expired",IF($O60-TODAY()&lt;=60,"Expires &lt;=60","Valid")))))</f>
        <v/>
      </c>
      <c r="Q60" s="97">
        <f>IF($A60="","",IFERROR(IF(INDEX('PRS Database Readiness'!$AE$9:$AE$108,MATCH($A60,'PRS Database Readiness'!$A$9:$A$108,0))="","",INDEX('PRS Database Readiness'!$AE$9:$AE$108,MATCH($A60,'PRS Database Readiness'!$A$9:$A$108,0))),""))</f>
        <v/>
      </c>
      <c r="R60" s="81"/>
      <c r="S60" s="81"/>
      <c r="T60" s="81"/>
    </row>
    <row r="61" spans="1:20" ht="18" customHeight="1">
      <c r="A61" s="54"/>
      <c r="B61" s="81"/>
      <c r="C61" s="81"/>
      <c r="D61" s="81"/>
      <c r="E61" s="52"/>
      <c r="F61" s="52"/>
      <c r="G61" s="83">
        <f>IF(OR($C61="",NOT(ISNUMBER($F61))),"",$F61-TODAY())</f>
        <v/>
      </c>
      <c r="H61" s="97">
        <f>IF($C61="","",IF($C61="Not licensable","n/a",IF($C61="Applied-pending","Pending",IF(NOT(ISNUMBER($F61)),"No date",IF($G61&lt;0,"Expired",IF($G61&lt;=30,"Expires &lt;=30",IF($G61&lt;=60,"Expires 31-60","Valid")))))))</f>
        <v/>
      </c>
      <c r="I61" s="53"/>
      <c r="J61" s="53"/>
      <c r="K61" s="97">
        <f>IF(OR(NOT(ISNUMBER($I61)),NOT(ISNUMBER($J61))),"",IF($J61&gt;$I61,"OVER","OK"))</f>
        <v/>
      </c>
      <c r="L61" s="51"/>
      <c r="M61" s="51"/>
      <c r="N61" s="51"/>
      <c r="O61" s="52"/>
      <c r="P61" s="97">
        <f>IF($N61="","",IF(OR($N61="F",$N61="G"),"Below E - check",IF(NOT(ISNUMBER($O61)),"No date",IF($O61&lt;TODAY(),"Expired",IF($O61-TODAY()&lt;=60,"Expires &lt;=60","Valid")))))</f>
        <v/>
      </c>
      <c r="Q61" s="97">
        <f>IF($A61="","",IFERROR(IF(INDEX('PRS Database Readiness'!$AE$9:$AE$108,MATCH($A61,'PRS Database Readiness'!$A$9:$A$108,0))="","",INDEX('PRS Database Readiness'!$AE$9:$AE$108,MATCH($A61,'PRS Database Readiness'!$A$9:$A$108,0))),""))</f>
        <v/>
      </c>
      <c r="R61" s="81"/>
      <c r="S61" s="81"/>
      <c r="T61" s="81"/>
    </row>
    <row r="62" spans="1:20" ht="18" customHeight="1">
      <c r="A62" s="54"/>
      <c r="B62" s="81"/>
      <c r="C62" s="81"/>
      <c r="D62" s="81"/>
      <c r="E62" s="52"/>
      <c r="F62" s="52"/>
      <c r="G62" s="83">
        <f>IF(OR($C62="",NOT(ISNUMBER($F62))),"",$F62-TODAY())</f>
        <v/>
      </c>
      <c r="H62" s="97">
        <f>IF($C62="","",IF($C62="Not licensable","n/a",IF($C62="Applied-pending","Pending",IF(NOT(ISNUMBER($F62)),"No date",IF($G62&lt;0,"Expired",IF($G62&lt;=30,"Expires &lt;=30",IF($G62&lt;=60,"Expires 31-60","Valid")))))))</f>
        <v/>
      </c>
      <c r="I62" s="53"/>
      <c r="J62" s="53"/>
      <c r="K62" s="97">
        <f>IF(OR(NOT(ISNUMBER($I62)),NOT(ISNUMBER($J62))),"",IF($J62&gt;$I62,"OVER","OK"))</f>
        <v/>
      </c>
      <c r="L62" s="51"/>
      <c r="M62" s="51"/>
      <c r="N62" s="51"/>
      <c r="O62" s="52"/>
      <c r="P62" s="97">
        <f>IF($N62="","",IF(OR($N62="F",$N62="G"),"Below E - check",IF(NOT(ISNUMBER($O62)),"No date",IF($O62&lt;TODAY(),"Expired",IF($O62-TODAY()&lt;=60,"Expires &lt;=60","Valid")))))</f>
        <v/>
      </c>
      <c r="Q62" s="97">
        <f>IF($A62="","",IFERROR(IF(INDEX('PRS Database Readiness'!$AE$9:$AE$108,MATCH($A62,'PRS Database Readiness'!$A$9:$A$108,0))="","",INDEX('PRS Database Readiness'!$AE$9:$AE$108,MATCH($A62,'PRS Database Readiness'!$A$9:$A$108,0))),""))</f>
        <v/>
      </c>
      <c r="R62" s="81"/>
      <c r="S62" s="81"/>
      <c r="T62" s="81"/>
    </row>
    <row r="63" spans="1:20" ht="18" customHeight="1">
      <c r="A63" s="54"/>
      <c r="B63" s="81"/>
      <c r="C63" s="81"/>
      <c r="D63" s="81"/>
      <c r="E63" s="52"/>
      <c r="F63" s="52"/>
      <c r="G63" s="83">
        <f>IF(OR($C63="",NOT(ISNUMBER($F63))),"",$F63-TODAY())</f>
        <v/>
      </c>
      <c r="H63" s="97">
        <f>IF($C63="","",IF($C63="Not licensable","n/a",IF($C63="Applied-pending","Pending",IF(NOT(ISNUMBER($F63)),"No date",IF($G63&lt;0,"Expired",IF($G63&lt;=30,"Expires &lt;=30",IF($G63&lt;=60,"Expires 31-60","Valid")))))))</f>
        <v/>
      </c>
      <c r="I63" s="53"/>
      <c r="J63" s="53"/>
      <c r="K63" s="97">
        <f>IF(OR(NOT(ISNUMBER($I63)),NOT(ISNUMBER($J63))),"",IF($J63&gt;$I63,"OVER","OK"))</f>
        <v/>
      </c>
      <c r="L63" s="51"/>
      <c r="M63" s="51"/>
      <c r="N63" s="51"/>
      <c r="O63" s="52"/>
      <c r="P63" s="97">
        <f>IF($N63="","",IF(OR($N63="F",$N63="G"),"Below E - check",IF(NOT(ISNUMBER($O63)),"No date",IF($O63&lt;TODAY(),"Expired",IF($O63-TODAY()&lt;=60,"Expires &lt;=60","Valid")))))</f>
        <v/>
      </c>
      <c r="Q63" s="97">
        <f>IF($A63="","",IFERROR(IF(INDEX('PRS Database Readiness'!$AE$9:$AE$108,MATCH($A63,'PRS Database Readiness'!$A$9:$A$108,0))="","",INDEX('PRS Database Readiness'!$AE$9:$AE$108,MATCH($A63,'PRS Database Readiness'!$A$9:$A$108,0))),""))</f>
        <v/>
      </c>
      <c r="R63" s="81"/>
      <c r="S63" s="81"/>
      <c r="T63" s="81"/>
    </row>
    <row r="64" spans="1:20" ht="18" customHeight="1">
      <c r="A64" s="54"/>
      <c r="B64" s="81"/>
      <c r="C64" s="81"/>
      <c r="D64" s="81"/>
      <c r="E64" s="52"/>
      <c r="F64" s="52"/>
      <c r="G64" s="83">
        <f>IF(OR($C64="",NOT(ISNUMBER($F64))),"",$F64-TODAY())</f>
        <v/>
      </c>
      <c r="H64" s="97">
        <f>IF($C64="","",IF($C64="Not licensable","n/a",IF($C64="Applied-pending","Pending",IF(NOT(ISNUMBER($F64)),"No date",IF($G64&lt;0,"Expired",IF($G64&lt;=30,"Expires &lt;=30",IF($G64&lt;=60,"Expires 31-60","Valid")))))))</f>
        <v/>
      </c>
      <c r="I64" s="53"/>
      <c r="J64" s="53"/>
      <c r="K64" s="97">
        <f>IF(OR(NOT(ISNUMBER($I64)),NOT(ISNUMBER($J64))),"",IF($J64&gt;$I64,"OVER","OK"))</f>
        <v/>
      </c>
      <c r="L64" s="51"/>
      <c r="M64" s="51"/>
      <c r="N64" s="51"/>
      <c r="O64" s="52"/>
      <c r="P64" s="97">
        <f>IF($N64="","",IF(OR($N64="F",$N64="G"),"Below E - check",IF(NOT(ISNUMBER($O64)),"No date",IF($O64&lt;TODAY(),"Expired",IF($O64-TODAY()&lt;=60,"Expires &lt;=60","Valid")))))</f>
        <v/>
      </c>
      <c r="Q64" s="97">
        <f>IF($A64="","",IFERROR(IF(INDEX('PRS Database Readiness'!$AE$9:$AE$108,MATCH($A64,'PRS Database Readiness'!$A$9:$A$108,0))="","",INDEX('PRS Database Readiness'!$AE$9:$AE$108,MATCH($A64,'PRS Database Readiness'!$A$9:$A$108,0))),""))</f>
        <v/>
      </c>
      <c r="R64" s="81"/>
      <c r="S64" s="81"/>
      <c r="T64" s="81"/>
    </row>
    <row r="65" spans="1:20" ht="18" customHeight="1">
      <c r="A65" s="54"/>
      <c r="B65" s="81"/>
      <c r="C65" s="81"/>
      <c r="D65" s="81"/>
      <c r="E65" s="52"/>
      <c r="F65" s="52"/>
      <c r="G65" s="83">
        <f>IF(OR($C65="",NOT(ISNUMBER($F65))),"",$F65-TODAY())</f>
        <v/>
      </c>
      <c r="H65" s="97">
        <f>IF($C65="","",IF($C65="Not licensable","n/a",IF($C65="Applied-pending","Pending",IF(NOT(ISNUMBER($F65)),"No date",IF($G65&lt;0,"Expired",IF($G65&lt;=30,"Expires &lt;=30",IF($G65&lt;=60,"Expires 31-60","Valid")))))))</f>
        <v/>
      </c>
      <c r="I65" s="53"/>
      <c r="J65" s="53"/>
      <c r="K65" s="97">
        <f>IF(OR(NOT(ISNUMBER($I65)),NOT(ISNUMBER($J65))),"",IF($J65&gt;$I65,"OVER","OK"))</f>
        <v/>
      </c>
      <c r="L65" s="51"/>
      <c r="M65" s="51"/>
      <c r="N65" s="51"/>
      <c r="O65" s="52"/>
      <c r="P65" s="97">
        <f>IF($N65="","",IF(OR($N65="F",$N65="G"),"Below E - check",IF(NOT(ISNUMBER($O65)),"No date",IF($O65&lt;TODAY(),"Expired",IF($O65-TODAY()&lt;=60,"Expires &lt;=60","Valid")))))</f>
        <v/>
      </c>
      <c r="Q65" s="97">
        <f>IF($A65="","",IFERROR(IF(INDEX('PRS Database Readiness'!$AE$9:$AE$108,MATCH($A65,'PRS Database Readiness'!$A$9:$A$108,0))="","",INDEX('PRS Database Readiness'!$AE$9:$AE$108,MATCH($A65,'PRS Database Readiness'!$A$9:$A$108,0))),""))</f>
        <v/>
      </c>
      <c r="R65" s="81"/>
      <c r="S65" s="81"/>
      <c r="T65" s="81"/>
    </row>
    <row r="66" spans="1:20" ht="18" customHeight="1">
      <c r="A66" s="54"/>
      <c r="B66" s="81"/>
      <c r="C66" s="81"/>
      <c r="D66" s="81"/>
      <c r="E66" s="52"/>
      <c r="F66" s="52"/>
      <c r="G66" s="83">
        <f>IF(OR($C66="",NOT(ISNUMBER($F66))),"",$F66-TODAY())</f>
        <v/>
      </c>
      <c r="H66" s="97">
        <f>IF($C66="","",IF($C66="Not licensable","n/a",IF($C66="Applied-pending","Pending",IF(NOT(ISNUMBER($F66)),"No date",IF($G66&lt;0,"Expired",IF($G66&lt;=30,"Expires &lt;=30",IF($G66&lt;=60,"Expires 31-60","Valid")))))))</f>
        <v/>
      </c>
      <c r="I66" s="53"/>
      <c r="J66" s="53"/>
      <c r="K66" s="97">
        <f>IF(OR(NOT(ISNUMBER($I66)),NOT(ISNUMBER($J66))),"",IF($J66&gt;$I66,"OVER","OK"))</f>
        <v/>
      </c>
      <c r="L66" s="51"/>
      <c r="M66" s="51"/>
      <c r="N66" s="51"/>
      <c r="O66" s="52"/>
      <c r="P66" s="97">
        <f>IF($N66="","",IF(OR($N66="F",$N66="G"),"Below E - check",IF(NOT(ISNUMBER($O66)),"No date",IF($O66&lt;TODAY(),"Expired",IF($O66-TODAY()&lt;=60,"Expires &lt;=60","Valid")))))</f>
        <v/>
      </c>
      <c r="Q66" s="97">
        <f>IF($A66="","",IFERROR(IF(INDEX('PRS Database Readiness'!$AE$9:$AE$108,MATCH($A66,'PRS Database Readiness'!$A$9:$A$108,0))="","",INDEX('PRS Database Readiness'!$AE$9:$AE$108,MATCH($A66,'PRS Database Readiness'!$A$9:$A$108,0))),""))</f>
        <v/>
      </c>
      <c r="R66" s="81"/>
      <c r="S66" s="81"/>
      <c r="T66" s="81"/>
    </row>
    <row r="67" spans="1:20" ht="18" customHeight="1">
      <c r="A67" s="54"/>
      <c r="B67" s="81"/>
      <c r="C67" s="81"/>
      <c r="D67" s="81"/>
      <c r="E67" s="52"/>
      <c r="F67" s="52"/>
      <c r="G67" s="83">
        <f>IF(OR($C67="",NOT(ISNUMBER($F67))),"",$F67-TODAY())</f>
        <v/>
      </c>
      <c r="H67" s="97">
        <f>IF($C67="","",IF($C67="Not licensable","n/a",IF($C67="Applied-pending","Pending",IF(NOT(ISNUMBER($F67)),"No date",IF($G67&lt;0,"Expired",IF($G67&lt;=30,"Expires &lt;=30",IF($G67&lt;=60,"Expires 31-60","Valid")))))))</f>
        <v/>
      </c>
      <c r="I67" s="53"/>
      <c r="J67" s="53"/>
      <c r="K67" s="97">
        <f>IF(OR(NOT(ISNUMBER($I67)),NOT(ISNUMBER($J67))),"",IF($J67&gt;$I67,"OVER","OK"))</f>
        <v/>
      </c>
      <c r="L67" s="51"/>
      <c r="M67" s="51"/>
      <c r="N67" s="51"/>
      <c r="O67" s="52"/>
      <c r="P67" s="97">
        <f>IF($N67="","",IF(OR($N67="F",$N67="G"),"Below E - check",IF(NOT(ISNUMBER($O67)),"No date",IF($O67&lt;TODAY(),"Expired",IF($O67-TODAY()&lt;=60,"Expires &lt;=60","Valid")))))</f>
        <v/>
      </c>
      <c r="Q67" s="97">
        <f>IF($A67="","",IFERROR(IF(INDEX('PRS Database Readiness'!$AE$9:$AE$108,MATCH($A67,'PRS Database Readiness'!$A$9:$A$108,0))="","",INDEX('PRS Database Readiness'!$AE$9:$AE$108,MATCH($A67,'PRS Database Readiness'!$A$9:$A$108,0))),""))</f>
        <v/>
      </c>
      <c r="R67" s="81"/>
      <c r="S67" s="81"/>
      <c r="T67" s="81"/>
    </row>
    <row r="68" spans="1:20" ht="18" customHeight="1">
      <c r="A68" s="54"/>
      <c r="B68" s="81"/>
      <c r="C68" s="81"/>
      <c r="D68" s="81"/>
      <c r="E68" s="52"/>
      <c r="F68" s="52"/>
      <c r="G68" s="83">
        <f>IF(OR($C68="",NOT(ISNUMBER($F68))),"",$F68-TODAY())</f>
        <v/>
      </c>
      <c r="H68" s="97">
        <f>IF($C68="","",IF($C68="Not licensable","n/a",IF($C68="Applied-pending","Pending",IF(NOT(ISNUMBER($F68)),"No date",IF($G68&lt;0,"Expired",IF($G68&lt;=30,"Expires &lt;=30",IF($G68&lt;=60,"Expires 31-60","Valid")))))))</f>
        <v/>
      </c>
      <c r="I68" s="53"/>
      <c r="J68" s="53"/>
      <c r="K68" s="97">
        <f>IF(OR(NOT(ISNUMBER($I68)),NOT(ISNUMBER($J68))),"",IF($J68&gt;$I68,"OVER","OK"))</f>
        <v/>
      </c>
      <c r="L68" s="51"/>
      <c r="M68" s="51"/>
      <c r="N68" s="51"/>
      <c r="O68" s="52"/>
      <c r="P68" s="97">
        <f>IF($N68="","",IF(OR($N68="F",$N68="G"),"Below E - check",IF(NOT(ISNUMBER($O68)),"No date",IF($O68&lt;TODAY(),"Expired",IF($O68-TODAY()&lt;=60,"Expires &lt;=60","Valid")))))</f>
        <v/>
      </c>
      <c r="Q68" s="97">
        <f>IF($A68="","",IFERROR(IF(INDEX('PRS Database Readiness'!$AE$9:$AE$108,MATCH($A68,'PRS Database Readiness'!$A$9:$A$108,0))="","",INDEX('PRS Database Readiness'!$AE$9:$AE$108,MATCH($A68,'PRS Database Readiness'!$A$9:$A$108,0))),""))</f>
        <v/>
      </c>
      <c r="R68" s="81"/>
      <c r="S68" s="81"/>
      <c r="T68" s="81"/>
    </row>
    <row r="69" spans="1:20" ht="18" customHeight="1">
      <c r="A69" s="54"/>
      <c r="B69" s="81"/>
      <c r="C69" s="81"/>
      <c r="D69" s="81"/>
      <c r="E69" s="52"/>
      <c r="F69" s="52"/>
      <c r="G69" s="83">
        <f>IF(OR($C69="",NOT(ISNUMBER($F69))),"",$F69-TODAY())</f>
        <v/>
      </c>
      <c r="H69" s="97">
        <f>IF($C69="","",IF($C69="Not licensable","n/a",IF($C69="Applied-pending","Pending",IF(NOT(ISNUMBER($F69)),"No date",IF($G69&lt;0,"Expired",IF($G69&lt;=30,"Expires &lt;=30",IF($G69&lt;=60,"Expires 31-60","Valid")))))))</f>
        <v/>
      </c>
      <c r="I69" s="53"/>
      <c r="J69" s="53"/>
      <c r="K69" s="97">
        <f>IF(OR(NOT(ISNUMBER($I69)),NOT(ISNUMBER($J69))),"",IF($J69&gt;$I69,"OVER","OK"))</f>
        <v/>
      </c>
      <c r="L69" s="51"/>
      <c r="M69" s="51"/>
      <c r="N69" s="51"/>
      <c r="O69" s="52"/>
      <c r="P69" s="97">
        <f>IF($N69="","",IF(OR($N69="F",$N69="G"),"Below E - check",IF(NOT(ISNUMBER($O69)),"No date",IF($O69&lt;TODAY(),"Expired",IF($O69-TODAY()&lt;=60,"Expires &lt;=60","Valid")))))</f>
        <v/>
      </c>
      <c r="Q69" s="97">
        <f>IF($A69="","",IFERROR(IF(INDEX('PRS Database Readiness'!$AE$9:$AE$108,MATCH($A69,'PRS Database Readiness'!$A$9:$A$108,0))="","",INDEX('PRS Database Readiness'!$AE$9:$AE$108,MATCH($A69,'PRS Database Readiness'!$A$9:$A$108,0))),""))</f>
        <v/>
      </c>
      <c r="R69" s="81"/>
      <c r="S69" s="81"/>
      <c r="T69" s="81"/>
    </row>
    <row r="70" spans="1:20" ht="18" customHeight="1">
      <c r="A70" s="54"/>
      <c r="B70" s="81"/>
      <c r="C70" s="81"/>
      <c r="D70" s="81"/>
      <c r="E70" s="52"/>
      <c r="F70" s="52"/>
      <c r="G70" s="83">
        <f>IF(OR($C70="",NOT(ISNUMBER($F70))),"",$F70-TODAY())</f>
        <v/>
      </c>
      <c r="H70" s="97">
        <f>IF($C70="","",IF($C70="Not licensable","n/a",IF($C70="Applied-pending","Pending",IF(NOT(ISNUMBER($F70)),"No date",IF($G70&lt;0,"Expired",IF($G70&lt;=30,"Expires &lt;=30",IF($G70&lt;=60,"Expires 31-60","Valid")))))))</f>
        <v/>
      </c>
      <c r="I70" s="53"/>
      <c r="J70" s="53"/>
      <c r="K70" s="97">
        <f>IF(OR(NOT(ISNUMBER($I70)),NOT(ISNUMBER($J70))),"",IF($J70&gt;$I70,"OVER","OK"))</f>
        <v/>
      </c>
      <c r="L70" s="51"/>
      <c r="M70" s="51"/>
      <c r="N70" s="51"/>
      <c r="O70" s="52"/>
      <c r="P70" s="97">
        <f>IF($N70="","",IF(OR($N70="F",$N70="G"),"Below E - check",IF(NOT(ISNUMBER($O70)),"No date",IF($O70&lt;TODAY(),"Expired",IF($O70-TODAY()&lt;=60,"Expires &lt;=60","Valid")))))</f>
        <v/>
      </c>
      <c r="Q70" s="97">
        <f>IF($A70="","",IFERROR(IF(INDEX('PRS Database Readiness'!$AE$9:$AE$108,MATCH($A70,'PRS Database Readiness'!$A$9:$A$108,0))="","",INDEX('PRS Database Readiness'!$AE$9:$AE$108,MATCH($A70,'PRS Database Readiness'!$A$9:$A$108,0))),""))</f>
        <v/>
      </c>
      <c r="R70" s="81"/>
      <c r="S70" s="81"/>
      <c r="T70" s="81"/>
    </row>
    <row r="71" spans="1:20" ht="18" customHeight="1">
      <c r="A71" s="54"/>
      <c r="B71" s="81"/>
      <c r="C71" s="81"/>
      <c r="D71" s="81"/>
      <c r="E71" s="52"/>
      <c r="F71" s="52"/>
      <c r="G71" s="83">
        <f>IF(OR($C71="",NOT(ISNUMBER($F71))),"",$F71-TODAY())</f>
        <v/>
      </c>
      <c r="H71" s="97">
        <f>IF($C71="","",IF($C71="Not licensable","n/a",IF($C71="Applied-pending","Pending",IF(NOT(ISNUMBER($F71)),"No date",IF($G71&lt;0,"Expired",IF($G71&lt;=30,"Expires &lt;=30",IF($G71&lt;=60,"Expires 31-60","Valid")))))))</f>
        <v/>
      </c>
      <c r="I71" s="53"/>
      <c r="J71" s="53"/>
      <c r="K71" s="97">
        <f>IF(OR(NOT(ISNUMBER($I71)),NOT(ISNUMBER($J71))),"",IF($J71&gt;$I71,"OVER","OK"))</f>
        <v/>
      </c>
      <c r="L71" s="51"/>
      <c r="M71" s="51"/>
      <c r="N71" s="51"/>
      <c r="O71" s="52"/>
      <c r="P71" s="97">
        <f>IF($N71="","",IF(OR($N71="F",$N71="G"),"Below E - check",IF(NOT(ISNUMBER($O71)),"No date",IF($O71&lt;TODAY(),"Expired",IF($O71-TODAY()&lt;=60,"Expires &lt;=60","Valid")))))</f>
        <v/>
      </c>
      <c r="Q71" s="97">
        <f>IF($A71="","",IFERROR(IF(INDEX('PRS Database Readiness'!$AE$9:$AE$108,MATCH($A71,'PRS Database Readiness'!$A$9:$A$108,0))="","",INDEX('PRS Database Readiness'!$AE$9:$AE$108,MATCH($A71,'PRS Database Readiness'!$A$9:$A$108,0))),""))</f>
        <v/>
      </c>
      <c r="R71" s="81"/>
      <c r="S71" s="81"/>
      <c r="T71" s="81"/>
    </row>
    <row r="72" spans="1:20" ht="18" customHeight="1">
      <c r="A72" s="54"/>
      <c r="B72" s="81"/>
      <c r="C72" s="81"/>
      <c r="D72" s="81"/>
      <c r="E72" s="52"/>
      <c r="F72" s="52"/>
      <c r="G72" s="83">
        <f>IF(OR($C72="",NOT(ISNUMBER($F72))),"",$F72-TODAY())</f>
        <v/>
      </c>
      <c r="H72" s="97">
        <f>IF($C72="","",IF($C72="Not licensable","n/a",IF($C72="Applied-pending","Pending",IF(NOT(ISNUMBER($F72)),"No date",IF($G72&lt;0,"Expired",IF($G72&lt;=30,"Expires &lt;=30",IF($G72&lt;=60,"Expires 31-60","Valid")))))))</f>
        <v/>
      </c>
      <c r="I72" s="53"/>
      <c r="J72" s="53"/>
      <c r="K72" s="97">
        <f>IF(OR(NOT(ISNUMBER($I72)),NOT(ISNUMBER($J72))),"",IF($J72&gt;$I72,"OVER","OK"))</f>
        <v/>
      </c>
      <c r="L72" s="51"/>
      <c r="M72" s="51"/>
      <c r="N72" s="51"/>
      <c r="O72" s="52"/>
      <c r="P72" s="97">
        <f>IF($N72="","",IF(OR($N72="F",$N72="G"),"Below E - check",IF(NOT(ISNUMBER($O72)),"No date",IF($O72&lt;TODAY(),"Expired",IF($O72-TODAY()&lt;=60,"Expires &lt;=60","Valid")))))</f>
        <v/>
      </c>
      <c r="Q72" s="97">
        <f>IF($A72="","",IFERROR(IF(INDEX('PRS Database Readiness'!$AE$9:$AE$108,MATCH($A72,'PRS Database Readiness'!$A$9:$A$108,0))="","",INDEX('PRS Database Readiness'!$AE$9:$AE$108,MATCH($A72,'PRS Database Readiness'!$A$9:$A$108,0))),""))</f>
        <v/>
      </c>
      <c r="R72" s="81"/>
      <c r="S72" s="81"/>
      <c r="T72" s="81"/>
    </row>
    <row r="73" spans="1:20" ht="18" customHeight="1">
      <c r="A73" s="54"/>
      <c r="B73" s="81"/>
      <c r="C73" s="81"/>
      <c r="D73" s="81"/>
      <c r="E73" s="52"/>
      <c r="F73" s="52"/>
      <c r="G73" s="83">
        <f>IF(OR($C73="",NOT(ISNUMBER($F73))),"",$F73-TODAY())</f>
        <v/>
      </c>
      <c r="H73" s="97">
        <f>IF($C73="","",IF($C73="Not licensable","n/a",IF($C73="Applied-pending","Pending",IF(NOT(ISNUMBER($F73)),"No date",IF($G73&lt;0,"Expired",IF($G73&lt;=30,"Expires &lt;=30",IF($G73&lt;=60,"Expires 31-60","Valid")))))))</f>
        <v/>
      </c>
      <c r="I73" s="53"/>
      <c r="J73" s="53"/>
      <c r="K73" s="97">
        <f>IF(OR(NOT(ISNUMBER($I73)),NOT(ISNUMBER($J73))),"",IF($J73&gt;$I73,"OVER","OK"))</f>
        <v/>
      </c>
      <c r="L73" s="51"/>
      <c r="M73" s="51"/>
      <c r="N73" s="51"/>
      <c r="O73" s="52"/>
      <c r="P73" s="97">
        <f>IF($N73="","",IF(OR($N73="F",$N73="G"),"Below E - check",IF(NOT(ISNUMBER($O73)),"No date",IF($O73&lt;TODAY(),"Expired",IF($O73-TODAY()&lt;=60,"Expires &lt;=60","Valid")))))</f>
        <v/>
      </c>
      <c r="Q73" s="97">
        <f>IF($A73="","",IFERROR(IF(INDEX('PRS Database Readiness'!$AE$9:$AE$108,MATCH($A73,'PRS Database Readiness'!$A$9:$A$108,0))="","",INDEX('PRS Database Readiness'!$AE$9:$AE$108,MATCH($A73,'PRS Database Readiness'!$A$9:$A$108,0))),""))</f>
        <v/>
      </c>
      <c r="R73" s="81"/>
      <c r="S73" s="81"/>
      <c r="T73" s="81"/>
    </row>
    <row r="74" spans="1:20" ht="18" customHeight="1">
      <c r="A74" s="54"/>
      <c r="B74" s="81"/>
      <c r="C74" s="81"/>
      <c r="D74" s="81"/>
      <c r="E74" s="52"/>
      <c r="F74" s="52"/>
      <c r="G74" s="83">
        <f>IF(OR($C74="",NOT(ISNUMBER($F74))),"",$F74-TODAY())</f>
        <v/>
      </c>
      <c r="H74" s="97">
        <f>IF($C74="","",IF($C74="Not licensable","n/a",IF($C74="Applied-pending","Pending",IF(NOT(ISNUMBER($F74)),"No date",IF($G74&lt;0,"Expired",IF($G74&lt;=30,"Expires &lt;=30",IF($G74&lt;=60,"Expires 31-60","Valid")))))))</f>
        <v/>
      </c>
      <c r="I74" s="53"/>
      <c r="J74" s="53"/>
      <c r="K74" s="97">
        <f>IF(OR(NOT(ISNUMBER($I74)),NOT(ISNUMBER($J74))),"",IF($J74&gt;$I74,"OVER","OK"))</f>
        <v/>
      </c>
      <c r="L74" s="51"/>
      <c r="M74" s="51"/>
      <c r="N74" s="51"/>
      <c r="O74" s="52"/>
      <c r="P74" s="97">
        <f>IF($N74="","",IF(OR($N74="F",$N74="G"),"Below E - check",IF(NOT(ISNUMBER($O74)),"No date",IF($O74&lt;TODAY(),"Expired",IF($O74-TODAY()&lt;=60,"Expires &lt;=60","Valid")))))</f>
        <v/>
      </c>
      <c r="Q74" s="97">
        <f>IF($A74="","",IFERROR(IF(INDEX('PRS Database Readiness'!$AE$9:$AE$108,MATCH($A74,'PRS Database Readiness'!$A$9:$A$108,0))="","",INDEX('PRS Database Readiness'!$AE$9:$AE$108,MATCH($A74,'PRS Database Readiness'!$A$9:$A$108,0))),""))</f>
        <v/>
      </c>
      <c r="R74" s="81"/>
      <c r="S74" s="81"/>
      <c r="T74" s="81"/>
    </row>
    <row r="75" spans="1:20" ht="18" customHeight="1">
      <c r="A75" s="54"/>
      <c r="B75" s="81"/>
      <c r="C75" s="81"/>
      <c r="D75" s="81"/>
      <c r="E75" s="52"/>
      <c r="F75" s="52"/>
      <c r="G75" s="83">
        <f>IF(OR($C75="",NOT(ISNUMBER($F75))),"",$F75-TODAY())</f>
        <v/>
      </c>
      <c r="H75" s="97">
        <f>IF($C75="","",IF($C75="Not licensable","n/a",IF($C75="Applied-pending","Pending",IF(NOT(ISNUMBER($F75)),"No date",IF($G75&lt;0,"Expired",IF($G75&lt;=30,"Expires &lt;=30",IF($G75&lt;=60,"Expires 31-60","Valid")))))))</f>
        <v/>
      </c>
      <c r="I75" s="53"/>
      <c r="J75" s="53"/>
      <c r="K75" s="97">
        <f>IF(OR(NOT(ISNUMBER($I75)),NOT(ISNUMBER($J75))),"",IF($J75&gt;$I75,"OVER","OK"))</f>
        <v/>
      </c>
      <c r="L75" s="51"/>
      <c r="M75" s="51"/>
      <c r="N75" s="51"/>
      <c r="O75" s="52"/>
      <c r="P75" s="97">
        <f>IF($N75="","",IF(OR($N75="F",$N75="G"),"Below E - check",IF(NOT(ISNUMBER($O75)),"No date",IF($O75&lt;TODAY(),"Expired",IF($O75-TODAY()&lt;=60,"Expires &lt;=60","Valid")))))</f>
        <v/>
      </c>
      <c r="Q75" s="97">
        <f>IF($A75="","",IFERROR(IF(INDEX('PRS Database Readiness'!$AE$9:$AE$108,MATCH($A75,'PRS Database Readiness'!$A$9:$A$108,0))="","",INDEX('PRS Database Readiness'!$AE$9:$AE$108,MATCH($A75,'PRS Database Readiness'!$A$9:$A$108,0))),""))</f>
        <v/>
      </c>
      <c r="R75" s="81"/>
      <c r="S75" s="81"/>
      <c r="T75" s="81"/>
    </row>
    <row r="76" spans="1:20" ht="18" customHeight="1">
      <c r="A76" s="54"/>
      <c r="B76" s="81"/>
      <c r="C76" s="81"/>
      <c r="D76" s="81"/>
      <c r="E76" s="52"/>
      <c r="F76" s="52"/>
      <c r="G76" s="83">
        <f>IF(OR($C76="",NOT(ISNUMBER($F76))),"",$F76-TODAY())</f>
        <v/>
      </c>
      <c r="H76" s="97">
        <f>IF($C76="","",IF($C76="Not licensable","n/a",IF($C76="Applied-pending","Pending",IF(NOT(ISNUMBER($F76)),"No date",IF($G76&lt;0,"Expired",IF($G76&lt;=30,"Expires &lt;=30",IF($G76&lt;=60,"Expires 31-60","Valid")))))))</f>
        <v/>
      </c>
      <c r="I76" s="53"/>
      <c r="J76" s="53"/>
      <c r="K76" s="97">
        <f>IF(OR(NOT(ISNUMBER($I76)),NOT(ISNUMBER($J76))),"",IF($J76&gt;$I76,"OVER","OK"))</f>
        <v/>
      </c>
      <c r="L76" s="51"/>
      <c r="M76" s="51"/>
      <c r="N76" s="51"/>
      <c r="O76" s="52"/>
      <c r="P76" s="97">
        <f>IF($N76="","",IF(OR($N76="F",$N76="G"),"Below E - check",IF(NOT(ISNUMBER($O76)),"No date",IF($O76&lt;TODAY(),"Expired",IF($O76-TODAY()&lt;=60,"Expires &lt;=60","Valid")))))</f>
        <v/>
      </c>
      <c r="Q76" s="97">
        <f>IF($A76="","",IFERROR(IF(INDEX('PRS Database Readiness'!$AE$9:$AE$108,MATCH($A76,'PRS Database Readiness'!$A$9:$A$108,0))="","",INDEX('PRS Database Readiness'!$AE$9:$AE$108,MATCH($A76,'PRS Database Readiness'!$A$9:$A$108,0))),""))</f>
        <v/>
      </c>
      <c r="R76" s="81"/>
      <c r="S76" s="81"/>
      <c r="T76" s="81"/>
    </row>
    <row r="77" spans="1:20" ht="18" customHeight="1">
      <c r="A77" s="54"/>
      <c r="B77" s="81"/>
      <c r="C77" s="81"/>
      <c r="D77" s="81"/>
      <c r="E77" s="52"/>
      <c r="F77" s="52"/>
      <c r="G77" s="83">
        <f>IF(OR($C77="",NOT(ISNUMBER($F77))),"",$F77-TODAY())</f>
        <v/>
      </c>
      <c r="H77" s="97">
        <f>IF($C77="","",IF($C77="Not licensable","n/a",IF($C77="Applied-pending","Pending",IF(NOT(ISNUMBER($F77)),"No date",IF($G77&lt;0,"Expired",IF($G77&lt;=30,"Expires &lt;=30",IF($G77&lt;=60,"Expires 31-60","Valid")))))))</f>
        <v/>
      </c>
      <c r="I77" s="53"/>
      <c r="J77" s="53"/>
      <c r="K77" s="97">
        <f>IF(OR(NOT(ISNUMBER($I77)),NOT(ISNUMBER($J77))),"",IF($J77&gt;$I77,"OVER","OK"))</f>
        <v/>
      </c>
      <c r="L77" s="51"/>
      <c r="M77" s="51"/>
      <c r="N77" s="51"/>
      <c r="O77" s="52"/>
      <c r="P77" s="97">
        <f>IF($N77="","",IF(OR($N77="F",$N77="G"),"Below E - check",IF(NOT(ISNUMBER($O77)),"No date",IF($O77&lt;TODAY(),"Expired",IF($O77-TODAY()&lt;=60,"Expires &lt;=60","Valid")))))</f>
        <v/>
      </c>
      <c r="Q77" s="97">
        <f>IF($A77="","",IFERROR(IF(INDEX('PRS Database Readiness'!$AE$9:$AE$108,MATCH($A77,'PRS Database Readiness'!$A$9:$A$108,0))="","",INDEX('PRS Database Readiness'!$AE$9:$AE$108,MATCH($A77,'PRS Database Readiness'!$A$9:$A$108,0))),""))</f>
        <v/>
      </c>
      <c r="R77" s="81"/>
      <c r="S77" s="81"/>
      <c r="T77" s="81"/>
    </row>
    <row r="78" spans="1:20" ht="18" customHeight="1">
      <c r="A78" s="54"/>
      <c r="B78" s="81"/>
      <c r="C78" s="81"/>
      <c r="D78" s="81"/>
      <c r="E78" s="52"/>
      <c r="F78" s="52"/>
      <c r="G78" s="83">
        <f>IF(OR($C78="",NOT(ISNUMBER($F78))),"",$F78-TODAY())</f>
        <v/>
      </c>
      <c r="H78" s="97">
        <f>IF($C78="","",IF($C78="Not licensable","n/a",IF($C78="Applied-pending","Pending",IF(NOT(ISNUMBER($F78)),"No date",IF($G78&lt;0,"Expired",IF($G78&lt;=30,"Expires &lt;=30",IF($G78&lt;=60,"Expires 31-60","Valid")))))))</f>
        <v/>
      </c>
      <c r="I78" s="53"/>
      <c r="J78" s="53"/>
      <c r="K78" s="97">
        <f>IF(OR(NOT(ISNUMBER($I78)),NOT(ISNUMBER($J78))),"",IF($J78&gt;$I78,"OVER","OK"))</f>
        <v/>
      </c>
      <c r="L78" s="51"/>
      <c r="M78" s="51"/>
      <c r="N78" s="51"/>
      <c r="O78" s="52"/>
      <c r="P78" s="97">
        <f>IF($N78="","",IF(OR($N78="F",$N78="G"),"Below E - check",IF(NOT(ISNUMBER($O78)),"No date",IF($O78&lt;TODAY(),"Expired",IF($O78-TODAY()&lt;=60,"Expires &lt;=60","Valid")))))</f>
        <v/>
      </c>
      <c r="Q78" s="97">
        <f>IF($A78="","",IFERROR(IF(INDEX('PRS Database Readiness'!$AE$9:$AE$108,MATCH($A78,'PRS Database Readiness'!$A$9:$A$108,0))="","",INDEX('PRS Database Readiness'!$AE$9:$AE$108,MATCH($A78,'PRS Database Readiness'!$A$9:$A$108,0))),""))</f>
        <v/>
      </c>
      <c r="R78" s="81"/>
      <c r="S78" s="81"/>
      <c r="T78" s="81"/>
    </row>
    <row r="79" spans="1:20" ht="18" customHeight="1">
      <c r="A79" s="54"/>
      <c r="B79" s="81"/>
      <c r="C79" s="81"/>
      <c r="D79" s="81"/>
      <c r="E79" s="52"/>
      <c r="F79" s="52"/>
      <c r="G79" s="83">
        <f>IF(OR($C79="",NOT(ISNUMBER($F79))),"",$F79-TODAY())</f>
        <v/>
      </c>
      <c r="H79" s="97">
        <f>IF($C79="","",IF($C79="Not licensable","n/a",IF($C79="Applied-pending","Pending",IF(NOT(ISNUMBER($F79)),"No date",IF($G79&lt;0,"Expired",IF($G79&lt;=30,"Expires &lt;=30",IF($G79&lt;=60,"Expires 31-60","Valid")))))))</f>
        <v/>
      </c>
      <c r="I79" s="53"/>
      <c r="J79" s="53"/>
      <c r="K79" s="97">
        <f>IF(OR(NOT(ISNUMBER($I79)),NOT(ISNUMBER($J79))),"",IF($J79&gt;$I79,"OVER","OK"))</f>
        <v/>
      </c>
      <c r="L79" s="51"/>
      <c r="M79" s="51"/>
      <c r="N79" s="51"/>
      <c r="O79" s="52"/>
      <c r="P79" s="97">
        <f>IF($N79="","",IF(OR($N79="F",$N79="G"),"Below E - check",IF(NOT(ISNUMBER($O79)),"No date",IF($O79&lt;TODAY(),"Expired",IF($O79-TODAY()&lt;=60,"Expires &lt;=60","Valid")))))</f>
        <v/>
      </c>
      <c r="Q79" s="97">
        <f>IF($A79="","",IFERROR(IF(INDEX('PRS Database Readiness'!$AE$9:$AE$108,MATCH($A79,'PRS Database Readiness'!$A$9:$A$108,0))="","",INDEX('PRS Database Readiness'!$AE$9:$AE$108,MATCH($A79,'PRS Database Readiness'!$A$9:$A$108,0))),""))</f>
        <v/>
      </c>
      <c r="R79" s="81"/>
      <c r="S79" s="81"/>
      <c r="T79" s="81"/>
    </row>
    <row r="80" spans="1:20" ht="18" customHeight="1">
      <c r="A80" s="54"/>
      <c r="B80" s="81"/>
      <c r="C80" s="81"/>
      <c r="D80" s="81"/>
      <c r="E80" s="52"/>
      <c r="F80" s="52"/>
      <c r="G80" s="83">
        <f>IF(OR($C80="",NOT(ISNUMBER($F80))),"",$F80-TODAY())</f>
        <v/>
      </c>
      <c r="H80" s="97">
        <f>IF($C80="","",IF($C80="Not licensable","n/a",IF($C80="Applied-pending","Pending",IF(NOT(ISNUMBER($F80)),"No date",IF($G80&lt;0,"Expired",IF($G80&lt;=30,"Expires &lt;=30",IF($G80&lt;=60,"Expires 31-60","Valid")))))))</f>
        <v/>
      </c>
      <c r="I80" s="53"/>
      <c r="J80" s="53"/>
      <c r="K80" s="97">
        <f>IF(OR(NOT(ISNUMBER($I80)),NOT(ISNUMBER($J80))),"",IF($J80&gt;$I80,"OVER","OK"))</f>
        <v/>
      </c>
      <c r="L80" s="51"/>
      <c r="M80" s="51"/>
      <c r="N80" s="51"/>
      <c r="O80" s="52"/>
      <c r="P80" s="97">
        <f>IF($N80="","",IF(OR($N80="F",$N80="G"),"Below E - check",IF(NOT(ISNUMBER($O80)),"No date",IF($O80&lt;TODAY(),"Expired",IF($O80-TODAY()&lt;=60,"Expires &lt;=60","Valid")))))</f>
        <v/>
      </c>
      <c r="Q80" s="97">
        <f>IF($A80="","",IFERROR(IF(INDEX('PRS Database Readiness'!$AE$9:$AE$108,MATCH($A80,'PRS Database Readiness'!$A$9:$A$108,0))="","",INDEX('PRS Database Readiness'!$AE$9:$AE$108,MATCH($A80,'PRS Database Readiness'!$A$9:$A$108,0))),""))</f>
        <v/>
      </c>
      <c r="R80" s="81"/>
      <c r="S80" s="81"/>
      <c r="T80" s="81"/>
    </row>
    <row r="81" spans="1:20" ht="18" customHeight="1">
      <c r="A81" s="54"/>
      <c r="B81" s="81"/>
      <c r="C81" s="81"/>
      <c r="D81" s="81"/>
      <c r="E81" s="52"/>
      <c r="F81" s="52"/>
      <c r="G81" s="83">
        <f>IF(OR($C81="",NOT(ISNUMBER($F81))),"",$F81-TODAY())</f>
        <v/>
      </c>
      <c r="H81" s="97">
        <f>IF($C81="","",IF($C81="Not licensable","n/a",IF($C81="Applied-pending","Pending",IF(NOT(ISNUMBER($F81)),"No date",IF($G81&lt;0,"Expired",IF($G81&lt;=30,"Expires &lt;=30",IF($G81&lt;=60,"Expires 31-60","Valid")))))))</f>
        <v/>
      </c>
      <c r="I81" s="53"/>
      <c r="J81" s="53"/>
      <c r="K81" s="97">
        <f>IF(OR(NOT(ISNUMBER($I81)),NOT(ISNUMBER($J81))),"",IF($J81&gt;$I81,"OVER","OK"))</f>
        <v/>
      </c>
      <c r="L81" s="51"/>
      <c r="M81" s="51"/>
      <c r="N81" s="51"/>
      <c r="O81" s="52"/>
      <c r="P81" s="97">
        <f>IF($N81="","",IF(OR($N81="F",$N81="G"),"Below E - check",IF(NOT(ISNUMBER($O81)),"No date",IF($O81&lt;TODAY(),"Expired",IF($O81-TODAY()&lt;=60,"Expires &lt;=60","Valid")))))</f>
        <v/>
      </c>
      <c r="Q81" s="97">
        <f>IF($A81="","",IFERROR(IF(INDEX('PRS Database Readiness'!$AE$9:$AE$108,MATCH($A81,'PRS Database Readiness'!$A$9:$A$108,0))="","",INDEX('PRS Database Readiness'!$AE$9:$AE$108,MATCH($A81,'PRS Database Readiness'!$A$9:$A$108,0))),""))</f>
        <v/>
      </c>
      <c r="R81" s="81"/>
      <c r="S81" s="81"/>
      <c r="T81" s="81"/>
    </row>
    <row r="82" spans="1:20" ht="18" customHeight="1">
      <c r="A82" s="54"/>
      <c r="B82" s="81"/>
      <c r="C82" s="81"/>
      <c r="D82" s="81"/>
      <c r="E82" s="52"/>
      <c r="F82" s="52"/>
      <c r="G82" s="83">
        <f>IF(OR($C82="",NOT(ISNUMBER($F82))),"",$F82-TODAY())</f>
        <v/>
      </c>
      <c r="H82" s="97">
        <f>IF($C82="","",IF($C82="Not licensable","n/a",IF($C82="Applied-pending","Pending",IF(NOT(ISNUMBER($F82)),"No date",IF($G82&lt;0,"Expired",IF($G82&lt;=30,"Expires &lt;=30",IF($G82&lt;=60,"Expires 31-60","Valid")))))))</f>
        <v/>
      </c>
      <c r="I82" s="53"/>
      <c r="J82" s="53"/>
      <c r="K82" s="97">
        <f>IF(OR(NOT(ISNUMBER($I82)),NOT(ISNUMBER($J82))),"",IF($J82&gt;$I82,"OVER","OK"))</f>
        <v/>
      </c>
      <c r="L82" s="51"/>
      <c r="M82" s="51"/>
      <c r="N82" s="51"/>
      <c r="O82" s="52"/>
      <c r="P82" s="97">
        <f>IF($N82="","",IF(OR($N82="F",$N82="G"),"Below E - check",IF(NOT(ISNUMBER($O82)),"No date",IF($O82&lt;TODAY(),"Expired",IF($O82-TODAY()&lt;=60,"Expires &lt;=60","Valid")))))</f>
        <v/>
      </c>
      <c r="Q82" s="97">
        <f>IF($A82="","",IFERROR(IF(INDEX('PRS Database Readiness'!$AE$9:$AE$108,MATCH($A82,'PRS Database Readiness'!$A$9:$A$108,0))="","",INDEX('PRS Database Readiness'!$AE$9:$AE$108,MATCH($A82,'PRS Database Readiness'!$A$9:$A$108,0))),""))</f>
        <v/>
      </c>
      <c r="R82" s="81"/>
      <c r="S82" s="81"/>
      <c r="T82" s="81"/>
    </row>
    <row r="83" spans="1:20" ht="18" customHeight="1">
      <c r="A83" s="54"/>
      <c r="B83" s="81"/>
      <c r="C83" s="81"/>
      <c r="D83" s="81"/>
      <c r="E83" s="52"/>
      <c r="F83" s="52"/>
      <c r="G83" s="83">
        <f>IF(OR($C83="",NOT(ISNUMBER($F83))),"",$F83-TODAY())</f>
        <v/>
      </c>
      <c r="H83" s="97">
        <f>IF($C83="","",IF($C83="Not licensable","n/a",IF($C83="Applied-pending","Pending",IF(NOT(ISNUMBER($F83)),"No date",IF($G83&lt;0,"Expired",IF($G83&lt;=30,"Expires &lt;=30",IF($G83&lt;=60,"Expires 31-60","Valid")))))))</f>
        <v/>
      </c>
      <c r="I83" s="53"/>
      <c r="J83" s="53"/>
      <c r="K83" s="97">
        <f>IF(OR(NOT(ISNUMBER($I83)),NOT(ISNUMBER($J83))),"",IF($J83&gt;$I83,"OVER","OK"))</f>
        <v/>
      </c>
      <c r="L83" s="51"/>
      <c r="M83" s="51"/>
      <c r="N83" s="51"/>
      <c r="O83" s="52"/>
      <c r="P83" s="97">
        <f>IF($N83="","",IF(OR($N83="F",$N83="G"),"Below E - check",IF(NOT(ISNUMBER($O83)),"No date",IF($O83&lt;TODAY(),"Expired",IF($O83-TODAY()&lt;=60,"Expires &lt;=60","Valid")))))</f>
        <v/>
      </c>
      <c r="Q83" s="97">
        <f>IF($A83="","",IFERROR(IF(INDEX('PRS Database Readiness'!$AE$9:$AE$108,MATCH($A83,'PRS Database Readiness'!$A$9:$A$108,0))="","",INDEX('PRS Database Readiness'!$AE$9:$AE$108,MATCH($A83,'PRS Database Readiness'!$A$9:$A$108,0))),""))</f>
        <v/>
      </c>
      <c r="R83" s="81"/>
      <c r="S83" s="81"/>
      <c r="T83" s="81"/>
    </row>
    <row r="84" spans="1:20" ht="18" customHeight="1">
      <c r="A84" s="54"/>
      <c r="B84" s="81"/>
      <c r="C84" s="81"/>
      <c r="D84" s="81"/>
      <c r="E84" s="52"/>
      <c r="F84" s="52"/>
      <c r="G84" s="83">
        <f>IF(OR($C84="",NOT(ISNUMBER($F84))),"",$F84-TODAY())</f>
        <v/>
      </c>
      <c r="H84" s="97">
        <f>IF($C84="","",IF($C84="Not licensable","n/a",IF($C84="Applied-pending","Pending",IF(NOT(ISNUMBER($F84)),"No date",IF($G84&lt;0,"Expired",IF($G84&lt;=30,"Expires &lt;=30",IF($G84&lt;=60,"Expires 31-60","Valid")))))))</f>
        <v/>
      </c>
      <c r="I84" s="53"/>
      <c r="J84" s="53"/>
      <c r="K84" s="97">
        <f>IF(OR(NOT(ISNUMBER($I84)),NOT(ISNUMBER($J84))),"",IF($J84&gt;$I84,"OVER","OK"))</f>
        <v/>
      </c>
      <c r="L84" s="51"/>
      <c r="M84" s="51"/>
      <c r="N84" s="51"/>
      <c r="O84" s="52"/>
      <c r="P84" s="97">
        <f>IF($N84="","",IF(OR($N84="F",$N84="G"),"Below E - check",IF(NOT(ISNUMBER($O84)),"No date",IF($O84&lt;TODAY(),"Expired",IF($O84-TODAY()&lt;=60,"Expires &lt;=60","Valid")))))</f>
        <v/>
      </c>
      <c r="Q84" s="97">
        <f>IF($A84="","",IFERROR(IF(INDEX('PRS Database Readiness'!$AE$9:$AE$108,MATCH($A84,'PRS Database Readiness'!$A$9:$A$108,0))="","",INDEX('PRS Database Readiness'!$AE$9:$AE$108,MATCH($A84,'PRS Database Readiness'!$A$9:$A$108,0))),""))</f>
        <v/>
      </c>
      <c r="R84" s="81"/>
      <c r="S84" s="81"/>
      <c r="T84" s="81"/>
    </row>
    <row r="85" spans="1:20" ht="18" customHeight="1">
      <c r="A85" s="54"/>
      <c r="B85" s="81"/>
      <c r="C85" s="81"/>
      <c r="D85" s="81"/>
      <c r="E85" s="52"/>
      <c r="F85" s="52"/>
      <c r="G85" s="83">
        <f>IF(OR($C85="",NOT(ISNUMBER($F85))),"",$F85-TODAY())</f>
        <v/>
      </c>
      <c r="H85" s="97">
        <f>IF($C85="","",IF($C85="Not licensable","n/a",IF($C85="Applied-pending","Pending",IF(NOT(ISNUMBER($F85)),"No date",IF($G85&lt;0,"Expired",IF($G85&lt;=30,"Expires &lt;=30",IF($G85&lt;=60,"Expires 31-60","Valid")))))))</f>
        <v/>
      </c>
      <c r="I85" s="53"/>
      <c r="J85" s="53"/>
      <c r="K85" s="97">
        <f>IF(OR(NOT(ISNUMBER($I85)),NOT(ISNUMBER($J85))),"",IF($J85&gt;$I85,"OVER","OK"))</f>
        <v/>
      </c>
      <c r="L85" s="51"/>
      <c r="M85" s="51"/>
      <c r="N85" s="51"/>
      <c r="O85" s="52"/>
      <c r="P85" s="97">
        <f>IF($N85="","",IF(OR($N85="F",$N85="G"),"Below E - check",IF(NOT(ISNUMBER($O85)),"No date",IF($O85&lt;TODAY(),"Expired",IF($O85-TODAY()&lt;=60,"Expires &lt;=60","Valid")))))</f>
        <v/>
      </c>
      <c r="Q85" s="97">
        <f>IF($A85="","",IFERROR(IF(INDEX('PRS Database Readiness'!$AE$9:$AE$108,MATCH($A85,'PRS Database Readiness'!$A$9:$A$108,0))="","",INDEX('PRS Database Readiness'!$AE$9:$AE$108,MATCH($A85,'PRS Database Readiness'!$A$9:$A$108,0))),""))</f>
        <v/>
      </c>
      <c r="R85" s="81"/>
      <c r="S85" s="81"/>
      <c r="T85" s="81"/>
    </row>
    <row r="86" spans="1:20" ht="18" customHeight="1">
      <c r="A86" s="54"/>
      <c r="B86" s="81"/>
      <c r="C86" s="81"/>
      <c r="D86" s="81"/>
      <c r="E86" s="52"/>
      <c r="F86" s="52"/>
      <c r="G86" s="83">
        <f>IF(OR($C86="",NOT(ISNUMBER($F86))),"",$F86-TODAY())</f>
        <v/>
      </c>
      <c r="H86" s="97">
        <f>IF($C86="","",IF($C86="Not licensable","n/a",IF($C86="Applied-pending","Pending",IF(NOT(ISNUMBER($F86)),"No date",IF($G86&lt;0,"Expired",IF($G86&lt;=30,"Expires &lt;=30",IF($G86&lt;=60,"Expires 31-60","Valid")))))))</f>
        <v/>
      </c>
      <c r="I86" s="53"/>
      <c r="J86" s="53"/>
      <c r="K86" s="97">
        <f>IF(OR(NOT(ISNUMBER($I86)),NOT(ISNUMBER($J86))),"",IF($J86&gt;$I86,"OVER","OK"))</f>
        <v/>
      </c>
      <c r="L86" s="51"/>
      <c r="M86" s="51"/>
      <c r="N86" s="51"/>
      <c r="O86" s="52"/>
      <c r="P86" s="97">
        <f>IF($N86="","",IF(OR($N86="F",$N86="G"),"Below E - check",IF(NOT(ISNUMBER($O86)),"No date",IF($O86&lt;TODAY(),"Expired",IF($O86-TODAY()&lt;=60,"Expires &lt;=60","Valid")))))</f>
        <v/>
      </c>
      <c r="Q86" s="97">
        <f>IF($A86="","",IFERROR(IF(INDEX('PRS Database Readiness'!$AE$9:$AE$108,MATCH($A86,'PRS Database Readiness'!$A$9:$A$108,0))="","",INDEX('PRS Database Readiness'!$AE$9:$AE$108,MATCH($A86,'PRS Database Readiness'!$A$9:$A$108,0))),""))</f>
        <v/>
      </c>
      <c r="R86" s="81"/>
      <c r="S86" s="81"/>
      <c r="T86" s="81"/>
    </row>
    <row r="87" spans="1:20" ht="18" customHeight="1">
      <c r="A87" s="54"/>
      <c r="B87" s="81"/>
      <c r="C87" s="81"/>
      <c r="D87" s="81"/>
      <c r="E87" s="52"/>
      <c r="F87" s="52"/>
      <c r="G87" s="83">
        <f>IF(OR($C87="",NOT(ISNUMBER($F87))),"",$F87-TODAY())</f>
        <v/>
      </c>
      <c r="H87" s="97">
        <f>IF($C87="","",IF($C87="Not licensable","n/a",IF($C87="Applied-pending","Pending",IF(NOT(ISNUMBER($F87)),"No date",IF($G87&lt;0,"Expired",IF($G87&lt;=30,"Expires &lt;=30",IF($G87&lt;=60,"Expires 31-60","Valid")))))))</f>
        <v/>
      </c>
      <c r="I87" s="53"/>
      <c r="J87" s="53"/>
      <c r="K87" s="97">
        <f>IF(OR(NOT(ISNUMBER($I87)),NOT(ISNUMBER($J87))),"",IF($J87&gt;$I87,"OVER","OK"))</f>
        <v/>
      </c>
      <c r="L87" s="51"/>
      <c r="M87" s="51"/>
      <c r="N87" s="51"/>
      <c r="O87" s="52"/>
      <c r="P87" s="97">
        <f>IF($N87="","",IF(OR($N87="F",$N87="G"),"Below E - check",IF(NOT(ISNUMBER($O87)),"No date",IF($O87&lt;TODAY(),"Expired",IF($O87-TODAY()&lt;=60,"Expires &lt;=60","Valid")))))</f>
        <v/>
      </c>
      <c r="Q87" s="97">
        <f>IF($A87="","",IFERROR(IF(INDEX('PRS Database Readiness'!$AE$9:$AE$108,MATCH($A87,'PRS Database Readiness'!$A$9:$A$108,0))="","",INDEX('PRS Database Readiness'!$AE$9:$AE$108,MATCH($A87,'PRS Database Readiness'!$A$9:$A$108,0))),""))</f>
        <v/>
      </c>
      <c r="R87" s="81"/>
      <c r="S87" s="81"/>
      <c r="T87" s="81"/>
    </row>
    <row r="88" spans="1:20" ht="18" customHeight="1">
      <c r="A88" s="54"/>
      <c r="B88" s="81"/>
      <c r="C88" s="81"/>
      <c r="D88" s="81"/>
      <c r="E88" s="52"/>
      <c r="F88" s="52"/>
      <c r="G88" s="83">
        <f>IF(OR($C88="",NOT(ISNUMBER($F88))),"",$F88-TODAY())</f>
        <v/>
      </c>
      <c r="H88" s="97">
        <f>IF($C88="","",IF($C88="Not licensable","n/a",IF($C88="Applied-pending","Pending",IF(NOT(ISNUMBER($F88)),"No date",IF($G88&lt;0,"Expired",IF($G88&lt;=30,"Expires &lt;=30",IF($G88&lt;=60,"Expires 31-60","Valid")))))))</f>
        <v/>
      </c>
      <c r="I88" s="53"/>
      <c r="J88" s="53"/>
      <c r="K88" s="97">
        <f>IF(OR(NOT(ISNUMBER($I88)),NOT(ISNUMBER($J88))),"",IF($J88&gt;$I88,"OVER","OK"))</f>
        <v/>
      </c>
      <c r="L88" s="51"/>
      <c r="M88" s="51"/>
      <c r="N88" s="51"/>
      <c r="O88" s="52"/>
      <c r="P88" s="97">
        <f>IF($N88="","",IF(OR($N88="F",$N88="G"),"Below E - check",IF(NOT(ISNUMBER($O88)),"No date",IF($O88&lt;TODAY(),"Expired",IF($O88-TODAY()&lt;=60,"Expires &lt;=60","Valid")))))</f>
        <v/>
      </c>
      <c r="Q88" s="97">
        <f>IF($A88="","",IFERROR(IF(INDEX('PRS Database Readiness'!$AE$9:$AE$108,MATCH($A88,'PRS Database Readiness'!$A$9:$A$108,0))="","",INDEX('PRS Database Readiness'!$AE$9:$AE$108,MATCH($A88,'PRS Database Readiness'!$A$9:$A$108,0))),""))</f>
        <v/>
      </c>
      <c r="R88" s="81"/>
      <c r="S88" s="81"/>
      <c r="T88" s="81"/>
    </row>
    <row r="89" spans="1:20" ht="18" customHeight="1">
      <c r="A89" s="54"/>
      <c r="B89" s="81"/>
      <c r="C89" s="81"/>
      <c r="D89" s="81"/>
      <c r="E89" s="52"/>
      <c r="F89" s="52"/>
      <c r="G89" s="83">
        <f>IF(OR($C89="",NOT(ISNUMBER($F89))),"",$F89-TODAY())</f>
        <v/>
      </c>
      <c r="H89" s="97">
        <f>IF($C89="","",IF($C89="Not licensable","n/a",IF($C89="Applied-pending","Pending",IF(NOT(ISNUMBER($F89)),"No date",IF($G89&lt;0,"Expired",IF($G89&lt;=30,"Expires &lt;=30",IF($G89&lt;=60,"Expires 31-60","Valid")))))))</f>
        <v/>
      </c>
      <c r="I89" s="53"/>
      <c r="J89" s="53"/>
      <c r="K89" s="97">
        <f>IF(OR(NOT(ISNUMBER($I89)),NOT(ISNUMBER($J89))),"",IF($J89&gt;$I89,"OVER","OK"))</f>
        <v/>
      </c>
      <c r="L89" s="51"/>
      <c r="M89" s="51"/>
      <c r="N89" s="51"/>
      <c r="O89" s="52"/>
      <c r="P89" s="97">
        <f>IF($N89="","",IF(OR($N89="F",$N89="G"),"Below E - check",IF(NOT(ISNUMBER($O89)),"No date",IF($O89&lt;TODAY(),"Expired",IF($O89-TODAY()&lt;=60,"Expires &lt;=60","Valid")))))</f>
        <v/>
      </c>
      <c r="Q89" s="97">
        <f>IF($A89="","",IFERROR(IF(INDEX('PRS Database Readiness'!$AE$9:$AE$108,MATCH($A89,'PRS Database Readiness'!$A$9:$A$108,0))="","",INDEX('PRS Database Readiness'!$AE$9:$AE$108,MATCH($A89,'PRS Database Readiness'!$A$9:$A$108,0))),""))</f>
        <v/>
      </c>
      <c r="R89" s="81"/>
      <c r="S89" s="81"/>
      <c r="T89" s="81"/>
    </row>
    <row r="90" spans="1:20" ht="18" customHeight="1">
      <c r="A90" s="54"/>
      <c r="B90" s="81"/>
      <c r="C90" s="81"/>
      <c r="D90" s="81"/>
      <c r="E90" s="52"/>
      <c r="F90" s="52"/>
      <c r="G90" s="83">
        <f>IF(OR($C90="",NOT(ISNUMBER($F90))),"",$F90-TODAY())</f>
        <v/>
      </c>
      <c r="H90" s="97">
        <f>IF($C90="","",IF($C90="Not licensable","n/a",IF($C90="Applied-pending","Pending",IF(NOT(ISNUMBER($F90)),"No date",IF($G90&lt;0,"Expired",IF($G90&lt;=30,"Expires &lt;=30",IF($G90&lt;=60,"Expires 31-60","Valid")))))))</f>
        <v/>
      </c>
      <c r="I90" s="53"/>
      <c r="J90" s="53"/>
      <c r="K90" s="97">
        <f>IF(OR(NOT(ISNUMBER($I90)),NOT(ISNUMBER($J90))),"",IF($J90&gt;$I90,"OVER","OK"))</f>
        <v/>
      </c>
      <c r="L90" s="51"/>
      <c r="M90" s="51"/>
      <c r="N90" s="51"/>
      <c r="O90" s="52"/>
      <c r="P90" s="97">
        <f>IF($N90="","",IF(OR($N90="F",$N90="G"),"Below E - check",IF(NOT(ISNUMBER($O90)),"No date",IF($O90&lt;TODAY(),"Expired",IF($O90-TODAY()&lt;=60,"Expires &lt;=60","Valid")))))</f>
        <v/>
      </c>
      <c r="Q90" s="97">
        <f>IF($A90="","",IFERROR(IF(INDEX('PRS Database Readiness'!$AE$9:$AE$108,MATCH($A90,'PRS Database Readiness'!$A$9:$A$108,0))="","",INDEX('PRS Database Readiness'!$AE$9:$AE$108,MATCH($A90,'PRS Database Readiness'!$A$9:$A$108,0))),""))</f>
        <v/>
      </c>
      <c r="R90" s="81"/>
      <c r="S90" s="81"/>
      <c r="T90" s="81"/>
    </row>
    <row r="91" spans="1:20" ht="18" customHeight="1">
      <c r="A91" s="54"/>
      <c r="B91" s="81"/>
      <c r="C91" s="81"/>
      <c r="D91" s="81"/>
      <c r="E91" s="52"/>
      <c r="F91" s="52"/>
      <c r="G91" s="83">
        <f>IF(OR($C91="",NOT(ISNUMBER($F91))),"",$F91-TODAY())</f>
        <v/>
      </c>
      <c r="H91" s="97">
        <f>IF($C91="","",IF($C91="Not licensable","n/a",IF($C91="Applied-pending","Pending",IF(NOT(ISNUMBER($F91)),"No date",IF($G91&lt;0,"Expired",IF($G91&lt;=30,"Expires &lt;=30",IF($G91&lt;=60,"Expires 31-60","Valid")))))))</f>
        <v/>
      </c>
      <c r="I91" s="53"/>
      <c r="J91" s="53"/>
      <c r="K91" s="97">
        <f>IF(OR(NOT(ISNUMBER($I91)),NOT(ISNUMBER($J91))),"",IF($J91&gt;$I91,"OVER","OK"))</f>
        <v/>
      </c>
      <c r="L91" s="51"/>
      <c r="M91" s="51"/>
      <c r="N91" s="51"/>
      <c r="O91" s="52"/>
      <c r="P91" s="97">
        <f>IF($N91="","",IF(OR($N91="F",$N91="G"),"Below E - check",IF(NOT(ISNUMBER($O91)),"No date",IF($O91&lt;TODAY(),"Expired",IF($O91-TODAY()&lt;=60,"Expires &lt;=60","Valid")))))</f>
        <v/>
      </c>
      <c r="Q91" s="97">
        <f>IF($A91="","",IFERROR(IF(INDEX('PRS Database Readiness'!$AE$9:$AE$108,MATCH($A91,'PRS Database Readiness'!$A$9:$A$108,0))="","",INDEX('PRS Database Readiness'!$AE$9:$AE$108,MATCH($A91,'PRS Database Readiness'!$A$9:$A$108,0))),""))</f>
        <v/>
      </c>
      <c r="R91" s="81"/>
      <c r="S91" s="81"/>
      <c r="T91" s="81"/>
    </row>
    <row r="92" spans="1:20" ht="18" customHeight="1">
      <c r="A92" s="54"/>
      <c r="B92" s="81"/>
      <c r="C92" s="81"/>
      <c r="D92" s="81"/>
      <c r="E92" s="52"/>
      <c r="F92" s="52"/>
      <c r="G92" s="83">
        <f>IF(OR($C92="",NOT(ISNUMBER($F92))),"",$F92-TODAY())</f>
        <v/>
      </c>
      <c r="H92" s="97">
        <f>IF($C92="","",IF($C92="Not licensable","n/a",IF($C92="Applied-pending","Pending",IF(NOT(ISNUMBER($F92)),"No date",IF($G92&lt;0,"Expired",IF($G92&lt;=30,"Expires &lt;=30",IF($G92&lt;=60,"Expires 31-60","Valid")))))))</f>
        <v/>
      </c>
      <c r="I92" s="53"/>
      <c r="J92" s="53"/>
      <c r="K92" s="97">
        <f>IF(OR(NOT(ISNUMBER($I92)),NOT(ISNUMBER($J92))),"",IF($J92&gt;$I92,"OVER","OK"))</f>
        <v/>
      </c>
      <c r="L92" s="51"/>
      <c r="M92" s="51"/>
      <c r="N92" s="51"/>
      <c r="O92" s="52"/>
      <c r="P92" s="97">
        <f>IF($N92="","",IF(OR($N92="F",$N92="G"),"Below E - check",IF(NOT(ISNUMBER($O92)),"No date",IF($O92&lt;TODAY(),"Expired",IF($O92-TODAY()&lt;=60,"Expires &lt;=60","Valid")))))</f>
        <v/>
      </c>
      <c r="Q92" s="97">
        <f>IF($A92="","",IFERROR(IF(INDEX('PRS Database Readiness'!$AE$9:$AE$108,MATCH($A92,'PRS Database Readiness'!$A$9:$A$108,0))="","",INDEX('PRS Database Readiness'!$AE$9:$AE$108,MATCH($A92,'PRS Database Readiness'!$A$9:$A$108,0))),""))</f>
        <v/>
      </c>
      <c r="R92" s="81"/>
      <c r="S92" s="81"/>
      <c r="T92" s="81"/>
    </row>
    <row r="93" spans="1:20" ht="18" customHeight="1">
      <c r="A93" s="54"/>
      <c r="B93" s="81"/>
      <c r="C93" s="81"/>
      <c r="D93" s="81"/>
      <c r="E93" s="52"/>
      <c r="F93" s="52"/>
      <c r="G93" s="83">
        <f>IF(OR($C93="",NOT(ISNUMBER($F93))),"",$F93-TODAY())</f>
        <v/>
      </c>
      <c r="H93" s="97">
        <f>IF($C93="","",IF($C93="Not licensable","n/a",IF($C93="Applied-pending","Pending",IF(NOT(ISNUMBER($F93)),"No date",IF($G93&lt;0,"Expired",IF($G93&lt;=30,"Expires &lt;=30",IF($G93&lt;=60,"Expires 31-60","Valid")))))))</f>
        <v/>
      </c>
      <c r="I93" s="53"/>
      <c r="J93" s="53"/>
      <c r="K93" s="97">
        <f>IF(OR(NOT(ISNUMBER($I93)),NOT(ISNUMBER($J93))),"",IF($J93&gt;$I93,"OVER","OK"))</f>
        <v/>
      </c>
      <c r="L93" s="51"/>
      <c r="M93" s="51"/>
      <c r="N93" s="51"/>
      <c r="O93" s="52"/>
      <c r="P93" s="97">
        <f>IF($N93="","",IF(OR($N93="F",$N93="G"),"Below E - check",IF(NOT(ISNUMBER($O93)),"No date",IF($O93&lt;TODAY(),"Expired",IF($O93-TODAY()&lt;=60,"Expires &lt;=60","Valid")))))</f>
        <v/>
      </c>
      <c r="Q93" s="97">
        <f>IF($A93="","",IFERROR(IF(INDEX('PRS Database Readiness'!$AE$9:$AE$108,MATCH($A93,'PRS Database Readiness'!$A$9:$A$108,0))="","",INDEX('PRS Database Readiness'!$AE$9:$AE$108,MATCH($A93,'PRS Database Readiness'!$A$9:$A$108,0))),""))</f>
        <v/>
      </c>
      <c r="R93" s="81"/>
      <c r="S93" s="81"/>
      <c r="T93" s="81"/>
    </row>
    <row r="94" spans="1:20" ht="18" customHeight="1">
      <c r="A94" s="54"/>
      <c r="B94" s="81"/>
      <c r="C94" s="81"/>
      <c r="D94" s="81"/>
      <c r="E94" s="52"/>
      <c r="F94" s="52"/>
      <c r="G94" s="83">
        <f>IF(OR($C94="",NOT(ISNUMBER($F94))),"",$F94-TODAY())</f>
        <v/>
      </c>
      <c r="H94" s="97">
        <f>IF($C94="","",IF($C94="Not licensable","n/a",IF($C94="Applied-pending","Pending",IF(NOT(ISNUMBER($F94)),"No date",IF($G94&lt;0,"Expired",IF($G94&lt;=30,"Expires &lt;=30",IF($G94&lt;=60,"Expires 31-60","Valid")))))))</f>
        <v/>
      </c>
      <c r="I94" s="53"/>
      <c r="J94" s="53"/>
      <c r="K94" s="97">
        <f>IF(OR(NOT(ISNUMBER($I94)),NOT(ISNUMBER($J94))),"",IF($J94&gt;$I94,"OVER","OK"))</f>
        <v/>
      </c>
      <c r="L94" s="51"/>
      <c r="M94" s="51"/>
      <c r="N94" s="51"/>
      <c r="O94" s="52"/>
      <c r="P94" s="97">
        <f>IF($N94="","",IF(OR($N94="F",$N94="G"),"Below E - check",IF(NOT(ISNUMBER($O94)),"No date",IF($O94&lt;TODAY(),"Expired",IF($O94-TODAY()&lt;=60,"Expires &lt;=60","Valid")))))</f>
        <v/>
      </c>
      <c r="Q94" s="97">
        <f>IF($A94="","",IFERROR(IF(INDEX('PRS Database Readiness'!$AE$9:$AE$108,MATCH($A94,'PRS Database Readiness'!$A$9:$A$108,0))="","",INDEX('PRS Database Readiness'!$AE$9:$AE$108,MATCH($A94,'PRS Database Readiness'!$A$9:$A$108,0))),""))</f>
        <v/>
      </c>
      <c r="R94" s="81"/>
      <c r="S94" s="81"/>
      <c r="T94" s="81"/>
    </row>
    <row r="95" spans="1:20" ht="18" customHeight="1">
      <c r="A95" s="54"/>
      <c r="B95" s="81"/>
      <c r="C95" s="81"/>
      <c r="D95" s="81"/>
      <c r="E95" s="52"/>
      <c r="F95" s="52"/>
      <c r="G95" s="83">
        <f>IF(OR($C95="",NOT(ISNUMBER($F95))),"",$F95-TODAY())</f>
        <v/>
      </c>
      <c r="H95" s="97">
        <f>IF($C95="","",IF($C95="Not licensable","n/a",IF($C95="Applied-pending","Pending",IF(NOT(ISNUMBER($F95)),"No date",IF($G95&lt;0,"Expired",IF($G95&lt;=30,"Expires &lt;=30",IF($G95&lt;=60,"Expires 31-60","Valid")))))))</f>
        <v/>
      </c>
      <c r="I95" s="53"/>
      <c r="J95" s="53"/>
      <c r="K95" s="97">
        <f>IF(OR(NOT(ISNUMBER($I95)),NOT(ISNUMBER($J95))),"",IF($J95&gt;$I95,"OVER","OK"))</f>
        <v/>
      </c>
      <c r="L95" s="51"/>
      <c r="M95" s="51"/>
      <c r="N95" s="51"/>
      <c r="O95" s="52"/>
      <c r="P95" s="97">
        <f>IF($N95="","",IF(OR($N95="F",$N95="G"),"Below E - check",IF(NOT(ISNUMBER($O95)),"No date",IF($O95&lt;TODAY(),"Expired",IF($O95-TODAY()&lt;=60,"Expires &lt;=60","Valid")))))</f>
        <v/>
      </c>
      <c r="Q95" s="97">
        <f>IF($A95="","",IFERROR(IF(INDEX('PRS Database Readiness'!$AE$9:$AE$108,MATCH($A95,'PRS Database Readiness'!$A$9:$A$108,0))="","",INDEX('PRS Database Readiness'!$AE$9:$AE$108,MATCH($A95,'PRS Database Readiness'!$A$9:$A$108,0))),""))</f>
        <v/>
      </c>
      <c r="R95" s="81"/>
      <c r="S95" s="81"/>
      <c r="T95" s="81"/>
    </row>
    <row r="96" spans="1:20" ht="18" customHeight="1">
      <c r="A96" s="54"/>
      <c r="B96" s="81"/>
      <c r="C96" s="81"/>
      <c r="D96" s="81"/>
      <c r="E96" s="52"/>
      <c r="F96" s="52"/>
      <c r="G96" s="83">
        <f>IF(OR($C96="",NOT(ISNUMBER($F96))),"",$F96-TODAY())</f>
        <v/>
      </c>
      <c r="H96" s="97">
        <f>IF($C96="","",IF($C96="Not licensable","n/a",IF($C96="Applied-pending","Pending",IF(NOT(ISNUMBER($F96)),"No date",IF($G96&lt;0,"Expired",IF($G96&lt;=30,"Expires &lt;=30",IF($G96&lt;=60,"Expires 31-60","Valid")))))))</f>
        <v/>
      </c>
      <c r="I96" s="53"/>
      <c r="J96" s="53"/>
      <c r="K96" s="97">
        <f>IF(OR(NOT(ISNUMBER($I96)),NOT(ISNUMBER($J96))),"",IF($J96&gt;$I96,"OVER","OK"))</f>
        <v/>
      </c>
      <c r="L96" s="51"/>
      <c r="M96" s="51"/>
      <c r="N96" s="51"/>
      <c r="O96" s="52"/>
      <c r="P96" s="97">
        <f>IF($N96="","",IF(OR($N96="F",$N96="G"),"Below E - check",IF(NOT(ISNUMBER($O96)),"No date",IF($O96&lt;TODAY(),"Expired",IF($O96-TODAY()&lt;=60,"Expires &lt;=60","Valid")))))</f>
        <v/>
      </c>
      <c r="Q96" s="97">
        <f>IF($A96="","",IFERROR(IF(INDEX('PRS Database Readiness'!$AE$9:$AE$108,MATCH($A96,'PRS Database Readiness'!$A$9:$A$108,0))="","",INDEX('PRS Database Readiness'!$AE$9:$AE$108,MATCH($A96,'PRS Database Readiness'!$A$9:$A$108,0))),""))</f>
        <v/>
      </c>
      <c r="R96" s="81"/>
      <c r="S96" s="81"/>
      <c r="T96" s="81"/>
    </row>
    <row r="97" spans="1:20" ht="18" customHeight="1">
      <c r="A97" s="54"/>
      <c r="B97" s="81"/>
      <c r="C97" s="81"/>
      <c r="D97" s="81"/>
      <c r="E97" s="52"/>
      <c r="F97" s="52"/>
      <c r="G97" s="83">
        <f>IF(OR($C97="",NOT(ISNUMBER($F97))),"",$F97-TODAY())</f>
        <v/>
      </c>
      <c r="H97" s="97">
        <f>IF($C97="","",IF($C97="Not licensable","n/a",IF($C97="Applied-pending","Pending",IF(NOT(ISNUMBER($F97)),"No date",IF($G97&lt;0,"Expired",IF($G97&lt;=30,"Expires &lt;=30",IF($G97&lt;=60,"Expires 31-60","Valid")))))))</f>
        <v/>
      </c>
      <c r="I97" s="53"/>
      <c r="J97" s="53"/>
      <c r="K97" s="97">
        <f>IF(OR(NOT(ISNUMBER($I97)),NOT(ISNUMBER($J97))),"",IF($J97&gt;$I97,"OVER","OK"))</f>
        <v/>
      </c>
      <c r="L97" s="51"/>
      <c r="M97" s="51"/>
      <c r="N97" s="51"/>
      <c r="O97" s="52"/>
      <c r="P97" s="97">
        <f>IF($N97="","",IF(OR($N97="F",$N97="G"),"Below E - check",IF(NOT(ISNUMBER($O97)),"No date",IF($O97&lt;TODAY(),"Expired",IF($O97-TODAY()&lt;=60,"Expires &lt;=60","Valid")))))</f>
        <v/>
      </c>
      <c r="Q97" s="97">
        <f>IF($A97="","",IFERROR(IF(INDEX('PRS Database Readiness'!$AE$9:$AE$108,MATCH($A97,'PRS Database Readiness'!$A$9:$A$108,0))="","",INDEX('PRS Database Readiness'!$AE$9:$AE$108,MATCH($A97,'PRS Database Readiness'!$A$9:$A$108,0))),""))</f>
        <v/>
      </c>
      <c r="R97" s="81"/>
      <c r="S97" s="81"/>
      <c r="T97" s="81"/>
    </row>
    <row r="98" spans="1:20" ht="18" customHeight="1">
      <c r="A98" s="54"/>
      <c r="B98" s="81"/>
      <c r="C98" s="81"/>
      <c r="D98" s="81"/>
      <c r="E98" s="52"/>
      <c r="F98" s="52"/>
      <c r="G98" s="83">
        <f>IF(OR($C98="",NOT(ISNUMBER($F98))),"",$F98-TODAY())</f>
        <v/>
      </c>
      <c r="H98" s="97">
        <f>IF($C98="","",IF($C98="Not licensable","n/a",IF($C98="Applied-pending","Pending",IF(NOT(ISNUMBER($F98)),"No date",IF($G98&lt;0,"Expired",IF($G98&lt;=30,"Expires &lt;=30",IF($G98&lt;=60,"Expires 31-60","Valid")))))))</f>
        <v/>
      </c>
      <c r="I98" s="53"/>
      <c r="J98" s="53"/>
      <c r="K98" s="97">
        <f>IF(OR(NOT(ISNUMBER($I98)),NOT(ISNUMBER($J98))),"",IF($J98&gt;$I98,"OVER","OK"))</f>
        <v/>
      </c>
      <c r="L98" s="51"/>
      <c r="M98" s="51"/>
      <c r="N98" s="51"/>
      <c r="O98" s="52"/>
      <c r="P98" s="97">
        <f>IF($N98="","",IF(OR($N98="F",$N98="G"),"Below E - check",IF(NOT(ISNUMBER($O98)),"No date",IF($O98&lt;TODAY(),"Expired",IF($O98-TODAY()&lt;=60,"Expires &lt;=60","Valid")))))</f>
        <v/>
      </c>
      <c r="Q98" s="97">
        <f>IF($A98="","",IFERROR(IF(INDEX('PRS Database Readiness'!$AE$9:$AE$108,MATCH($A98,'PRS Database Readiness'!$A$9:$A$108,0))="","",INDEX('PRS Database Readiness'!$AE$9:$AE$108,MATCH($A98,'PRS Database Readiness'!$A$9:$A$108,0))),""))</f>
        <v/>
      </c>
      <c r="R98" s="81"/>
      <c r="S98" s="81"/>
      <c r="T98" s="81"/>
    </row>
    <row r="99" spans="1:20" ht="18" customHeight="1">
      <c r="A99" s="54"/>
      <c r="B99" s="81"/>
      <c r="C99" s="81"/>
      <c r="D99" s="81"/>
      <c r="E99" s="52"/>
      <c r="F99" s="52"/>
      <c r="G99" s="83">
        <f>IF(OR($C99="",NOT(ISNUMBER($F99))),"",$F99-TODAY())</f>
        <v/>
      </c>
      <c r="H99" s="97">
        <f>IF($C99="","",IF($C99="Not licensable","n/a",IF($C99="Applied-pending","Pending",IF(NOT(ISNUMBER($F99)),"No date",IF($G99&lt;0,"Expired",IF($G99&lt;=30,"Expires &lt;=30",IF($G99&lt;=60,"Expires 31-60","Valid")))))))</f>
        <v/>
      </c>
      <c r="I99" s="53"/>
      <c r="J99" s="53"/>
      <c r="K99" s="97">
        <f>IF(OR(NOT(ISNUMBER($I99)),NOT(ISNUMBER($J99))),"",IF($J99&gt;$I99,"OVER","OK"))</f>
        <v/>
      </c>
      <c r="L99" s="51"/>
      <c r="M99" s="51"/>
      <c r="N99" s="51"/>
      <c r="O99" s="52"/>
      <c r="P99" s="97">
        <f>IF($N99="","",IF(OR($N99="F",$N99="G"),"Below E - check",IF(NOT(ISNUMBER($O99)),"No date",IF($O99&lt;TODAY(),"Expired",IF($O99-TODAY()&lt;=60,"Expires &lt;=60","Valid")))))</f>
        <v/>
      </c>
      <c r="Q99" s="97">
        <f>IF($A99="","",IFERROR(IF(INDEX('PRS Database Readiness'!$AE$9:$AE$108,MATCH($A99,'PRS Database Readiness'!$A$9:$A$108,0))="","",INDEX('PRS Database Readiness'!$AE$9:$AE$108,MATCH($A99,'PRS Database Readiness'!$A$9:$A$108,0))),""))</f>
        <v/>
      </c>
      <c r="R99" s="81"/>
      <c r="S99" s="81"/>
      <c r="T99" s="81"/>
    </row>
    <row r="100" spans="1:20" ht="18" customHeight="1">
      <c r="A100" s="54"/>
      <c r="B100" s="81"/>
      <c r="C100" s="81"/>
      <c r="D100" s="81"/>
      <c r="E100" s="52"/>
      <c r="F100" s="52"/>
      <c r="G100" s="83">
        <f>IF(OR($C100="",NOT(ISNUMBER($F100))),"",$F100-TODAY())</f>
        <v/>
      </c>
      <c r="H100" s="97">
        <f>IF($C100="","",IF($C100="Not licensable","n/a",IF($C100="Applied-pending","Pending",IF(NOT(ISNUMBER($F100)),"No date",IF($G100&lt;0,"Expired",IF($G100&lt;=30,"Expires &lt;=30",IF($G100&lt;=60,"Expires 31-60","Valid")))))))</f>
        <v/>
      </c>
      <c r="I100" s="53"/>
      <c r="J100" s="53"/>
      <c r="K100" s="97">
        <f>IF(OR(NOT(ISNUMBER($I100)),NOT(ISNUMBER($J100))),"",IF($J100&gt;$I100,"OVER","OK"))</f>
        <v/>
      </c>
      <c r="L100" s="51"/>
      <c r="M100" s="51"/>
      <c r="N100" s="51"/>
      <c r="O100" s="52"/>
      <c r="P100" s="97">
        <f>IF($N100="","",IF(OR($N100="F",$N100="G"),"Below E - check",IF(NOT(ISNUMBER($O100)),"No date",IF($O100&lt;TODAY(),"Expired",IF($O100-TODAY()&lt;=60,"Expires &lt;=60","Valid")))))</f>
        <v/>
      </c>
      <c r="Q100" s="97">
        <f>IF($A100="","",IFERROR(IF(INDEX('PRS Database Readiness'!$AE$9:$AE$108,MATCH($A100,'PRS Database Readiness'!$A$9:$A$108,0))="","",INDEX('PRS Database Readiness'!$AE$9:$AE$108,MATCH($A100,'PRS Database Readiness'!$A$9:$A$108,0))),""))</f>
        <v/>
      </c>
      <c r="R100" s="81"/>
      <c r="S100" s="81"/>
      <c r="T100" s="81"/>
    </row>
    <row r="101" spans="1:20" ht="18" customHeight="1">
      <c r="A101" s="54"/>
      <c r="B101" s="81"/>
      <c r="C101" s="81"/>
      <c r="D101" s="81"/>
      <c r="E101" s="52"/>
      <c r="F101" s="52"/>
      <c r="G101" s="83">
        <f>IF(OR($C101="",NOT(ISNUMBER($F101))),"",$F101-TODAY())</f>
        <v/>
      </c>
      <c r="H101" s="97">
        <f>IF($C101="","",IF($C101="Not licensable","n/a",IF($C101="Applied-pending","Pending",IF(NOT(ISNUMBER($F101)),"No date",IF($G101&lt;0,"Expired",IF($G101&lt;=30,"Expires &lt;=30",IF($G101&lt;=60,"Expires 31-60","Valid")))))))</f>
        <v/>
      </c>
      <c r="I101" s="53"/>
      <c r="J101" s="53"/>
      <c r="K101" s="97">
        <f>IF(OR(NOT(ISNUMBER($I101)),NOT(ISNUMBER($J101))),"",IF($J101&gt;$I101,"OVER","OK"))</f>
        <v/>
      </c>
      <c r="L101" s="51"/>
      <c r="M101" s="51"/>
      <c r="N101" s="51"/>
      <c r="O101" s="52"/>
      <c r="P101" s="97">
        <f>IF($N101="","",IF(OR($N101="F",$N101="G"),"Below E - check",IF(NOT(ISNUMBER($O101)),"No date",IF($O101&lt;TODAY(),"Expired",IF($O101-TODAY()&lt;=60,"Expires &lt;=60","Valid")))))</f>
        <v/>
      </c>
      <c r="Q101" s="97">
        <f>IF($A101="","",IFERROR(IF(INDEX('PRS Database Readiness'!$AE$9:$AE$108,MATCH($A101,'PRS Database Readiness'!$A$9:$A$108,0))="","",INDEX('PRS Database Readiness'!$AE$9:$AE$108,MATCH($A101,'PRS Database Readiness'!$A$9:$A$108,0))),""))</f>
        <v/>
      </c>
      <c r="R101" s="81"/>
      <c r="S101" s="81"/>
      <c r="T101" s="81"/>
    </row>
    <row r="102" spans="1:20" ht="18" customHeight="1">
      <c r="A102" s="54"/>
      <c r="B102" s="81"/>
      <c r="C102" s="81"/>
      <c r="D102" s="81"/>
      <c r="E102" s="52"/>
      <c r="F102" s="52"/>
      <c r="G102" s="83">
        <f>IF(OR($C102="",NOT(ISNUMBER($F102))),"",$F102-TODAY())</f>
        <v/>
      </c>
      <c r="H102" s="97">
        <f>IF($C102="","",IF($C102="Not licensable","n/a",IF($C102="Applied-pending","Pending",IF(NOT(ISNUMBER($F102)),"No date",IF($G102&lt;0,"Expired",IF($G102&lt;=30,"Expires &lt;=30",IF($G102&lt;=60,"Expires 31-60","Valid")))))))</f>
        <v/>
      </c>
      <c r="I102" s="53"/>
      <c r="J102" s="53"/>
      <c r="K102" s="97">
        <f>IF(OR(NOT(ISNUMBER($I102)),NOT(ISNUMBER($J102))),"",IF($J102&gt;$I102,"OVER","OK"))</f>
        <v/>
      </c>
      <c r="L102" s="51"/>
      <c r="M102" s="51"/>
      <c r="N102" s="51"/>
      <c r="O102" s="52"/>
      <c r="P102" s="97">
        <f>IF($N102="","",IF(OR($N102="F",$N102="G"),"Below E - check",IF(NOT(ISNUMBER($O102)),"No date",IF($O102&lt;TODAY(),"Expired",IF($O102-TODAY()&lt;=60,"Expires &lt;=60","Valid")))))</f>
        <v/>
      </c>
      <c r="Q102" s="97">
        <f>IF($A102="","",IFERROR(IF(INDEX('PRS Database Readiness'!$AE$9:$AE$108,MATCH($A102,'PRS Database Readiness'!$A$9:$A$108,0))="","",INDEX('PRS Database Readiness'!$AE$9:$AE$108,MATCH($A102,'PRS Database Readiness'!$A$9:$A$108,0))),""))</f>
        <v/>
      </c>
      <c r="R102" s="81"/>
      <c r="S102" s="81"/>
      <c r="T102" s="81"/>
    </row>
    <row r="103" spans="1:20" ht="18" customHeight="1">
      <c r="A103" s="54"/>
      <c r="B103" s="81"/>
      <c r="C103" s="81"/>
      <c r="D103" s="81"/>
      <c r="E103" s="52"/>
      <c r="F103" s="52"/>
      <c r="G103" s="83">
        <f>IF(OR($C103="",NOT(ISNUMBER($F103))),"",$F103-TODAY())</f>
        <v/>
      </c>
      <c r="H103" s="97">
        <f>IF($C103="","",IF($C103="Not licensable","n/a",IF($C103="Applied-pending","Pending",IF(NOT(ISNUMBER($F103)),"No date",IF($G103&lt;0,"Expired",IF($G103&lt;=30,"Expires &lt;=30",IF($G103&lt;=60,"Expires 31-60","Valid")))))))</f>
        <v/>
      </c>
      <c r="I103" s="53"/>
      <c r="J103" s="53"/>
      <c r="K103" s="97">
        <f>IF(OR(NOT(ISNUMBER($I103)),NOT(ISNUMBER($J103))),"",IF($J103&gt;$I103,"OVER","OK"))</f>
        <v/>
      </c>
      <c r="L103" s="51"/>
      <c r="M103" s="51"/>
      <c r="N103" s="51"/>
      <c r="O103" s="52"/>
      <c r="P103" s="97">
        <f>IF($N103="","",IF(OR($N103="F",$N103="G"),"Below E - check",IF(NOT(ISNUMBER($O103)),"No date",IF($O103&lt;TODAY(),"Expired",IF($O103-TODAY()&lt;=60,"Expires &lt;=60","Valid")))))</f>
        <v/>
      </c>
      <c r="Q103" s="97">
        <f>IF($A103="","",IFERROR(IF(INDEX('PRS Database Readiness'!$AE$9:$AE$108,MATCH($A103,'PRS Database Readiness'!$A$9:$A$108,0))="","",INDEX('PRS Database Readiness'!$AE$9:$AE$108,MATCH($A103,'PRS Database Readiness'!$A$9:$A$108,0))),""))</f>
        <v/>
      </c>
      <c r="R103" s="81"/>
      <c r="S103" s="81"/>
      <c r="T103" s="81"/>
    </row>
    <row r="104" spans="1:20" ht="18" customHeight="1">
      <c r="A104" s="54"/>
      <c r="B104" s="81"/>
      <c r="C104" s="81"/>
      <c r="D104" s="81"/>
      <c r="E104" s="52"/>
      <c r="F104" s="52"/>
      <c r="G104" s="83">
        <f>IF(OR($C104="",NOT(ISNUMBER($F104))),"",$F104-TODAY())</f>
        <v/>
      </c>
      <c r="H104" s="97">
        <f>IF($C104="","",IF($C104="Not licensable","n/a",IF($C104="Applied-pending","Pending",IF(NOT(ISNUMBER($F104)),"No date",IF($G104&lt;0,"Expired",IF($G104&lt;=30,"Expires &lt;=30",IF($G104&lt;=60,"Expires 31-60","Valid")))))))</f>
        <v/>
      </c>
      <c r="I104" s="53"/>
      <c r="J104" s="53"/>
      <c r="K104" s="97">
        <f>IF(OR(NOT(ISNUMBER($I104)),NOT(ISNUMBER($J104))),"",IF($J104&gt;$I104,"OVER","OK"))</f>
        <v/>
      </c>
      <c r="L104" s="51"/>
      <c r="M104" s="51"/>
      <c r="N104" s="51"/>
      <c r="O104" s="52"/>
      <c r="P104" s="97">
        <f>IF($N104="","",IF(OR($N104="F",$N104="G"),"Below E - check",IF(NOT(ISNUMBER($O104)),"No date",IF($O104&lt;TODAY(),"Expired",IF($O104-TODAY()&lt;=60,"Expires &lt;=60","Valid")))))</f>
        <v/>
      </c>
      <c r="Q104" s="97">
        <f>IF($A104="","",IFERROR(IF(INDEX('PRS Database Readiness'!$AE$9:$AE$108,MATCH($A104,'PRS Database Readiness'!$A$9:$A$108,0))="","",INDEX('PRS Database Readiness'!$AE$9:$AE$108,MATCH($A104,'PRS Database Readiness'!$A$9:$A$108,0))),""))</f>
        <v/>
      </c>
      <c r="R104" s="81"/>
      <c r="S104" s="81"/>
      <c r="T104" s="81"/>
    </row>
    <row r="105" spans="1:20" ht="18" customHeight="1">
      <c r="A105" s="54"/>
      <c r="B105" s="81"/>
      <c r="C105" s="81"/>
      <c r="D105" s="81"/>
      <c r="E105" s="52"/>
      <c r="F105" s="52"/>
      <c r="G105" s="83">
        <f>IF(OR($C105="",NOT(ISNUMBER($F105))),"",$F105-TODAY())</f>
        <v/>
      </c>
      <c r="H105" s="97">
        <f>IF($C105="","",IF($C105="Not licensable","n/a",IF($C105="Applied-pending","Pending",IF(NOT(ISNUMBER($F105)),"No date",IF($G105&lt;0,"Expired",IF($G105&lt;=30,"Expires &lt;=30",IF($G105&lt;=60,"Expires 31-60","Valid")))))))</f>
        <v/>
      </c>
      <c r="I105" s="53"/>
      <c r="J105" s="53"/>
      <c r="K105" s="97">
        <f>IF(OR(NOT(ISNUMBER($I105)),NOT(ISNUMBER($J105))),"",IF($J105&gt;$I105,"OVER","OK"))</f>
        <v/>
      </c>
      <c r="L105" s="51"/>
      <c r="M105" s="51"/>
      <c r="N105" s="51"/>
      <c r="O105" s="52"/>
      <c r="P105" s="97">
        <f>IF($N105="","",IF(OR($N105="F",$N105="G"),"Below E - check",IF(NOT(ISNUMBER($O105)),"No date",IF($O105&lt;TODAY(),"Expired",IF($O105-TODAY()&lt;=60,"Expires &lt;=60","Valid")))))</f>
        <v/>
      </c>
      <c r="Q105" s="97">
        <f>IF($A105="","",IFERROR(IF(INDEX('PRS Database Readiness'!$AE$9:$AE$108,MATCH($A105,'PRS Database Readiness'!$A$9:$A$108,0))="","",INDEX('PRS Database Readiness'!$AE$9:$AE$108,MATCH($A105,'PRS Database Readiness'!$A$9:$A$108,0))),""))</f>
        <v/>
      </c>
      <c r="R105" s="81"/>
      <c r="S105" s="81"/>
      <c r="T105" s="81"/>
    </row>
  </sheetData>
  <mergeCells count="1">
    <mergeCell ref="A3:T3"/>
  </mergeCells>
  <conditionalFormatting sqref="E6:E105">
    <cfRule type="expression" dxfId="5" priority="15">
      <formula>AND(E6&lt;&gt;"",NOT(ISNUMBER(E6)))</formula>
    </cfRule>
  </conditionalFormatting>
  <conditionalFormatting sqref="F6:F105">
    <cfRule type="expression" dxfId="5" priority="16">
      <formula>AND(F6&lt;&gt;"",NOT(ISNUMBER(F6)))</formula>
    </cfRule>
  </conditionalFormatting>
  <conditionalFormatting sqref="G6:H105">
    <cfRule type="expression" dxfId="0" priority="1">
      <formula>$H6="Expired"</formula>
    </cfRule>
    <cfRule type="expression" dxfId="1" priority="2">
      <formula>$H6="Expires &lt;=30"</formula>
    </cfRule>
    <cfRule type="expression" dxfId="2" priority="3">
      <formula>$H6="Expires 31-60"</formula>
    </cfRule>
    <cfRule type="expression" dxfId="3" priority="4">
      <formula>$H6="Valid"</formula>
    </cfRule>
    <cfRule type="expression" dxfId="4" priority="5">
      <formula>$H6="No date"</formula>
    </cfRule>
    <cfRule type="expression" dxfId="2" priority="6">
      <formula>$H6="Pending"</formula>
    </cfRule>
    <cfRule type="expression" dxfId="4" priority="7">
      <formula>$H6="n/a"</formula>
    </cfRule>
  </conditionalFormatting>
  <conditionalFormatting sqref="K6:K105">
    <cfRule type="cellIs" dxfId="0" priority="8" operator="equal">
      <formula>"OVER"</formula>
    </cfRule>
    <cfRule type="cellIs" dxfId="3" priority="9" operator="equal">
      <formula>"OK"</formula>
    </cfRule>
  </conditionalFormatting>
  <conditionalFormatting sqref="O6:O105">
    <cfRule type="expression" dxfId="5" priority="17">
      <formula>AND(O6&lt;&gt;"",NOT(ISNUMBER(O6)))</formula>
    </cfRule>
  </conditionalFormatting>
  <conditionalFormatting sqref="P6:P105">
    <cfRule type="cellIs" dxfId="0" priority="10" operator="equal">
      <formula>"Expired"</formula>
    </cfRule>
    <cfRule type="cellIs" dxfId="0" priority="11" operator="equal">
      <formula>"Below E - check"</formula>
    </cfRule>
    <cfRule type="cellIs" dxfId="2" priority="12" operator="equal">
      <formula>"Expires &lt;=60"</formula>
    </cfRule>
    <cfRule type="cellIs" dxfId="3" priority="13" operator="equal">
      <formula>"Valid"</formula>
    </cfRule>
    <cfRule type="cellIs" dxfId="4" priority="14" operator="equal">
      <formula>"No date"</formula>
    </cfRule>
  </conditionalFormatting>
  <dataValidations count="5">
    <dataValidation type="list" allowBlank="1" showInputMessage="1" showErrorMessage="1" errorTitle="Pick from the list" error="Choose a licence type from the dropdown." sqref="C6:C105">
      <formula1>"Mandatory HMO,Additional,Selective,Not licensable,Applied-pending"</formula1>
    </dataValidation>
    <dataValidation type="list" allowBlank="1" showInputMessage="1" showErrorMessage="1" errorTitle="EPC rating" error="Choose A to G." sqref="N6:N105">
      <formula1>"A,B,C,D,E,F,G"</formula1>
    </dataValidation>
    <dataValidation type="date" allowBlank="1" showInputMessage="1" showErrorMessage="1" errorTitle="Not a date" error="Enter a date as dd/mm/yyyy. In Google Sheets set File &gt; Settings &gt; Locale to United Kingdom." sqref="E6:F105">
      <formula1>36526</formula1>
      <formula2>73415</formula2>
    </dataValidation>
    <dataValidation type="date" allowBlank="1" showInputMessage="1" showErrorMessage="1" errorTitle="Not a date" error="Enter a date as dd/mm/yyyy. In Google Sheets set File &gt; Settings &gt; Locale to United Kingdom." sqref="O6:O105">
      <formula1>36526</formula1>
      <formula2>73415</formula2>
    </dataValidation>
    <dataValidation type="whole" operator="greaterThanOrEqual" allowBlank="1" showInputMessage="1" showErrorMessage="1" errorTitle="Whole number" error="Enter a whole number of people." sqref="I6:J105">
      <formula1>0</formula1>
    </dataValidation>
  </dataValidations>
  <pageMargins left="0.4" right="0.4" top="0.5" bottom="0.55" header="0.3" footer="0.3"/>
  <pageSetup paperSize="9" fitToWidth="2" fitToHeight="0" orientation="landscape"/>
  <headerFooter>
    <oddFooter>&amp;L&amp;8&amp;A&amp;C&amp;8Page &amp;P of &amp;N&amp;R&amp;8Printed &amp;D</oddFooter>
  </headerFooter>
  <ignoredErrors>
    <ignoredError sqref="A1:Z2000" numberStoredAsText="1"/>
    <ignoredError sqref="A1:Z2000" formula="1"/>
  </ignoredErrors>
</worksheet>
</file>

<file path=xl/worksheets/sheet5.xml><?xml version="1.0" encoding="utf-8"?>
<worksheet xmlns="http://schemas.openxmlformats.org/spreadsheetml/2006/main" xmlns:r="http://schemas.openxmlformats.org/officeDocument/2006/relationships">
  <sheetPr>
    <tabColor rgb="FFEF6C00"/>
    <pageSetUpPr fitToPage="1"/>
  </sheetPr>
  <dimension ref="A1:M1005"/>
  <sheetViews>
    <sheetView workbookViewId="0">
      <pane ySplit="5" topLeftCell="A6" activePane="bottomLeft" state="frozen"/>
      <selection pane="bottomLeft"/>
    </sheetView>
  </sheetViews>
  <sheetFormatPr defaultRowHeight="15"/>
  <cols>
    <col min="1" max="2" width="42.7109375" customWidth="1"/>
    <col min="3" max="6" width="12.7109375" customWidth="1"/>
    <col min="7" max="7" width="10.7109375" customWidth="1"/>
    <col min="8" max="8" width="12.7109375" customWidth="1"/>
    <col min="9" max="9" width="25.7109375" customWidth="1"/>
    <col min="10" max="10" width="20.7109375" customWidth="1"/>
    <col min="11" max="11" width="30.7109375" customWidth="1"/>
    <col min="12" max="12" width="46.7109375" customWidth="1"/>
    <col min="13" max="13" width="4.7109375" hidden="1" customWidth="1"/>
  </cols>
  <sheetData>
    <row r="1" spans="1:13" ht="17" customHeight="1">
      <c r="A1" s="25" t="str">
        <f>IF(TRIM('Start Here'!$C$20)="","HMO Compliance Tracker 2026",TRIM('Start Here'!$C$20))&amp;IF(TRIM('Start Here'!$C$21)="","","  |  "&amp;TRIM('Start Here'!$C$21))&amp;IF(TRIM('Start Here'!$C$22)="","","  |  "&amp;TRIM('Start Here'!$C$22))&amp;IF(TRIM('Start Here'!$C$23)="","","  |  "&amp;TRIM('Start Here'!$C$23))</f>
        <v>HMO Compliance Tracker 2026</v>
      </c>
      <c r="B1" s="26"/>
      <c r="C1" s="26"/>
      <c r="D1" s="26"/>
      <c r="E1" s="26"/>
      <c r="F1" s="26"/>
      <c r="G1" s="26"/>
      <c r="H1" s="26"/>
      <c r="I1" s="26"/>
      <c r="J1" s="26"/>
      <c r="K1" s="26"/>
      <c r="L1" s="26"/>
    </row>
    <row r="2" spans="1:13" ht="30" customHeight="1">
      <c r="A2" s="55" t="s">
        <v>54</v>
      </c>
    </row>
    <row r="3" spans="1:13" ht="32" customHeight="1">
      <c r="A3" s="95" t="s">
        <v>208</v>
      </c>
      <c r="B3" s="95"/>
      <c r="C3" s="95"/>
      <c r="D3" s="95"/>
      <c r="E3" s="95"/>
      <c r="F3" s="95"/>
      <c r="G3" s="95"/>
      <c r="H3" s="95"/>
      <c r="I3" s="95"/>
      <c r="J3" s="95"/>
      <c r="K3" s="95"/>
      <c r="L3" s="95"/>
    </row>
    <row r="4" spans="1:13" ht="18" customHeight="1">
      <c r="B4" s="98" t="s">
        <v>209</v>
      </c>
      <c r="C4" s="99" t="s">
        <v>86</v>
      </c>
      <c r="D4" s="100" t="s">
        <v>210</v>
      </c>
      <c r="E4" s="101" t="s">
        <v>211</v>
      </c>
      <c r="F4" s="102" t="s">
        <v>71</v>
      </c>
      <c r="G4" s="103" t="s">
        <v>88</v>
      </c>
    </row>
    <row r="5" spans="1:13" ht="54" customHeight="1">
      <c r="A5" s="96" t="s">
        <v>82</v>
      </c>
      <c r="B5" s="96" t="s">
        <v>212</v>
      </c>
      <c r="C5" s="96" t="s">
        <v>213</v>
      </c>
      <c r="D5" s="50" t="s">
        <v>214</v>
      </c>
      <c r="E5" s="96" t="s">
        <v>215</v>
      </c>
      <c r="F5" s="50" t="s">
        <v>216</v>
      </c>
      <c r="G5" s="50" t="s">
        <v>109</v>
      </c>
      <c r="H5" s="50" t="s">
        <v>113</v>
      </c>
      <c r="I5" s="96" t="s">
        <v>217</v>
      </c>
      <c r="J5" s="96" t="s">
        <v>218</v>
      </c>
      <c r="K5" s="96" t="s">
        <v>219</v>
      </c>
      <c r="L5" s="96" t="s">
        <v>139</v>
      </c>
      <c r="M5" s="104" t="s">
        <v>220</v>
      </c>
    </row>
    <row r="6" spans="1:13">
      <c r="A6" s="54" t="s">
        <v>169</v>
      </c>
      <c r="B6" s="54" t="s">
        <v>221</v>
      </c>
      <c r="C6" s="52">
        <f>TODAY()-(390)</f>
        <v>45907.0</v>
      </c>
      <c r="D6" s="83">
        <f>IF($B6="","",IFERROR(IF(VLOOKUP($B6,Reference!$A$6:$C$27,3,FALSE)&gt;0,VLOOKUP($B6,Reference!$A$6:$C$27,3,FALSE),""),""))</f>
        <v>12</v>
      </c>
      <c r="E6" s="53"/>
      <c r="F6" s="82">
        <f>IF(OR($A6="",$B6="",NOT(ISNUMBER($C6))),"",IF(ISNUMBER($E6),IF($E6&gt;0,EDATE($C6,$E6),""),IF(ISNUMBER($D6),EDATE($C6,$D6),"")))</f>
        <v>46272.0</v>
      </c>
      <c r="G6" s="83">
        <f>IF($F6="","",$F6-TODAY())</f>
        <v>-25</v>
      </c>
      <c r="H6" s="85" t="str">
        <f>IF(OR($A6="",$B6=""),"",IF($F6="","No date",IF($G6&lt;0,"Overdue",IF($G6&lt;=30,"Due &lt;=30",IF($G6&lt;=60,"Due 31-60","OK")))))</f>
        <v>Overdue</v>
      </c>
      <c r="I6" s="54" t="s">
        <v>222</v>
      </c>
      <c r="J6" s="54" t="s">
        <v>223</v>
      </c>
      <c r="K6" s="54"/>
      <c r="L6" s="54" t="s">
        <v>224</v>
      </c>
      <c r="M6" s="105">
        <f>IF($F6="","",$F6+ROW()/100000)</f>
        <v>46272.00006</v>
      </c>
    </row>
    <row r="7" spans="1:13">
      <c r="A7" s="54" t="s">
        <v>169</v>
      </c>
      <c r="B7" s="54" t="s">
        <v>225</v>
      </c>
      <c r="C7" s="52">
        <f>TODAY()-(1500)</f>
        <v>44797.0</v>
      </c>
      <c r="D7" s="83">
        <f>IF($B7="","",IFERROR(IF(VLOOKUP($B7,Reference!$A$6:$C$27,3,FALSE)&gt;0,VLOOKUP($B7,Reference!$A$6:$C$27,3,FALSE),""),""))</f>
        <v>60</v>
      </c>
      <c r="E7" s="53"/>
      <c r="F7" s="82">
        <f>IF(OR($A7="",$B7="",NOT(ISNUMBER($C7))),"",IF(ISNUMBER($E7),IF($E7&gt;0,EDATE($C7,$E7),""),IF(ISNUMBER($D7),EDATE($C7,$D7),"")))</f>
        <v>46623.0</v>
      </c>
      <c r="G7" s="83">
        <f>IF($F7="","",$F7-TODAY())</f>
        <v>326</v>
      </c>
      <c r="H7" s="85" t="str">
        <f>IF(OR($A7="",$B7=""),"",IF($F7="","No date",IF($G7&lt;0,"Overdue",IF($G7&lt;=30,"Due &lt;=30",IF($G7&lt;=60,"Due 31-60","OK")))))</f>
        <v>OK</v>
      </c>
      <c r="I7" s="54" t="s">
        <v>226</v>
      </c>
      <c r="J7" s="54" t="s">
        <v>227</v>
      </c>
      <c r="K7" s="54"/>
      <c r="L7" s="54" t="s">
        <v>228</v>
      </c>
      <c r="M7" s="105">
        <f>IF($F7="","",$F7+ROW()/100000)</f>
        <v>46623.00007</v>
      </c>
    </row>
    <row r="8" spans="1:13">
      <c r="A8" s="54" t="s">
        <v>169</v>
      </c>
      <c r="B8" s="54" t="s">
        <v>229</v>
      </c>
      <c r="C8" s="52">
        <f>TODAY()-(320)</f>
        <v>45977.0</v>
      </c>
      <c r="D8" s="83">
        <f>IF($B8="","",IFERROR(IF(VLOOKUP($B8,Reference!$A$6:$C$27,3,FALSE)&gt;0,VLOOKUP($B8,Reference!$A$6:$C$27,3,FALSE),""),""))</f>
        <v>12</v>
      </c>
      <c r="E8" s="53"/>
      <c r="F8" s="82">
        <f>IF(OR($A8="",$B8="",NOT(ISNUMBER($C8))),"",IF(ISNUMBER($E8),IF($E8&gt;0,EDATE($C8,$E8),""),IF(ISNUMBER($D8),EDATE($C8,$D8),"")))</f>
        <v>46342.0</v>
      </c>
      <c r="G8" s="83">
        <f>IF($F8="","",$F8-TODAY())</f>
        <v>45</v>
      </c>
      <c r="H8" s="85" t="str">
        <f>IF(OR($A8="",$B8=""),"",IF($F8="","No date",IF($G8&lt;0,"Overdue",IF($G8&lt;=30,"Due &lt;=30",IF($G8&lt;=60,"Due 31-60","OK")))))</f>
        <v>Due 31-60</v>
      </c>
      <c r="I8" s="54" t="s">
        <v>230</v>
      </c>
      <c r="J8" s="54" t="s">
        <v>231</v>
      </c>
      <c r="K8" s="54"/>
      <c r="L8" s="54" t="s">
        <v>232</v>
      </c>
      <c r="M8" s="105">
        <f>IF($F8="","",$F8+ROW()/100000)</f>
        <v>46342.00008</v>
      </c>
    </row>
    <row r="9" spans="1:13">
      <c r="A9" s="54" t="s">
        <v>169</v>
      </c>
      <c r="B9" s="54" t="s">
        <v>233</v>
      </c>
      <c r="C9" s="52">
        <f>TODAY()-(60)</f>
        <v>46237.0</v>
      </c>
      <c r="D9" s="83">
        <f>IF($B9="","",IFERROR(IF(VLOOKUP($B9,Reference!$A$6:$C$27,3,FALSE)&gt;0,VLOOKUP($B9,Reference!$A$6:$C$27,3,FALSE),""),""))</f>
        <v>6</v>
      </c>
      <c r="E9" s="53"/>
      <c r="F9" s="82">
        <f>IF(OR($A9="",$B9="",NOT(ISNUMBER($C9))),"",IF(ISNUMBER($E9),IF($E9&gt;0,EDATE($C9,$E9),""),IF(ISNUMBER($D9),EDATE($C9,$D9),"")))</f>
        <v>46421.0</v>
      </c>
      <c r="G9" s="83">
        <f>IF($F9="","",$F9-TODAY())</f>
        <v>124</v>
      </c>
      <c r="H9" s="85" t="str">
        <f>IF(OR($A9="",$B9=""),"",IF($F9="","No date",IF($G9&lt;0,"Overdue",IF($G9&lt;=30,"Due &lt;=30",IF($G9&lt;=60,"Due 31-60","OK")))))</f>
        <v>OK</v>
      </c>
      <c r="I9" s="54" t="s">
        <v>230</v>
      </c>
      <c r="J9" s="54" t="s">
        <v>234</v>
      </c>
      <c r="K9" s="54"/>
      <c r="L9" s="54" t="s">
        <v>235</v>
      </c>
      <c r="M9" s="105">
        <f>IF($F9="","",$F9+ROW()/100000)</f>
        <v>46421.00009</v>
      </c>
    </row>
    <row r="10" spans="1:13">
      <c r="A10" s="54" t="s">
        <v>169</v>
      </c>
      <c r="B10" s="54" t="s">
        <v>236</v>
      </c>
      <c r="C10" s="52">
        <f>TODAY()-(350)</f>
        <v>45947.0</v>
      </c>
      <c r="D10" s="83">
        <f>IF($B10="","",IFERROR(IF(VLOOKUP($B10,Reference!$A$6:$C$27,3,FALSE)&gt;0,VLOOKUP($B10,Reference!$A$6:$C$27,3,FALSE),""),""))</f>
        <v>12</v>
      </c>
      <c r="E10" s="53"/>
      <c r="F10" s="82">
        <f>IF(OR($A10="",$B10="",NOT(ISNUMBER($C10))),"",IF(ISNUMBER($E10),IF($E10&gt;0,EDATE($C10,$E10),""),IF(ISNUMBER($D10),EDATE($C10,$D10),"")))</f>
        <v>46312.0</v>
      </c>
      <c r="G10" s="83">
        <f>IF($F10="","",$F10-TODAY())</f>
        <v>15</v>
      </c>
      <c r="H10" s="85" t="str">
        <f>IF(OR($A10="",$B10=""),"",IF($F10="","No date",IF($G10&lt;0,"Overdue",IF($G10&lt;=30,"Due &lt;=30",IF($G10&lt;=60,"Due 31-60","OK")))))</f>
        <v>Due &lt;=30</v>
      </c>
      <c r="I10" s="54" t="s">
        <v>230</v>
      </c>
      <c r="J10" s="54" t="s">
        <v>237</v>
      </c>
      <c r="K10" s="54"/>
      <c r="L10" s="54" t="s">
        <v>238</v>
      </c>
      <c r="M10" s="105">
        <f>IF($F10="","",$F10+ROW()/100000)</f>
        <v>46312.0001</v>
      </c>
    </row>
    <row r="11" spans="1:13">
      <c r="A11" s="54" t="s">
        <v>169</v>
      </c>
      <c r="B11" s="54" t="s">
        <v>239</v>
      </c>
      <c r="C11" s="52">
        <f>TODAY()-(90)</f>
        <v>46207.0</v>
      </c>
      <c r="D11" s="83">
        <f>IF($B11="","",IFERROR(IF(VLOOKUP($B11,Reference!$A$6:$C$27,3,FALSE)&gt;0,VLOOKUP($B11,Reference!$A$6:$C$27,3,FALSE),""),""))</f>
        <v>12</v>
      </c>
      <c r="E11" s="53"/>
      <c r="F11" s="82">
        <f>IF(OR($A11="",$B11="",NOT(ISNUMBER($C11))),"",IF(ISNUMBER($E11),IF($E11&gt;0,EDATE($C11,$E11),""),IF(ISNUMBER($D11),EDATE($C11,$D11),"")))</f>
        <v>46572.0</v>
      </c>
      <c r="G11" s="83">
        <f>IF($F11="","",$F11-TODAY())</f>
        <v>275</v>
      </c>
      <c r="H11" s="85" t="str">
        <f>IF(OR($A11="",$B11=""),"",IF($F11="","No date",IF($G11&lt;0,"Overdue",IF($G11&lt;=30,"Due &lt;=30",IF($G11&lt;=60,"Due 31-60","OK")))))</f>
        <v>OK</v>
      </c>
      <c r="I11" s="54" t="s">
        <v>230</v>
      </c>
      <c r="J11" s="54" t="s">
        <v>240</v>
      </c>
      <c r="K11" s="54"/>
      <c r="L11" s="54" t="s">
        <v>235</v>
      </c>
      <c r="M11" s="105">
        <f>IF($F11="","",$F11+ROW()/100000)</f>
        <v>46572.00011</v>
      </c>
    </row>
    <row r="12" spans="1:13">
      <c r="A12" s="54" t="s">
        <v>169</v>
      </c>
      <c r="B12" s="54" t="s">
        <v>241</v>
      </c>
      <c r="C12" s="52">
        <f>TODAY()-(700)</f>
        <v>45597.0</v>
      </c>
      <c r="D12" s="83">
        <f>IF($B12="","",IFERROR(IF(VLOOKUP($B12,Reference!$A$6:$C$27,3,FALSE)&gt;0,VLOOKUP($B12,Reference!$A$6:$C$27,3,FALSE),""),""))</f>
        <v>12</v>
      </c>
      <c r="E12" s="53"/>
      <c r="F12" s="82">
        <f>IF(OR($A12="",$B12="",NOT(ISNUMBER($C12))),"",IF(ISNUMBER($E12),IF($E12&gt;0,EDATE($C12,$E12),""),IF(ISNUMBER($D12),EDATE($C12,$D12),"")))</f>
        <v>45962.0</v>
      </c>
      <c r="G12" s="83">
        <f>IF($F12="","",$F12-TODAY())</f>
        <v>-335</v>
      </c>
      <c r="H12" s="85" t="str">
        <f>IF(OR($A12="",$B12=""),"",IF($F12="","No date",IF($G12&lt;0,"Overdue",IF($G12&lt;=30,"Due &lt;=30",IF($G12&lt;=60,"Due 31-60","OK")))))</f>
        <v>Overdue</v>
      </c>
      <c r="I12" s="54"/>
      <c r="J12" s="54"/>
      <c r="K12" s="54"/>
      <c r="L12" s="54" t="s">
        <v>224</v>
      </c>
      <c r="M12" s="105">
        <f>IF($F12="","",$F12+ROW()/100000)</f>
        <v>45962.00012</v>
      </c>
    </row>
    <row r="13" spans="1:13">
      <c r="A13" s="54" t="s">
        <v>169</v>
      </c>
      <c r="B13" s="54" t="s">
        <v>242</v>
      </c>
      <c r="C13" s="52">
        <f>TODAY()-(1700)</f>
        <v>44597.0</v>
      </c>
      <c r="D13" s="83">
        <f>IF($B13="","",IFERROR(IF(VLOOKUP($B13,Reference!$A$6:$C$27,3,FALSE)&gt;0,VLOOKUP($B13,Reference!$A$6:$C$27,3,FALSE),""),""))</f>
        <v>60</v>
      </c>
      <c r="E13" s="53"/>
      <c r="F13" s="82">
        <f>IF(OR($A13="",$B13="",NOT(ISNUMBER($C13))),"",IF(ISNUMBER($E13),IF($E13&gt;0,EDATE($C13,$E13),""),IF(ISNUMBER($D13),EDATE($C13,$D13),"")))</f>
        <v>46423.0</v>
      </c>
      <c r="G13" s="83">
        <f>IF($F13="","",$F13-TODAY())</f>
        <v>126</v>
      </c>
      <c r="H13" s="85" t="str">
        <f>IF(OR($A13="",$B13=""),"",IF($F13="","No date",IF($G13&lt;0,"Overdue",IF($G13&lt;=30,"Due &lt;=30",IF($G13&lt;=60,"Due 31-60","OK")))))</f>
        <v>OK</v>
      </c>
      <c r="I13" s="54"/>
      <c r="J13" s="54" t="s">
        <v>198</v>
      </c>
      <c r="K13" s="54"/>
      <c r="L13" s="54" t="s">
        <v>243</v>
      </c>
      <c r="M13" s="105">
        <f>IF($F13="","",$F13+ROW()/100000)</f>
        <v>46423.00013</v>
      </c>
    </row>
    <row r="14" spans="1:13">
      <c r="A14" s="54" t="s">
        <v>174</v>
      </c>
      <c r="B14" s="54" t="s">
        <v>221</v>
      </c>
      <c r="C14" s="52">
        <f>TODAY()-(120)</f>
        <v>46177.0</v>
      </c>
      <c r="D14" s="83">
        <f>IF($B14="","",IFERROR(IF(VLOOKUP($B14,Reference!$A$6:$C$27,3,FALSE)&gt;0,VLOOKUP($B14,Reference!$A$6:$C$27,3,FALSE),""),""))</f>
        <v>12</v>
      </c>
      <c r="E14" s="53"/>
      <c r="F14" s="82">
        <f>IF(OR($A14="",$B14="",NOT(ISNUMBER($C14))),"",IF(ISNUMBER($E14),IF($E14&gt;0,EDATE($C14,$E14),""),IF(ISNUMBER($D14),EDATE($C14,$D14),"")))</f>
        <v>46542.0</v>
      </c>
      <c r="G14" s="83">
        <f>IF($F14="","",$F14-TODAY())</f>
        <v>245</v>
      </c>
      <c r="H14" s="85" t="str">
        <f>IF(OR($A14="",$B14=""),"",IF($F14="","No date",IF($G14&lt;0,"Overdue",IF($G14&lt;=30,"Due &lt;=30",IF($G14&lt;=60,"Due 31-60","OK")))))</f>
        <v>OK</v>
      </c>
      <c r="I14" s="54" t="s">
        <v>222</v>
      </c>
      <c r="J14" s="54" t="s">
        <v>244</v>
      </c>
      <c r="K14" s="54"/>
      <c r="L14" s="54" t="s">
        <v>235</v>
      </c>
      <c r="M14" s="105">
        <f>IF($F14="","",$F14+ROW()/100000)</f>
        <v>46542.00014</v>
      </c>
    </row>
    <row r="15" spans="1:13">
      <c r="A15" s="54" t="s">
        <v>174</v>
      </c>
      <c r="B15" s="54" t="s">
        <v>225</v>
      </c>
      <c r="C15" s="52">
        <f>TODAY()-(1790)</f>
        <v>44507.0</v>
      </c>
      <c r="D15" s="83">
        <f>IF($B15="","",IFERROR(IF(VLOOKUP($B15,Reference!$A$6:$C$27,3,FALSE)&gt;0,VLOOKUP($B15,Reference!$A$6:$C$27,3,FALSE),""),""))</f>
        <v>60</v>
      </c>
      <c r="E15" s="53"/>
      <c r="F15" s="82">
        <f>IF(OR($A15="",$B15="",NOT(ISNUMBER($C15))),"",IF(ISNUMBER($E15),IF($E15&gt;0,EDATE($C15,$E15),""),IF(ISNUMBER($D15),EDATE($C15,$D15),"")))</f>
        <v>46333.0</v>
      </c>
      <c r="G15" s="83">
        <f>IF($F15="","",$F15-TODAY())</f>
        <v>36</v>
      </c>
      <c r="H15" s="85" t="str">
        <f>IF(OR($A15="",$B15=""),"",IF($F15="","No date",IF($G15&lt;0,"Overdue",IF($G15&lt;=30,"Due &lt;=30",IF($G15&lt;=60,"Due 31-60","OK")))))</f>
        <v>Due 31-60</v>
      </c>
      <c r="I15" s="54" t="s">
        <v>226</v>
      </c>
      <c r="J15" s="54" t="s">
        <v>245</v>
      </c>
      <c r="K15" s="54"/>
      <c r="L15" s="54" t="s">
        <v>232</v>
      </c>
      <c r="M15" s="105">
        <f>IF($F15="","",$F15+ROW()/100000)</f>
        <v>46333.00015</v>
      </c>
    </row>
    <row r="16" spans="1:13">
      <c r="A16" s="54" t="s">
        <v>174</v>
      </c>
      <c r="B16" s="54" t="s">
        <v>229</v>
      </c>
      <c r="C16" s="52"/>
      <c r="D16" s="83">
        <f>IF($B16="","",IFERROR(IF(VLOOKUP($B16,Reference!$A$6:$C$27,3,FALSE)&gt;0,VLOOKUP($B16,Reference!$A$6:$C$27,3,FALSE),""),""))</f>
        <v>12</v>
      </c>
      <c r="E16" s="53"/>
      <c r="F16" s="82">
        <f>IF(OR($A16="",$B16="",NOT(ISNUMBER($C16))),"",IF(ISNUMBER($E16),IF($E16&gt;0,EDATE($C16,$E16),""),IF(ISNUMBER($D16),EDATE($C16,$D16),"")))</f>
        <v/>
      </c>
      <c r="G16" s="83">
        <f>IF($F16="","",$F16-TODAY())</f>
        <v/>
      </c>
      <c r="H16" s="85" t="str">
        <f>IF(OR($A16="",$B16=""),"",IF($F16="","No date",IF($G16&lt;0,"Overdue",IF($G16&lt;=30,"Due &lt;=30",IF($G16&lt;=60,"Due 31-60","OK")))))</f>
        <v>No date</v>
      </c>
      <c r="I16" s="54"/>
      <c r="J16" s="54"/>
      <c r="K16" s="54"/>
      <c r="L16" s="54" t="s">
        <v>246</v>
      </c>
      <c r="M16" s="105">
        <f>IF($F16="","",$F16+ROW()/100000)</f>
        <v/>
      </c>
    </row>
    <row r="17" spans="1:13">
      <c r="A17" s="54" t="s">
        <v>174</v>
      </c>
      <c r="B17" s="54" t="s">
        <v>247</v>
      </c>
      <c r="C17" s="52">
        <f>TODAY()-(2000)</f>
        <v>44297.0</v>
      </c>
      <c r="D17" s="83">
        <f>IF($B17="","",IFERROR(IF(VLOOKUP($B17,Reference!$A$6:$C$27,3,FALSE)&gt;0,VLOOKUP($B17,Reference!$A$6:$C$27,3,FALSE),""),""))</f>
        <v>120</v>
      </c>
      <c r="E17" s="53"/>
      <c r="F17" s="82">
        <f>IF(OR($A17="",$B17="",NOT(ISNUMBER($C17))),"",IF(ISNUMBER($E17),IF($E17&gt;0,EDATE($C17,$E17),""),IF(ISNUMBER($D17),EDATE($C17,$D17),"")))</f>
        <v>47949.0</v>
      </c>
      <c r="G17" s="83">
        <f>IF($F17="","",$F17-TODAY())</f>
        <v>1652</v>
      </c>
      <c r="H17" s="85" t="str">
        <f>IF(OR($A17="",$B17=""),"",IF($F17="","No date",IF($G17&lt;0,"Overdue",IF($G17&lt;=30,"Due &lt;=30",IF($G17&lt;=60,"Due 31-60","OK")))))</f>
        <v>OK</v>
      </c>
      <c r="I17" s="54"/>
      <c r="J17" s="54" t="s">
        <v>248</v>
      </c>
      <c r="K17" s="54"/>
      <c r="L17" s="54" t="s">
        <v>235</v>
      </c>
      <c r="M17" s="105">
        <f>IF($F17="","",$F17+ROW()/100000)</f>
        <v>47949.00017</v>
      </c>
    </row>
    <row r="18" spans="1:13">
      <c r="A18" s="54" t="s">
        <v>174</v>
      </c>
      <c r="B18" s="54" t="s">
        <v>249</v>
      </c>
      <c r="C18" s="52">
        <f>TODAY()-(420)</f>
        <v>45877.0</v>
      </c>
      <c r="D18" s="83">
        <f>IF($B18="","",IFERROR(IF(VLOOKUP($B18,Reference!$A$6:$C$27,3,FALSE)&gt;0,VLOOKUP($B18,Reference!$A$6:$C$27,3,FALSE),""),""))</f>
        <v>12</v>
      </c>
      <c r="E18" s="53"/>
      <c r="F18" s="82">
        <f>IF(OR($A18="",$B18="",NOT(ISNUMBER($C18))),"",IF(ISNUMBER($E18),IF($E18&gt;0,EDATE($C18,$E18),""),IF(ISNUMBER($D18),EDATE($C18,$D18),"")))</f>
        <v>46242.0</v>
      </c>
      <c r="G18" s="83">
        <f>IF($F18="","",$F18-TODAY())</f>
        <v>-55</v>
      </c>
      <c r="H18" s="85" t="str">
        <f>IF(OR($A18="",$B18=""),"",IF($F18="","No date",IF($G18&lt;0,"Overdue",IF($G18&lt;=30,"Due &lt;=30",IF($G18&lt;=60,"Due 31-60","OK")))))</f>
        <v>Overdue</v>
      </c>
      <c r="I18" s="54"/>
      <c r="J18" s="54"/>
      <c r="K18" s="54"/>
      <c r="L18" s="54" t="s">
        <v>224</v>
      </c>
      <c r="M18" s="105">
        <f>IF($F18="","",$F18+ROW()/100000)</f>
        <v>46242.00018</v>
      </c>
    </row>
    <row r="19" spans="1:13">
      <c r="A19" s="54" t="s">
        <v>174</v>
      </c>
      <c r="B19" s="54" t="s">
        <v>239</v>
      </c>
      <c r="C19" s="52">
        <f>TODAY()-(345)</f>
        <v>45952.0</v>
      </c>
      <c r="D19" s="83">
        <f>IF($B19="","",IFERROR(IF(VLOOKUP($B19,Reference!$A$6:$C$27,3,FALSE)&gt;0,VLOOKUP($B19,Reference!$A$6:$C$27,3,FALSE),""),""))</f>
        <v>12</v>
      </c>
      <c r="E19" s="53"/>
      <c r="F19" s="82">
        <f>IF(OR($A19="",$B19="",NOT(ISNUMBER($C19))),"",IF(ISNUMBER($E19),IF($E19&gt;0,EDATE($C19,$E19),""),IF(ISNUMBER($D19),EDATE($C19,$D19),"")))</f>
        <v>46317.0</v>
      </c>
      <c r="G19" s="83">
        <f>IF($F19="","",$F19-TODAY())</f>
        <v>20</v>
      </c>
      <c r="H19" s="85" t="str">
        <f>IF(OR($A19="",$B19=""),"",IF($F19="","No date",IF($G19&lt;0,"Overdue",IF($G19&lt;=30,"Due &lt;=30",IF($G19&lt;=60,"Due 31-60","OK")))))</f>
        <v>Due &lt;=30</v>
      </c>
      <c r="I19" s="54" t="s">
        <v>230</v>
      </c>
      <c r="J19" s="54" t="s">
        <v>250</v>
      </c>
      <c r="K19" s="54"/>
      <c r="L19" s="54" t="s">
        <v>238</v>
      </c>
      <c r="M19" s="105">
        <f>IF($F19="","",$F19+ROW()/100000)</f>
        <v>46317.00019</v>
      </c>
    </row>
    <row r="20" spans="1:13">
      <c r="A20" s="54" t="s">
        <v>174</v>
      </c>
      <c r="B20" s="54" t="s">
        <v>242</v>
      </c>
      <c r="C20" s="52">
        <f>TODAY()-(1786)</f>
        <v>44511.0</v>
      </c>
      <c r="D20" s="83">
        <f>IF($B20="","",IFERROR(IF(VLOOKUP($B20,Reference!$A$6:$C$27,3,FALSE)&gt;0,VLOOKUP($B20,Reference!$A$6:$C$27,3,FALSE),""),""))</f>
        <v>60</v>
      </c>
      <c r="E20" s="53"/>
      <c r="F20" s="82">
        <f>IF(OR($A20="",$B20="",NOT(ISNUMBER($C20))),"",IF(ISNUMBER($E20),IF($E20&gt;0,EDATE($C20,$E20),""),IF(ISNUMBER($D20),EDATE($C20,$D20),"")))</f>
        <v>46337.0</v>
      </c>
      <c r="G20" s="83">
        <f>IF($F20="","",$F20-TODAY())</f>
        <v>40</v>
      </c>
      <c r="H20" s="85" t="str">
        <f>IF(OR($A20="",$B20=""),"",IF($F20="","No date",IF($G20&lt;0,"Overdue",IF($G20&lt;=30,"Due &lt;=30",IF($G20&lt;=60,"Due 31-60","OK")))))</f>
        <v>Due 31-60</v>
      </c>
      <c r="I20" s="54"/>
      <c r="J20" s="54" t="s">
        <v>205</v>
      </c>
      <c r="K20" s="54"/>
      <c r="L20" s="54" t="s">
        <v>251</v>
      </c>
      <c r="M20" s="105">
        <f>IF($F20="","",$F20+ROW()/100000)</f>
        <v>46337.0002</v>
      </c>
    </row>
    <row r="21" spans="1:13">
      <c r="A21" s="54"/>
      <c r="B21" s="54"/>
      <c r="C21" s="52"/>
      <c r="D21" s="83">
        <f>IF($B21="","",IFERROR(IF(VLOOKUP($B21,Reference!$A$6:$C$27,3,FALSE)&gt;0,VLOOKUP($B21,Reference!$A$6:$C$27,3,FALSE),""),""))</f>
        <v/>
      </c>
      <c r="E21" s="53"/>
      <c r="F21" s="82">
        <f>IF(OR($A21="",$B21="",NOT(ISNUMBER($C21))),"",IF(ISNUMBER($E21),IF($E21&gt;0,EDATE($C21,$E21),""),IF(ISNUMBER($D21),EDATE($C21,$D21),"")))</f>
        <v/>
      </c>
      <c r="G21" s="83">
        <f>IF($F21="","",$F21-TODAY())</f>
        <v/>
      </c>
      <c r="H21" s="85">
        <f>IF(OR($A21="",$B21=""),"",IF($F21="","No date",IF($G21&lt;0,"Overdue",IF($G21&lt;=30,"Due &lt;=30",IF($G21&lt;=60,"Due 31-60","OK")))))</f>
        <v/>
      </c>
      <c r="I21" s="54"/>
      <c r="J21" s="54"/>
      <c r="K21" s="54"/>
      <c r="L21" s="54"/>
      <c r="M21" s="105">
        <f>IF($F21="","",$F21+ROW()/100000)</f>
        <v/>
      </c>
    </row>
    <row r="22" spans="1:13">
      <c r="A22" s="54"/>
      <c r="B22" s="54"/>
      <c r="C22" s="52"/>
      <c r="D22" s="83">
        <f>IF($B22="","",IFERROR(IF(VLOOKUP($B22,Reference!$A$6:$C$27,3,FALSE)&gt;0,VLOOKUP($B22,Reference!$A$6:$C$27,3,FALSE),""),""))</f>
        <v/>
      </c>
      <c r="E22" s="53"/>
      <c r="F22" s="82">
        <f>IF(OR($A22="",$B22="",NOT(ISNUMBER($C22))),"",IF(ISNUMBER($E22),IF($E22&gt;0,EDATE($C22,$E22),""),IF(ISNUMBER($D22),EDATE($C22,$D22),"")))</f>
        <v/>
      </c>
      <c r="G22" s="83">
        <f>IF($F22="","",$F22-TODAY())</f>
        <v/>
      </c>
      <c r="H22" s="85">
        <f>IF(OR($A22="",$B22=""),"",IF($F22="","No date",IF($G22&lt;0,"Overdue",IF($G22&lt;=30,"Due &lt;=30",IF($G22&lt;=60,"Due 31-60","OK")))))</f>
        <v/>
      </c>
      <c r="I22" s="54"/>
      <c r="J22" s="54"/>
      <c r="K22" s="54"/>
      <c r="L22" s="54"/>
      <c r="M22" s="105">
        <f>IF($F22="","",$F22+ROW()/100000)</f>
        <v/>
      </c>
    </row>
    <row r="23" spans="1:13">
      <c r="A23" s="54"/>
      <c r="B23" s="54"/>
      <c r="C23" s="52"/>
      <c r="D23" s="83">
        <f>IF($B23="","",IFERROR(IF(VLOOKUP($B23,Reference!$A$6:$C$27,3,FALSE)&gt;0,VLOOKUP($B23,Reference!$A$6:$C$27,3,FALSE),""),""))</f>
        <v/>
      </c>
      <c r="E23" s="53"/>
      <c r="F23" s="82">
        <f>IF(OR($A23="",$B23="",NOT(ISNUMBER($C23))),"",IF(ISNUMBER($E23),IF($E23&gt;0,EDATE($C23,$E23),""),IF(ISNUMBER($D23),EDATE($C23,$D23),"")))</f>
        <v/>
      </c>
      <c r="G23" s="83">
        <f>IF($F23="","",$F23-TODAY())</f>
        <v/>
      </c>
      <c r="H23" s="85">
        <f>IF(OR($A23="",$B23=""),"",IF($F23="","No date",IF($G23&lt;0,"Overdue",IF($G23&lt;=30,"Due &lt;=30",IF($G23&lt;=60,"Due 31-60","OK")))))</f>
        <v/>
      </c>
      <c r="I23" s="54"/>
      <c r="J23" s="54"/>
      <c r="K23" s="54"/>
      <c r="L23" s="54"/>
      <c r="M23" s="105">
        <f>IF($F23="","",$F23+ROW()/100000)</f>
        <v/>
      </c>
    </row>
    <row r="24" spans="1:13">
      <c r="A24" s="54"/>
      <c r="B24" s="54"/>
      <c r="C24" s="52"/>
      <c r="D24" s="83">
        <f>IF($B24="","",IFERROR(IF(VLOOKUP($B24,Reference!$A$6:$C$27,3,FALSE)&gt;0,VLOOKUP($B24,Reference!$A$6:$C$27,3,FALSE),""),""))</f>
        <v/>
      </c>
      <c r="E24" s="53"/>
      <c r="F24" s="82">
        <f>IF(OR($A24="",$B24="",NOT(ISNUMBER($C24))),"",IF(ISNUMBER($E24),IF($E24&gt;0,EDATE($C24,$E24),""),IF(ISNUMBER($D24),EDATE($C24,$D24),"")))</f>
        <v/>
      </c>
      <c r="G24" s="83">
        <f>IF($F24="","",$F24-TODAY())</f>
        <v/>
      </c>
      <c r="H24" s="85">
        <f>IF(OR($A24="",$B24=""),"",IF($F24="","No date",IF($G24&lt;0,"Overdue",IF($G24&lt;=30,"Due &lt;=30",IF($G24&lt;=60,"Due 31-60","OK")))))</f>
        <v/>
      </c>
      <c r="I24" s="54"/>
      <c r="J24" s="54"/>
      <c r="K24" s="54"/>
      <c r="L24" s="54"/>
      <c r="M24" s="105">
        <f>IF($F24="","",$F24+ROW()/100000)</f>
        <v/>
      </c>
    </row>
    <row r="25" spans="1:13">
      <c r="A25" s="54"/>
      <c r="B25" s="54"/>
      <c r="C25" s="52"/>
      <c r="D25" s="83">
        <f>IF($B25="","",IFERROR(IF(VLOOKUP($B25,Reference!$A$6:$C$27,3,FALSE)&gt;0,VLOOKUP($B25,Reference!$A$6:$C$27,3,FALSE),""),""))</f>
        <v/>
      </c>
      <c r="E25" s="53"/>
      <c r="F25" s="82">
        <f>IF(OR($A25="",$B25="",NOT(ISNUMBER($C25))),"",IF(ISNUMBER($E25),IF($E25&gt;0,EDATE($C25,$E25),""),IF(ISNUMBER($D25),EDATE($C25,$D25),"")))</f>
        <v/>
      </c>
      <c r="G25" s="83">
        <f>IF($F25="","",$F25-TODAY())</f>
        <v/>
      </c>
      <c r="H25" s="85">
        <f>IF(OR($A25="",$B25=""),"",IF($F25="","No date",IF($G25&lt;0,"Overdue",IF($G25&lt;=30,"Due &lt;=30",IF($G25&lt;=60,"Due 31-60","OK")))))</f>
        <v/>
      </c>
      <c r="I25" s="54"/>
      <c r="J25" s="54"/>
      <c r="K25" s="54"/>
      <c r="L25" s="54"/>
      <c r="M25" s="105">
        <f>IF($F25="","",$F25+ROW()/100000)</f>
        <v/>
      </c>
    </row>
    <row r="26" spans="1:13">
      <c r="A26" s="54"/>
      <c r="B26" s="54"/>
      <c r="C26" s="52"/>
      <c r="D26" s="83">
        <f>IF($B26="","",IFERROR(IF(VLOOKUP($B26,Reference!$A$6:$C$27,3,FALSE)&gt;0,VLOOKUP($B26,Reference!$A$6:$C$27,3,FALSE),""),""))</f>
        <v/>
      </c>
      <c r="E26" s="53"/>
      <c r="F26" s="82">
        <f>IF(OR($A26="",$B26="",NOT(ISNUMBER($C26))),"",IF(ISNUMBER($E26),IF($E26&gt;0,EDATE($C26,$E26),""),IF(ISNUMBER($D26),EDATE($C26,$D26),"")))</f>
        <v/>
      </c>
      <c r="G26" s="83">
        <f>IF($F26="","",$F26-TODAY())</f>
        <v/>
      </c>
      <c r="H26" s="85">
        <f>IF(OR($A26="",$B26=""),"",IF($F26="","No date",IF($G26&lt;0,"Overdue",IF($G26&lt;=30,"Due &lt;=30",IF($G26&lt;=60,"Due 31-60","OK")))))</f>
        <v/>
      </c>
      <c r="I26" s="54"/>
      <c r="J26" s="54"/>
      <c r="K26" s="54"/>
      <c r="L26" s="54"/>
      <c r="M26" s="105">
        <f>IF($F26="","",$F26+ROW()/100000)</f>
        <v/>
      </c>
    </row>
    <row r="27" spans="1:13">
      <c r="A27" s="54"/>
      <c r="B27" s="54"/>
      <c r="C27" s="52"/>
      <c r="D27" s="83">
        <f>IF($B27="","",IFERROR(IF(VLOOKUP($B27,Reference!$A$6:$C$27,3,FALSE)&gt;0,VLOOKUP($B27,Reference!$A$6:$C$27,3,FALSE),""),""))</f>
        <v/>
      </c>
      <c r="E27" s="53"/>
      <c r="F27" s="82">
        <f>IF(OR($A27="",$B27="",NOT(ISNUMBER($C27))),"",IF(ISNUMBER($E27),IF($E27&gt;0,EDATE($C27,$E27),""),IF(ISNUMBER($D27),EDATE($C27,$D27),"")))</f>
        <v/>
      </c>
      <c r="G27" s="83">
        <f>IF($F27="","",$F27-TODAY())</f>
        <v/>
      </c>
      <c r="H27" s="85">
        <f>IF(OR($A27="",$B27=""),"",IF($F27="","No date",IF($G27&lt;0,"Overdue",IF($G27&lt;=30,"Due &lt;=30",IF($G27&lt;=60,"Due 31-60","OK")))))</f>
        <v/>
      </c>
      <c r="I27" s="54"/>
      <c r="J27" s="54"/>
      <c r="K27" s="54"/>
      <c r="L27" s="54"/>
      <c r="M27" s="105">
        <f>IF($F27="","",$F27+ROW()/100000)</f>
        <v/>
      </c>
    </row>
    <row r="28" spans="1:13">
      <c r="A28" s="54"/>
      <c r="B28" s="54"/>
      <c r="C28" s="52"/>
      <c r="D28" s="83">
        <f>IF($B28="","",IFERROR(IF(VLOOKUP($B28,Reference!$A$6:$C$27,3,FALSE)&gt;0,VLOOKUP($B28,Reference!$A$6:$C$27,3,FALSE),""),""))</f>
        <v/>
      </c>
      <c r="E28" s="53"/>
      <c r="F28" s="82">
        <f>IF(OR($A28="",$B28="",NOT(ISNUMBER($C28))),"",IF(ISNUMBER($E28),IF($E28&gt;0,EDATE($C28,$E28),""),IF(ISNUMBER($D28),EDATE($C28,$D28),"")))</f>
        <v/>
      </c>
      <c r="G28" s="83">
        <f>IF($F28="","",$F28-TODAY())</f>
        <v/>
      </c>
      <c r="H28" s="85">
        <f>IF(OR($A28="",$B28=""),"",IF($F28="","No date",IF($G28&lt;0,"Overdue",IF($G28&lt;=30,"Due &lt;=30",IF($G28&lt;=60,"Due 31-60","OK")))))</f>
        <v/>
      </c>
      <c r="I28" s="54"/>
      <c r="J28" s="54"/>
      <c r="K28" s="54"/>
      <c r="L28" s="54"/>
      <c r="M28" s="105">
        <f>IF($F28="","",$F28+ROW()/100000)</f>
        <v/>
      </c>
    </row>
    <row r="29" spans="1:13">
      <c r="A29" s="54"/>
      <c r="B29" s="54"/>
      <c r="C29" s="52"/>
      <c r="D29" s="83">
        <f>IF($B29="","",IFERROR(IF(VLOOKUP($B29,Reference!$A$6:$C$27,3,FALSE)&gt;0,VLOOKUP($B29,Reference!$A$6:$C$27,3,FALSE),""),""))</f>
        <v/>
      </c>
      <c r="E29" s="53"/>
      <c r="F29" s="82">
        <f>IF(OR($A29="",$B29="",NOT(ISNUMBER($C29))),"",IF(ISNUMBER($E29),IF($E29&gt;0,EDATE($C29,$E29),""),IF(ISNUMBER($D29),EDATE($C29,$D29),"")))</f>
        <v/>
      </c>
      <c r="G29" s="83">
        <f>IF($F29="","",$F29-TODAY())</f>
        <v/>
      </c>
      <c r="H29" s="85">
        <f>IF(OR($A29="",$B29=""),"",IF($F29="","No date",IF($G29&lt;0,"Overdue",IF($G29&lt;=30,"Due &lt;=30",IF($G29&lt;=60,"Due 31-60","OK")))))</f>
        <v/>
      </c>
      <c r="I29" s="54"/>
      <c r="J29" s="54"/>
      <c r="K29" s="54"/>
      <c r="L29" s="54"/>
      <c r="M29" s="105">
        <f>IF($F29="","",$F29+ROW()/100000)</f>
        <v/>
      </c>
    </row>
    <row r="30" spans="1:13">
      <c r="A30" s="54"/>
      <c r="B30" s="54"/>
      <c r="C30" s="52"/>
      <c r="D30" s="83">
        <f>IF($B30="","",IFERROR(IF(VLOOKUP($B30,Reference!$A$6:$C$27,3,FALSE)&gt;0,VLOOKUP($B30,Reference!$A$6:$C$27,3,FALSE),""),""))</f>
        <v/>
      </c>
      <c r="E30" s="53"/>
      <c r="F30" s="82">
        <f>IF(OR($A30="",$B30="",NOT(ISNUMBER($C30))),"",IF(ISNUMBER($E30),IF($E30&gt;0,EDATE($C30,$E30),""),IF(ISNUMBER($D30),EDATE($C30,$D30),"")))</f>
        <v/>
      </c>
      <c r="G30" s="83">
        <f>IF($F30="","",$F30-TODAY())</f>
        <v/>
      </c>
      <c r="H30" s="85">
        <f>IF(OR($A30="",$B30=""),"",IF($F30="","No date",IF($G30&lt;0,"Overdue",IF($G30&lt;=30,"Due &lt;=30",IF($G30&lt;=60,"Due 31-60","OK")))))</f>
        <v/>
      </c>
      <c r="I30" s="54"/>
      <c r="J30" s="54"/>
      <c r="K30" s="54"/>
      <c r="L30" s="54"/>
      <c r="M30" s="105">
        <f>IF($F30="","",$F30+ROW()/100000)</f>
        <v/>
      </c>
    </row>
    <row r="31" spans="1:13">
      <c r="A31" s="54"/>
      <c r="B31" s="54"/>
      <c r="C31" s="52"/>
      <c r="D31" s="83">
        <f>IF($B31="","",IFERROR(IF(VLOOKUP($B31,Reference!$A$6:$C$27,3,FALSE)&gt;0,VLOOKUP($B31,Reference!$A$6:$C$27,3,FALSE),""),""))</f>
        <v/>
      </c>
      <c r="E31" s="53"/>
      <c r="F31" s="82">
        <f>IF(OR($A31="",$B31="",NOT(ISNUMBER($C31))),"",IF(ISNUMBER($E31),IF($E31&gt;0,EDATE($C31,$E31),""),IF(ISNUMBER($D31),EDATE($C31,$D31),"")))</f>
        <v/>
      </c>
      <c r="G31" s="83">
        <f>IF($F31="","",$F31-TODAY())</f>
        <v/>
      </c>
      <c r="H31" s="85">
        <f>IF(OR($A31="",$B31=""),"",IF($F31="","No date",IF($G31&lt;0,"Overdue",IF($G31&lt;=30,"Due &lt;=30",IF($G31&lt;=60,"Due 31-60","OK")))))</f>
        <v/>
      </c>
      <c r="I31" s="54"/>
      <c r="J31" s="54"/>
      <c r="K31" s="54"/>
      <c r="L31" s="54"/>
      <c r="M31" s="105">
        <f>IF($F31="","",$F31+ROW()/100000)</f>
        <v/>
      </c>
    </row>
    <row r="32" spans="1:13">
      <c r="A32" s="54"/>
      <c r="B32" s="54"/>
      <c r="C32" s="52"/>
      <c r="D32" s="83">
        <f>IF($B32="","",IFERROR(IF(VLOOKUP($B32,Reference!$A$6:$C$27,3,FALSE)&gt;0,VLOOKUP($B32,Reference!$A$6:$C$27,3,FALSE),""),""))</f>
        <v/>
      </c>
      <c r="E32" s="53"/>
      <c r="F32" s="82">
        <f>IF(OR($A32="",$B32="",NOT(ISNUMBER($C32))),"",IF(ISNUMBER($E32),IF($E32&gt;0,EDATE($C32,$E32),""),IF(ISNUMBER($D32),EDATE($C32,$D32),"")))</f>
        <v/>
      </c>
      <c r="G32" s="83">
        <f>IF($F32="","",$F32-TODAY())</f>
        <v/>
      </c>
      <c r="H32" s="85">
        <f>IF(OR($A32="",$B32=""),"",IF($F32="","No date",IF($G32&lt;0,"Overdue",IF($G32&lt;=30,"Due &lt;=30",IF($G32&lt;=60,"Due 31-60","OK")))))</f>
        <v/>
      </c>
      <c r="I32" s="54"/>
      <c r="J32" s="54"/>
      <c r="K32" s="54"/>
      <c r="L32" s="54"/>
      <c r="M32" s="105">
        <f>IF($F32="","",$F32+ROW()/100000)</f>
        <v/>
      </c>
    </row>
    <row r="33" spans="1:13">
      <c r="A33" s="54"/>
      <c r="B33" s="54"/>
      <c r="C33" s="52"/>
      <c r="D33" s="83">
        <f>IF($B33="","",IFERROR(IF(VLOOKUP($B33,Reference!$A$6:$C$27,3,FALSE)&gt;0,VLOOKUP($B33,Reference!$A$6:$C$27,3,FALSE),""),""))</f>
        <v/>
      </c>
      <c r="E33" s="53"/>
      <c r="F33" s="82">
        <f>IF(OR($A33="",$B33="",NOT(ISNUMBER($C33))),"",IF(ISNUMBER($E33),IF($E33&gt;0,EDATE($C33,$E33),""),IF(ISNUMBER($D33),EDATE($C33,$D33),"")))</f>
        <v/>
      </c>
      <c r="G33" s="83">
        <f>IF($F33="","",$F33-TODAY())</f>
        <v/>
      </c>
      <c r="H33" s="85">
        <f>IF(OR($A33="",$B33=""),"",IF($F33="","No date",IF($G33&lt;0,"Overdue",IF($G33&lt;=30,"Due &lt;=30",IF($G33&lt;=60,"Due 31-60","OK")))))</f>
        <v/>
      </c>
      <c r="I33" s="54"/>
      <c r="J33" s="54"/>
      <c r="K33" s="54"/>
      <c r="L33" s="54"/>
      <c r="M33" s="105">
        <f>IF($F33="","",$F33+ROW()/100000)</f>
        <v/>
      </c>
    </row>
    <row r="34" spans="1:13">
      <c r="A34" s="54"/>
      <c r="B34" s="54"/>
      <c r="C34" s="52"/>
      <c r="D34" s="83">
        <f>IF($B34="","",IFERROR(IF(VLOOKUP($B34,Reference!$A$6:$C$27,3,FALSE)&gt;0,VLOOKUP($B34,Reference!$A$6:$C$27,3,FALSE),""),""))</f>
        <v/>
      </c>
      <c r="E34" s="53"/>
      <c r="F34" s="82">
        <f>IF(OR($A34="",$B34="",NOT(ISNUMBER($C34))),"",IF(ISNUMBER($E34),IF($E34&gt;0,EDATE($C34,$E34),""),IF(ISNUMBER($D34),EDATE($C34,$D34),"")))</f>
        <v/>
      </c>
      <c r="G34" s="83">
        <f>IF($F34="","",$F34-TODAY())</f>
        <v/>
      </c>
      <c r="H34" s="85">
        <f>IF(OR($A34="",$B34=""),"",IF($F34="","No date",IF($G34&lt;0,"Overdue",IF($G34&lt;=30,"Due &lt;=30",IF($G34&lt;=60,"Due 31-60","OK")))))</f>
        <v/>
      </c>
      <c r="I34" s="54"/>
      <c r="J34" s="54"/>
      <c r="K34" s="54"/>
      <c r="L34" s="54"/>
      <c r="M34" s="105">
        <f>IF($F34="","",$F34+ROW()/100000)</f>
        <v/>
      </c>
    </row>
    <row r="35" spans="1:13">
      <c r="A35" s="54"/>
      <c r="B35" s="54"/>
      <c r="C35" s="52"/>
      <c r="D35" s="83">
        <f>IF($B35="","",IFERROR(IF(VLOOKUP($B35,Reference!$A$6:$C$27,3,FALSE)&gt;0,VLOOKUP($B35,Reference!$A$6:$C$27,3,FALSE),""),""))</f>
        <v/>
      </c>
      <c r="E35" s="53"/>
      <c r="F35" s="82">
        <f>IF(OR($A35="",$B35="",NOT(ISNUMBER($C35))),"",IF(ISNUMBER($E35),IF($E35&gt;0,EDATE($C35,$E35),""),IF(ISNUMBER($D35),EDATE($C35,$D35),"")))</f>
        <v/>
      </c>
      <c r="G35" s="83">
        <f>IF($F35="","",$F35-TODAY())</f>
        <v/>
      </c>
      <c r="H35" s="85">
        <f>IF(OR($A35="",$B35=""),"",IF($F35="","No date",IF($G35&lt;0,"Overdue",IF($G35&lt;=30,"Due &lt;=30",IF($G35&lt;=60,"Due 31-60","OK")))))</f>
        <v/>
      </c>
      <c r="I35" s="54"/>
      <c r="J35" s="54"/>
      <c r="K35" s="54"/>
      <c r="L35" s="54"/>
      <c r="M35" s="105">
        <f>IF($F35="","",$F35+ROW()/100000)</f>
        <v/>
      </c>
    </row>
    <row r="36" spans="1:13">
      <c r="A36" s="54"/>
      <c r="B36" s="54"/>
      <c r="C36" s="52"/>
      <c r="D36" s="83">
        <f>IF($B36="","",IFERROR(IF(VLOOKUP($B36,Reference!$A$6:$C$27,3,FALSE)&gt;0,VLOOKUP($B36,Reference!$A$6:$C$27,3,FALSE),""),""))</f>
        <v/>
      </c>
      <c r="E36" s="53"/>
      <c r="F36" s="82">
        <f>IF(OR($A36="",$B36="",NOT(ISNUMBER($C36))),"",IF(ISNUMBER($E36),IF($E36&gt;0,EDATE($C36,$E36),""),IF(ISNUMBER($D36),EDATE($C36,$D36),"")))</f>
        <v/>
      </c>
      <c r="G36" s="83">
        <f>IF($F36="","",$F36-TODAY())</f>
        <v/>
      </c>
      <c r="H36" s="85">
        <f>IF(OR($A36="",$B36=""),"",IF($F36="","No date",IF($G36&lt;0,"Overdue",IF($G36&lt;=30,"Due &lt;=30",IF($G36&lt;=60,"Due 31-60","OK")))))</f>
        <v/>
      </c>
      <c r="I36" s="54"/>
      <c r="J36" s="54"/>
      <c r="K36" s="54"/>
      <c r="L36" s="54"/>
      <c r="M36" s="105">
        <f>IF($F36="","",$F36+ROW()/100000)</f>
        <v/>
      </c>
    </row>
    <row r="37" spans="1:13">
      <c r="A37" s="54"/>
      <c r="B37" s="54"/>
      <c r="C37" s="52"/>
      <c r="D37" s="83">
        <f>IF($B37="","",IFERROR(IF(VLOOKUP($B37,Reference!$A$6:$C$27,3,FALSE)&gt;0,VLOOKUP($B37,Reference!$A$6:$C$27,3,FALSE),""),""))</f>
        <v/>
      </c>
      <c r="E37" s="53"/>
      <c r="F37" s="82">
        <f>IF(OR($A37="",$B37="",NOT(ISNUMBER($C37))),"",IF(ISNUMBER($E37),IF($E37&gt;0,EDATE($C37,$E37),""),IF(ISNUMBER($D37),EDATE($C37,$D37),"")))</f>
        <v/>
      </c>
      <c r="G37" s="83">
        <f>IF($F37="","",$F37-TODAY())</f>
        <v/>
      </c>
      <c r="H37" s="85">
        <f>IF(OR($A37="",$B37=""),"",IF($F37="","No date",IF($G37&lt;0,"Overdue",IF($G37&lt;=30,"Due &lt;=30",IF($G37&lt;=60,"Due 31-60","OK")))))</f>
        <v/>
      </c>
      <c r="I37" s="54"/>
      <c r="J37" s="54"/>
      <c r="K37" s="54"/>
      <c r="L37" s="54"/>
      <c r="M37" s="105">
        <f>IF($F37="","",$F37+ROW()/100000)</f>
        <v/>
      </c>
    </row>
    <row r="38" spans="1:13">
      <c r="A38" s="54"/>
      <c r="B38" s="54"/>
      <c r="C38" s="52"/>
      <c r="D38" s="83">
        <f>IF($B38="","",IFERROR(IF(VLOOKUP($B38,Reference!$A$6:$C$27,3,FALSE)&gt;0,VLOOKUP($B38,Reference!$A$6:$C$27,3,FALSE),""),""))</f>
        <v/>
      </c>
      <c r="E38" s="53"/>
      <c r="F38" s="82">
        <f>IF(OR($A38="",$B38="",NOT(ISNUMBER($C38))),"",IF(ISNUMBER($E38),IF($E38&gt;0,EDATE($C38,$E38),""),IF(ISNUMBER($D38),EDATE($C38,$D38),"")))</f>
        <v/>
      </c>
      <c r="G38" s="83">
        <f>IF($F38="","",$F38-TODAY())</f>
        <v/>
      </c>
      <c r="H38" s="85">
        <f>IF(OR($A38="",$B38=""),"",IF($F38="","No date",IF($G38&lt;0,"Overdue",IF($G38&lt;=30,"Due &lt;=30",IF($G38&lt;=60,"Due 31-60","OK")))))</f>
        <v/>
      </c>
      <c r="I38" s="54"/>
      <c r="J38" s="54"/>
      <c r="K38" s="54"/>
      <c r="L38" s="54"/>
      <c r="M38" s="105">
        <f>IF($F38="","",$F38+ROW()/100000)</f>
        <v/>
      </c>
    </row>
    <row r="39" spans="1:13">
      <c r="A39" s="54"/>
      <c r="B39" s="54"/>
      <c r="C39" s="52"/>
      <c r="D39" s="83">
        <f>IF($B39="","",IFERROR(IF(VLOOKUP($B39,Reference!$A$6:$C$27,3,FALSE)&gt;0,VLOOKUP($B39,Reference!$A$6:$C$27,3,FALSE),""),""))</f>
        <v/>
      </c>
      <c r="E39" s="53"/>
      <c r="F39" s="82">
        <f>IF(OR($A39="",$B39="",NOT(ISNUMBER($C39))),"",IF(ISNUMBER($E39),IF($E39&gt;0,EDATE($C39,$E39),""),IF(ISNUMBER($D39),EDATE($C39,$D39),"")))</f>
        <v/>
      </c>
      <c r="G39" s="83">
        <f>IF($F39="","",$F39-TODAY())</f>
        <v/>
      </c>
      <c r="H39" s="85">
        <f>IF(OR($A39="",$B39=""),"",IF($F39="","No date",IF($G39&lt;0,"Overdue",IF($G39&lt;=30,"Due &lt;=30",IF($G39&lt;=60,"Due 31-60","OK")))))</f>
        <v/>
      </c>
      <c r="I39" s="54"/>
      <c r="J39" s="54"/>
      <c r="K39" s="54"/>
      <c r="L39" s="54"/>
      <c r="M39" s="105">
        <f>IF($F39="","",$F39+ROW()/100000)</f>
        <v/>
      </c>
    </row>
    <row r="40" spans="1:13">
      <c r="A40" s="54"/>
      <c r="B40" s="54"/>
      <c r="C40" s="52"/>
      <c r="D40" s="83">
        <f>IF($B40="","",IFERROR(IF(VLOOKUP($B40,Reference!$A$6:$C$27,3,FALSE)&gt;0,VLOOKUP($B40,Reference!$A$6:$C$27,3,FALSE),""),""))</f>
        <v/>
      </c>
      <c r="E40" s="53"/>
      <c r="F40" s="82">
        <f>IF(OR($A40="",$B40="",NOT(ISNUMBER($C40))),"",IF(ISNUMBER($E40),IF($E40&gt;0,EDATE($C40,$E40),""),IF(ISNUMBER($D40),EDATE($C40,$D40),"")))</f>
        <v/>
      </c>
      <c r="G40" s="83">
        <f>IF($F40="","",$F40-TODAY())</f>
        <v/>
      </c>
      <c r="H40" s="85">
        <f>IF(OR($A40="",$B40=""),"",IF($F40="","No date",IF($G40&lt;0,"Overdue",IF($G40&lt;=30,"Due &lt;=30",IF($G40&lt;=60,"Due 31-60","OK")))))</f>
        <v/>
      </c>
      <c r="I40" s="54"/>
      <c r="J40" s="54"/>
      <c r="K40" s="54"/>
      <c r="L40" s="54"/>
      <c r="M40" s="105">
        <f>IF($F40="","",$F40+ROW()/100000)</f>
        <v/>
      </c>
    </row>
    <row r="41" spans="1:13">
      <c r="A41" s="54"/>
      <c r="B41" s="54"/>
      <c r="C41" s="52"/>
      <c r="D41" s="83">
        <f>IF($B41="","",IFERROR(IF(VLOOKUP($B41,Reference!$A$6:$C$27,3,FALSE)&gt;0,VLOOKUP($B41,Reference!$A$6:$C$27,3,FALSE),""),""))</f>
        <v/>
      </c>
      <c r="E41" s="53"/>
      <c r="F41" s="82">
        <f>IF(OR($A41="",$B41="",NOT(ISNUMBER($C41))),"",IF(ISNUMBER($E41),IF($E41&gt;0,EDATE($C41,$E41),""),IF(ISNUMBER($D41),EDATE($C41,$D41),"")))</f>
        <v/>
      </c>
      <c r="G41" s="83">
        <f>IF($F41="","",$F41-TODAY())</f>
        <v/>
      </c>
      <c r="H41" s="85">
        <f>IF(OR($A41="",$B41=""),"",IF($F41="","No date",IF($G41&lt;0,"Overdue",IF($G41&lt;=30,"Due &lt;=30",IF($G41&lt;=60,"Due 31-60","OK")))))</f>
        <v/>
      </c>
      <c r="I41" s="54"/>
      <c r="J41" s="54"/>
      <c r="K41" s="54"/>
      <c r="L41" s="54"/>
      <c r="M41" s="105">
        <f>IF($F41="","",$F41+ROW()/100000)</f>
        <v/>
      </c>
    </row>
    <row r="42" spans="1:13">
      <c r="A42" s="54"/>
      <c r="B42" s="54"/>
      <c r="C42" s="52"/>
      <c r="D42" s="83">
        <f>IF($B42="","",IFERROR(IF(VLOOKUP($B42,Reference!$A$6:$C$27,3,FALSE)&gt;0,VLOOKUP($B42,Reference!$A$6:$C$27,3,FALSE),""),""))</f>
        <v/>
      </c>
      <c r="E42" s="53"/>
      <c r="F42" s="82">
        <f>IF(OR($A42="",$B42="",NOT(ISNUMBER($C42))),"",IF(ISNUMBER($E42),IF($E42&gt;0,EDATE($C42,$E42),""),IF(ISNUMBER($D42),EDATE($C42,$D42),"")))</f>
        <v/>
      </c>
      <c r="G42" s="83">
        <f>IF($F42="","",$F42-TODAY())</f>
        <v/>
      </c>
      <c r="H42" s="85">
        <f>IF(OR($A42="",$B42=""),"",IF($F42="","No date",IF($G42&lt;0,"Overdue",IF($G42&lt;=30,"Due &lt;=30",IF($G42&lt;=60,"Due 31-60","OK")))))</f>
        <v/>
      </c>
      <c r="I42" s="54"/>
      <c r="J42" s="54"/>
      <c r="K42" s="54"/>
      <c r="L42" s="54"/>
      <c r="M42" s="105">
        <f>IF($F42="","",$F42+ROW()/100000)</f>
        <v/>
      </c>
    </row>
    <row r="43" spans="1:13">
      <c r="A43" s="54"/>
      <c r="B43" s="54"/>
      <c r="C43" s="52"/>
      <c r="D43" s="83">
        <f>IF($B43="","",IFERROR(IF(VLOOKUP($B43,Reference!$A$6:$C$27,3,FALSE)&gt;0,VLOOKUP($B43,Reference!$A$6:$C$27,3,FALSE),""),""))</f>
        <v/>
      </c>
      <c r="E43" s="53"/>
      <c r="F43" s="82">
        <f>IF(OR($A43="",$B43="",NOT(ISNUMBER($C43))),"",IF(ISNUMBER($E43),IF($E43&gt;0,EDATE($C43,$E43),""),IF(ISNUMBER($D43),EDATE($C43,$D43),"")))</f>
        <v/>
      </c>
      <c r="G43" s="83">
        <f>IF($F43="","",$F43-TODAY())</f>
        <v/>
      </c>
      <c r="H43" s="85">
        <f>IF(OR($A43="",$B43=""),"",IF($F43="","No date",IF($G43&lt;0,"Overdue",IF($G43&lt;=30,"Due &lt;=30",IF($G43&lt;=60,"Due 31-60","OK")))))</f>
        <v/>
      </c>
      <c r="I43" s="54"/>
      <c r="J43" s="54"/>
      <c r="K43" s="54"/>
      <c r="L43" s="54"/>
      <c r="M43" s="105">
        <f>IF($F43="","",$F43+ROW()/100000)</f>
        <v/>
      </c>
    </row>
    <row r="44" spans="1:13">
      <c r="A44" s="54"/>
      <c r="B44" s="54"/>
      <c r="C44" s="52"/>
      <c r="D44" s="83">
        <f>IF($B44="","",IFERROR(IF(VLOOKUP($B44,Reference!$A$6:$C$27,3,FALSE)&gt;0,VLOOKUP($B44,Reference!$A$6:$C$27,3,FALSE),""),""))</f>
        <v/>
      </c>
      <c r="E44" s="53"/>
      <c r="F44" s="82">
        <f>IF(OR($A44="",$B44="",NOT(ISNUMBER($C44))),"",IF(ISNUMBER($E44),IF($E44&gt;0,EDATE($C44,$E44),""),IF(ISNUMBER($D44),EDATE($C44,$D44),"")))</f>
        <v/>
      </c>
      <c r="G44" s="83">
        <f>IF($F44="","",$F44-TODAY())</f>
        <v/>
      </c>
      <c r="H44" s="85">
        <f>IF(OR($A44="",$B44=""),"",IF($F44="","No date",IF($G44&lt;0,"Overdue",IF($G44&lt;=30,"Due &lt;=30",IF($G44&lt;=60,"Due 31-60","OK")))))</f>
        <v/>
      </c>
      <c r="I44" s="54"/>
      <c r="J44" s="54"/>
      <c r="K44" s="54"/>
      <c r="L44" s="54"/>
      <c r="M44" s="105">
        <f>IF($F44="","",$F44+ROW()/100000)</f>
        <v/>
      </c>
    </row>
    <row r="45" spans="1:13">
      <c r="A45" s="54"/>
      <c r="B45" s="54"/>
      <c r="C45" s="52"/>
      <c r="D45" s="83">
        <f>IF($B45="","",IFERROR(IF(VLOOKUP($B45,Reference!$A$6:$C$27,3,FALSE)&gt;0,VLOOKUP($B45,Reference!$A$6:$C$27,3,FALSE),""),""))</f>
        <v/>
      </c>
      <c r="E45" s="53"/>
      <c r="F45" s="82">
        <f>IF(OR($A45="",$B45="",NOT(ISNUMBER($C45))),"",IF(ISNUMBER($E45),IF($E45&gt;0,EDATE($C45,$E45),""),IF(ISNUMBER($D45),EDATE($C45,$D45),"")))</f>
        <v/>
      </c>
      <c r="G45" s="83">
        <f>IF($F45="","",$F45-TODAY())</f>
        <v/>
      </c>
      <c r="H45" s="85">
        <f>IF(OR($A45="",$B45=""),"",IF($F45="","No date",IF($G45&lt;0,"Overdue",IF($G45&lt;=30,"Due &lt;=30",IF($G45&lt;=60,"Due 31-60","OK")))))</f>
        <v/>
      </c>
      <c r="I45" s="54"/>
      <c r="J45" s="54"/>
      <c r="K45" s="54"/>
      <c r="L45" s="54"/>
      <c r="M45" s="105">
        <f>IF($F45="","",$F45+ROW()/100000)</f>
        <v/>
      </c>
    </row>
    <row r="46" spans="1:13">
      <c r="A46" s="54"/>
      <c r="B46" s="54"/>
      <c r="C46" s="52"/>
      <c r="D46" s="83">
        <f>IF($B46="","",IFERROR(IF(VLOOKUP($B46,Reference!$A$6:$C$27,3,FALSE)&gt;0,VLOOKUP($B46,Reference!$A$6:$C$27,3,FALSE),""),""))</f>
        <v/>
      </c>
      <c r="E46" s="53"/>
      <c r="F46" s="82">
        <f>IF(OR($A46="",$B46="",NOT(ISNUMBER($C46))),"",IF(ISNUMBER($E46),IF($E46&gt;0,EDATE($C46,$E46),""),IF(ISNUMBER($D46),EDATE($C46,$D46),"")))</f>
        <v/>
      </c>
      <c r="G46" s="83">
        <f>IF($F46="","",$F46-TODAY())</f>
        <v/>
      </c>
      <c r="H46" s="85">
        <f>IF(OR($A46="",$B46=""),"",IF($F46="","No date",IF($G46&lt;0,"Overdue",IF($G46&lt;=30,"Due &lt;=30",IF($G46&lt;=60,"Due 31-60","OK")))))</f>
        <v/>
      </c>
      <c r="I46" s="54"/>
      <c r="J46" s="54"/>
      <c r="K46" s="54"/>
      <c r="L46" s="54"/>
      <c r="M46" s="105">
        <f>IF($F46="","",$F46+ROW()/100000)</f>
        <v/>
      </c>
    </row>
    <row r="47" spans="1:13">
      <c r="A47" s="54"/>
      <c r="B47" s="54"/>
      <c r="C47" s="52"/>
      <c r="D47" s="83">
        <f>IF($B47="","",IFERROR(IF(VLOOKUP($B47,Reference!$A$6:$C$27,3,FALSE)&gt;0,VLOOKUP($B47,Reference!$A$6:$C$27,3,FALSE),""),""))</f>
        <v/>
      </c>
      <c r="E47" s="53"/>
      <c r="F47" s="82">
        <f>IF(OR($A47="",$B47="",NOT(ISNUMBER($C47))),"",IF(ISNUMBER($E47),IF($E47&gt;0,EDATE($C47,$E47),""),IF(ISNUMBER($D47),EDATE($C47,$D47),"")))</f>
        <v/>
      </c>
      <c r="G47" s="83">
        <f>IF($F47="","",$F47-TODAY())</f>
        <v/>
      </c>
      <c r="H47" s="85">
        <f>IF(OR($A47="",$B47=""),"",IF($F47="","No date",IF($G47&lt;0,"Overdue",IF($G47&lt;=30,"Due &lt;=30",IF($G47&lt;=60,"Due 31-60","OK")))))</f>
        <v/>
      </c>
      <c r="I47" s="54"/>
      <c r="J47" s="54"/>
      <c r="K47" s="54"/>
      <c r="L47" s="54"/>
      <c r="M47" s="105">
        <f>IF($F47="","",$F47+ROW()/100000)</f>
        <v/>
      </c>
    </row>
    <row r="48" spans="1:13">
      <c r="A48" s="54"/>
      <c r="B48" s="54"/>
      <c r="C48" s="52"/>
      <c r="D48" s="83">
        <f>IF($B48="","",IFERROR(IF(VLOOKUP($B48,Reference!$A$6:$C$27,3,FALSE)&gt;0,VLOOKUP($B48,Reference!$A$6:$C$27,3,FALSE),""),""))</f>
        <v/>
      </c>
      <c r="E48" s="53"/>
      <c r="F48" s="82">
        <f>IF(OR($A48="",$B48="",NOT(ISNUMBER($C48))),"",IF(ISNUMBER($E48),IF($E48&gt;0,EDATE($C48,$E48),""),IF(ISNUMBER($D48),EDATE($C48,$D48),"")))</f>
        <v/>
      </c>
      <c r="G48" s="83">
        <f>IF($F48="","",$F48-TODAY())</f>
        <v/>
      </c>
      <c r="H48" s="85">
        <f>IF(OR($A48="",$B48=""),"",IF($F48="","No date",IF($G48&lt;0,"Overdue",IF($G48&lt;=30,"Due &lt;=30",IF($G48&lt;=60,"Due 31-60","OK")))))</f>
        <v/>
      </c>
      <c r="I48" s="54"/>
      <c r="J48" s="54"/>
      <c r="K48" s="54"/>
      <c r="L48" s="54"/>
      <c r="M48" s="105">
        <f>IF($F48="","",$F48+ROW()/100000)</f>
        <v/>
      </c>
    </row>
    <row r="49" spans="1:13">
      <c r="A49" s="54"/>
      <c r="B49" s="54"/>
      <c r="C49" s="52"/>
      <c r="D49" s="83">
        <f>IF($B49="","",IFERROR(IF(VLOOKUP($B49,Reference!$A$6:$C$27,3,FALSE)&gt;0,VLOOKUP($B49,Reference!$A$6:$C$27,3,FALSE),""),""))</f>
        <v/>
      </c>
      <c r="E49" s="53"/>
      <c r="F49" s="82">
        <f>IF(OR($A49="",$B49="",NOT(ISNUMBER($C49))),"",IF(ISNUMBER($E49),IF($E49&gt;0,EDATE($C49,$E49),""),IF(ISNUMBER($D49),EDATE($C49,$D49),"")))</f>
        <v/>
      </c>
      <c r="G49" s="83">
        <f>IF($F49="","",$F49-TODAY())</f>
        <v/>
      </c>
      <c r="H49" s="85">
        <f>IF(OR($A49="",$B49=""),"",IF($F49="","No date",IF($G49&lt;0,"Overdue",IF($G49&lt;=30,"Due &lt;=30",IF($G49&lt;=60,"Due 31-60","OK")))))</f>
        <v/>
      </c>
      <c r="I49" s="54"/>
      <c r="J49" s="54"/>
      <c r="K49" s="54"/>
      <c r="L49" s="54"/>
      <c r="M49" s="105">
        <f>IF($F49="","",$F49+ROW()/100000)</f>
        <v/>
      </c>
    </row>
    <row r="50" spans="1:13">
      <c r="A50" s="54"/>
      <c r="B50" s="54"/>
      <c r="C50" s="52"/>
      <c r="D50" s="83">
        <f>IF($B50="","",IFERROR(IF(VLOOKUP($B50,Reference!$A$6:$C$27,3,FALSE)&gt;0,VLOOKUP($B50,Reference!$A$6:$C$27,3,FALSE),""),""))</f>
        <v/>
      </c>
      <c r="E50" s="53"/>
      <c r="F50" s="82">
        <f>IF(OR($A50="",$B50="",NOT(ISNUMBER($C50))),"",IF(ISNUMBER($E50),IF($E50&gt;0,EDATE($C50,$E50),""),IF(ISNUMBER($D50),EDATE($C50,$D50),"")))</f>
        <v/>
      </c>
      <c r="G50" s="83">
        <f>IF($F50="","",$F50-TODAY())</f>
        <v/>
      </c>
      <c r="H50" s="85">
        <f>IF(OR($A50="",$B50=""),"",IF($F50="","No date",IF($G50&lt;0,"Overdue",IF($G50&lt;=30,"Due &lt;=30",IF($G50&lt;=60,"Due 31-60","OK")))))</f>
        <v/>
      </c>
      <c r="I50" s="54"/>
      <c r="J50" s="54"/>
      <c r="K50" s="54"/>
      <c r="L50" s="54"/>
      <c r="M50" s="105">
        <f>IF($F50="","",$F50+ROW()/100000)</f>
        <v/>
      </c>
    </row>
    <row r="51" spans="1:13">
      <c r="A51" s="54"/>
      <c r="B51" s="54"/>
      <c r="C51" s="52"/>
      <c r="D51" s="83">
        <f>IF($B51="","",IFERROR(IF(VLOOKUP($B51,Reference!$A$6:$C$27,3,FALSE)&gt;0,VLOOKUP($B51,Reference!$A$6:$C$27,3,FALSE),""),""))</f>
        <v/>
      </c>
      <c r="E51" s="53"/>
      <c r="F51" s="82">
        <f>IF(OR($A51="",$B51="",NOT(ISNUMBER($C51))),"",IF(ISNUMBER($E51),IF($E51&gt;0,EDATE($C51,$E51),""),IF(ISNUMBER($D51),EDATE($C51,$D51),"")))</f>
        <v/>
      </c>
      <c r="G51" s="83">
        <f>IF($F51="","",$F51-TODAY())</f>
        <v/>
      </c>
      <c r="H51" s="85">
        <f>IF(OR($A51="",$B51=""),"",IF($F51="","No date",IF($G51&lt;0,"Overdue",IF($G51&lt;=30,"Due &lt;=30",IF($G51&lt;=60,"Due 31-60","OK")))))</f>
        <v/>
      </c>
      <c r="I51" s="54"/>
      <c r="J51" s="54"/>
      <c r="K51" s="54"/>
      <c r="L51" s="54"/>
      <c r="M51" s="105">
        <f>IF($F51="","",$F51+ROW()/100000)</f>
        <v/>
      </c>
    </row>
    <row r="52" spans="1:13">
      <c r="A52" s="54"/>
      <c r="B52" s="54"/>
      <c r="C52" s="52"/>
      <c r="D52" s="83">
        <f>IF($B52="","",IFERROR(IF(VLOOKUP($B52,Reference!$A$6:$C$27,3,FALSE)&gt;0,VLOOKUP($B52,Reference!$A$6:$C$27,3,FALSE),""),""))</f>
        <v/>
      </c>
      <c r="E52" s="53"/>
      <c r="F52" s="82">
        <f>IF(OR($A52="",$B52="",NOT(ISNUMBER($C52))),"",IF(ISNUMBER($E52),IF($E52&gt;0,EDATE($C52,$E52),""),IF(ISNUMBER($D52),EDATE($C52,$D52),"")))</f>
        <v/>
      </c>
      <c r="G52" s="83">
        <f>IF($F52="","",$F52-TODAY())</f>
        <v/>
      </c>
      <c r="H52" s="85">
        <f>IF(OR($A52="",$B52=""),"",IF($F52="","No date",IF($G52&lt;0,"Overdue",IF($G52&lt;=30,"Due &lt;=30",IF($G52&lt;=60,"Due 31-60","OK")))))</f>
        <v/>
      </c>
      <c r="I52" s="54"/>
      <c r="J52" s="54"/>
      <c r="K52" s="54"/>
      <c r="L52" s="54"/>
      <c r="M52" s="105">
        <f>IF($F52="","",$F52+ROW()/100000)</f>
        <v/>
      </c>
    </row>
    <row r="53" spans="1:13">
      <c r="A53" s="54"/>
      <c r="B53" s="54"/>
      <c r="C53" s="52"/>
      <c r="D53" s="83">
        <f>IF($B53="","",IFERROR(IF(VLOOKUP($B53,Reference!$A$6:$C$27,3,FALSE)&gt;0,VLOOKUP($B53,Reference!$A$6:$C$27,3,FALSE),""),""))</f>
        <v/>
      </c>
      <c r="E53" s="53"/>
      <c r="F53" s="82">
        <f>IF(OR($A53="",$B53="",NOT(ISNUMBER($C53))),"",IF(ISNUMBER($E53),IF($E53&gt;0,EDATE($C53,$E53),""),IF(ISNUMBER($D53),EDATE($C53,$D53),"")))</f>
        <v/>
      </c>
      <c r="G53" s="83">
        <f>IF($F53="","",$F53-TODAY())</f>
        <v/>
      </c>
      <c r="H53" s="85">
        <f>IF(OR($A53="",$B53=""),"",IF($F53="","No date",IF($G53&lt;0,"Overdue",IF($G53&lt;=30,"Due &lt;=30",IF($G53&lt;=60,"Due 31-60","OK")))))</f>
        <v/>
      </c>
      <c r="I53" s="54"/>
      <c r="J53" s="54"/>
      <c r="K53" s="54"/>
      <c r="L53" s="54"/>
      <c r="M53" s="105">
        <f>IF($F53="","",$F53+ROW()/100000)</f>
        <v/>
      </c>
    </row>
    <row r="54" spans="1:13">
      <c r="A54" s="54"/>
      <c r="B54" s="54"/>
      <c r="C54" s="52"/>
      <c r="D54" s="83">
        <f>IF($B54="","",IFERROR(IF(VLOOKUP($B54,Reference!$A$6:$C$27,3,FALSE)&gt;0,VLOOKUP($B54,Reference!$A$6:$C$27,3,FALSE),""),""))</f>
        <v/>
      </c>
      <c r="E54" s="53"/>
      <c r="F54" s="82">
        <f>IF(OR($A54="",$B54="",NOT(ISNUMBER($C54))),"",IF(ISNUMBER($E54),IF($E54&gt;0,EDATE($C54,$E54),""),IF(ISNUMBER($D54),EDATE($C54,$D54),"")))</f>
        <v/>
      </c>
      <c r="G54" s="83">
        <f>IF($F54="","",$F54-TODAY())</f>
        <v/>
      </c>
      <c r="H54" s="85">
        <f>IF(OR($A54="",$B54=""),"",IF($F54="","No date",IF($G54&lt;0,"Overdue",IF($G54&lt;=30,"Due &lt;=30",IF($G54&lt;=60,"Due 31-60","OK")))))</f>
        <v/>
      </c>
      <c r="I54" s="54"/>
      <c r="J54" s="54"/>
      <c r="K54" s="54"/>
      <c r="L54" s="54"/>
      <c r="M54" s="105">
        <f>IF($F54="","",$F54+ROW()/100000)</f>
        <v/>
      </c>
    </row>
    <row r="55" spans="1:13">
      <c r="A55" s="54"/>
      <c r="B55" s="54"/>
      <c r="C55" s="52"/>
      <c r="D55" s="83">
        <f>IF($B55="","",IFERROR(IF(VLOOKUP($B55,Reference!$A$6:$C$27,3,FALSE)&gt;0,VLOOKUP($B55,Reference!$A$6:$C$27,3,FALSE),""),""))</f>
        <v/>
      </c>
      <c r="E55" s="53"/>
      <c r="F55" s="82">
        <f>IF(OR($A55="",$B55="",NOT(ISNUMBER($C55))),"",IF(ISNUMBER($E55),IF($E55&gt;0,EDATE($C55,$E55),""),IF(ISNUMBER($D55),EDATE($C55,$D55),"")))</f>
        <v/>
      </c>
      <c r="G55" s="83">
        <f>IF($F55="","",$F55-TODAY())</f>
        <v/>
      </c>
      <c r="H55" s="85">
        <f>IF(OR($A55="",$B55=""),"",IF($F55="","No date",IF($G55&lt;0,"Overdue",IF($G55&lt;=30,"Due &lt;=30",IF($G55&lt;=60,"Due 31-60","OK")))))</f>
        <v/>
      </c>
      <c r="I55" s="54"/>
      <c r="J55" s="54"/>
      <c r="K55" s="54"/>
      <c r="L55" s="54"/>
      <c r="M55" s="105">
        <f>IF($F55="","",$F55+ROW()/100000)</f>
        <v/>
      </c>
    </row>
    <row r="56" spans="1:13">
      <c r="A56" s="54"/>
      <c r="B56" s="54"/>
      <c r="C56" s="52"/>
      <c r="D56" s="83">
        <f>IF($B56="","",IFERROR(IF(VLOOKUP($B56,Reference!$A$6:$C$27,3,FALSE)&gt;0,VLOOKUP($B56,Reference!$A$6:$C$27,3,FALSE),""),""))</f>
        <v/>
      </c>
      <c r="E56" s="53"/>
      <c r="F56" s="82">
        <f>IF(OR($A56="",$B56="",NOT(ISNUMBER($C56))),"",IF(ISNUMBER($E56),IF($E56&gt;0,EDATE($C56,$E56),""),IF(ISNUMBER($D56),EDATE($C56,$D56),"")))</f>
        <v/>
      </c>
      <c r="G56" s="83">
        <f>IF($F56="","",$F56-TODAY())</f>
        <v/>
      </c>
      <c r="H56" s="85">
        <f>IF(OR($A56="",$B56=""),"",IF($F56="","No date",IF($G56&lt;0,"Overdue",IF($G56&lt;=30,"Due &lt;=30",IF($G56&lt;=60,"Due 31-60","OK")))))</f>
        <v/>
      </c>
      <c r="I56" s="54"/>
      <c r="J56" s="54"/>
      <c r="K56" s="54"/>
      <c r="L56" s="54"/>
      <c r="M56" s="105">
        <f>IF($F56="","",$F56+ROW()/100000)</f>
        <v/>
      </c>
    </row>
    <row r="57" spans="1:13">
      <c r="A57" s="54"/>
      <c r="B57" s="54"/>
      <c r="C57" s="52"/>
      <c r="D57" s="83">
        <f>IF($B57="","",IFERROR(IF(VLOOKUP($B57,Reference!$A$6:$C$27,3,FALSE)&gt;0,VLOOKUP($B57,Reference!$A$6:$C$27,3,FALSE),""),""))</f>
        <v/>
      </c>
      <c r="E57" s="53"/>
      <c r="F57" s="82">
        <f>IF(OR($A57="",$B57="",NOT(ISNUMBER($C57))),"",IF(ISNUMBER($E57),IF($E57&gt;0,EDATE($C57,$E57),""),IF(ISNUMBER($D57),EDATE($C57,$D57),"")))</f>
        <v/>
      </c>
      <c r="G57" s="83">
        <f>IF($F57="","",$F57-TODAY())</f>
        <v/>
      </c>
      <c r="H57" s="85">
        <f>IF(OR($A57="",$B57=""),"",IF($F57="","No date",IF($G57&lt;0,"Overdue",IF($G57&lt;=30,"Due &lt;=30",IF($G57&lt;=60,"Due 31-60","OK")))))</f>
        <v/>
      </c>
      <c r="I57" s="54"/>
      <c r="J57" s="54"/>
      <c r="K57" s="54"/>
      <c r="L57" s="54"/>
      <c r="M57" s="105">
        <f>IF($F57="","",$F57+ROW()/100000)</f>
        <v/>
      </c>
    </row>
    <row r="58" spans="1:13">
      <c r="A58" s="54"/>
      <c r="B58" s="54"/>
      <c r="C58" s="52"/>
      <c r="D58" s="83">
        <f>IF($B58="","",IFERROR(IF(VLOOKUP($B58,Reference!$A$6:$C$27,3,FALSE)&gt;0,VLOOKUP($B58,Reference!$A$6:$C$27,3,FALSE),""),""))</f>
        <v/>
      </c>
      <c r="E58" s="53"/>
      <c r="F58" s="82">
        <f>IF(OR($A58="",$B58="",NOT(ISNUMBER($C58))),"",IF(ISNUMBER($E58),IF($E58&gt;0,EDATE($C58,$E58),""),IF(ISNUMBER($D58),EDATE($C58,$D58),"")))</f>
        <v/>
      </c>
      <c r="G58" s="83">
        <f>IF($F58="","",$F58-TODAY())</f>
        <v/>
      </c>
      <c r="H58" s="85">
        <f>IF(OR($A58="",$B58=""),"",IF($F58="","No date",IF($G58&lt;0,"Overdue",IF($G58&lt;=30,"Due &lt;=30",IF($G58&lt;=60,"Due 31-60","OK")))))</f>
        <v/>
      </c>
      <c r="I58" s="54"/>
      <c r="J58" s="54"/>
      <c r="K58" s="54"/>
      <c r="L58" s="54"/>
      <c r="M58" s="105">
        <f>IF($F58="","",$F58+ROW()/100000)</f>
        <v/>
      </c>
    </row>
    <row r="59" spans="1:13">
      <c r="A59" s="54"/>
      <c r="B59" s="54"/>
      <c r="C59" s="52"/>
      <c r="D59" s="83">
        <f>IF($B59="","",IFERROR(IF(VLOOKUP($B59,Reference!$A$6:$C$27,3,FALSE)&gt;0,VLOOKUP($B59,Reference!$A$6:$C$27,3,FALSE),""),""))</f>
        <v/>
      </c>
      <c r="E59" s="53"/>
      <c r="F59" s="82">
        <f>IF(OR($A59="",$B59="",NOT(ISNUMBER($C59))),"",IF(ISNUMBER($E59),IF($E59&gt;0,EDATE($C59,$E59),""),IF(ISNUMBER($D59),EDATE($C59,$D59),"")))</f>
        <v/>
      </c>
      <c r="G59" s="83">
        <f>IF($F59="","",$F59-TODAY())</f>
        <v/>
      </c>
      <c r="H59" s="85">
        <f>IF(OR($A59="",$B59=""),"",IF($F59="","No date",IF($G59&lt;0,"Overdue",IF($G59&lt;=30,"Due &lt;=30",IF($G59&lt;=60,"Due 31-60","OK")))))</f>
        <v/>
      </c>
      <c r="I59" s="54"/>
      <c r="J59" s="54"/>
      <c r="K59" s="54"/>
      <c r="L59" s="54"/>
      <c r="M59" s="105">
        <f>IF($F59="","",$F59+ROW()/100000)</f>
        <v/>
      </c>
    </row>
    <row r="60" spans="1:13">
      <c r="A60" s="54"/>
      <c r="B60" s="54"/>
      <c r="C60" s="52"/>
      <c r="D60" s="83">
        <f>IF($B60="","",IFERROR(IF(VLOOKUP($B60,Reference!$A$6:$C$27,3,FALSE)&gt;0,VLOOKUP($B60,Reference!$A$6:$C$27,3,FALSE),""),""))</f>
        <v/>
      </c>
      <c r="E60" s="53"/>
      <c r="F60" s="82">
        <f>IF(OR($A60="",$B60="",NOT(ISNUMBER($C60))),"",IF(ISNUMBER($E60),IF($E60&gt;0,EDATE($C60,$E60),""),IF(ISNUMBER($D60),EDATE($C60,$D60),"")))</f>
        <v/>
      </c>
      <c r="G60" s="83">
        <f>IF($F60="","",$F60-TODAY())</f>
        <v/>
      </c>
      <c r="H60" s="85">
        <f>IF(OR($A60="",$B60=""),"",IF($F60="","No date",IF($G60&lt;0,"Overdue",IF($G60&lt;=30,"Due &lt;=30",IF($G60&lt;=60,"Due 31-60","OK")))))</f>
        <v/>
      </c>
      <c r="I60" s="54"/>
      <c r="J60" s="54"/>
      <c r="K60" s="54"/>
      <c r="L60" s="54"/>
      <c r="M60" s="105">
        <f>IF($F60="","",$F60+ROW()/100000)</f>
        <v/>
      </c>
    </row>
    <row r="61" spans="1:13">
      <c r="A61" s="54"/>
      <c r="B61" s="54"/>
      <c r="C61" s="52"/>
      <c r="D61" s="83">
        <f>IF($B61="","",IFERROR(IF(VLOOKUP($B61,Reference!$A$6:$C$27,3,FALSE)&gt;0,VLOOKUP($B61,Reference!$A$6:$C$27,3,FALSE),""),""))</f>
        <v/>
      </c>
      <c r="E61" s="53"/>
      <c r="F61" s="82">
        <f>IF(OR($A61="",$B61="",NOT(ISNUMBER($C61))),"",IF(ISNUMBER($E61),IF($E61&gt;0,EDATE($C61,$E61),""),IF(ISNUMBER($D61),EDATE($C61,$D61),"")))</f>
        <v/>
      </c>
      <c r="G61" s="83">
        <f>IF($F61="","",$F61-TODAY())</f>
        <v/>
      </c>
      <c r="H61" s="85">
        <f>IF(OR($A61="",$B61=""),"",IF($F61="","No date",IF($G61&lt;0,"Overdue",IF($G61&lt;=30,"Due &lt;=30",IF($G61&lt;=60,"Due 31-60","OK")))))</f>
        <v/>
      </c>
      <c r="I61" s="54"/>
      <c r="J61" s="54"/>
      <c r="K61" s="54"/>
      <c r="L61" s="54"/>
      <c r="M61" s="105">
        <f>IF($F61="","",$F61+ROW()/100000)</f>
        <v/>
      </c>
    </row>
    <row r="62" spans="1:13">
      <c r="A62" s="54"/>
      <c r="B62" s="54"/>
      <c r="C62" s="52"/>
      <c r="D62" s="83">
        <f>IF($B62="","",IFERROR(IF(VLOOKUP($B62,Reference!$A$6:$C$27,3,FALSE)&gt;0,VLOOKUP($B62,Reference!$A$6:$C$27,3,FALSE),""),""))</f>
        <v/>
      </c>
      <c r="E62" s="53"/>
      <c r="F62" s="82">
        <f>IF(OR($A62="",$B62="",NOT(ISNUMBER($C62))),"",IF(ISNUMBER($E62),IF($E62&gt;0,EDATE($C62,$E62),""),IF(ISNUMBER($D62),EDATE($C62,$D62),"")))</f>
        <v/>
      </c>
      <c r="G62" s="83">
        <f>IF($F62="","",$F62-TODAY())</f>
        <v/>
      </c>
      <c r="H62" s="85">
        <f>IF(OR($A62="",$B62=""),"",IF($F62="","No date",IF($G62&lt;0,"Overdue",IF($G62&lt;=30,"Due &lt;=30",IF($G62&lt;=60,"Due 31-60","OK")))))</f>
        <v/>
      </c>
      <c r="I62" s="54"/>
      <c r="J62" s="54"/>
      <c r="K62" s="54"/>
      <c r="L62" s="54"/>
      <c r="M62" s="105">
        <f>IF($F62="","",$F62+ROW()/100000)</f>
        <v/>
      </c>
    </row>
    <row r="63" spans="1:13">
      <c r="A63" s="54"/>
      <c r="B63" s="54"/>
      <c r="C63" s="52"/>
      <c r="D63" s="83">
        <f>IF($B63="","",IFERROR(IF(VLOOKUP($B63,Reference!$A$6:$C$27,3,FALSE)&gt;0,VLOOKUP($B63,Reference!$A$6:$C$27,3,FALSE),""),""))</f>
        <v/>
      </c>
      <c r="E63" s="53"/>
      <c r="F63" s="82">
        <f>IF(OR($A63="",$B63="",NOT(ISNUMBER($C63))),"",IF(ISNUMBER($E63),IF($E63&gt;0,EDATE($C63,$E63),""),IF(ISNUMBER($D63),EDATE($C63,$D63),"")))</f>
        <v/>
      </c>
      <c r="G63" s="83">
        <f>IF($F63="","",$F63-TODAY())</f>
        <v/>
      </c>
      <c r="H63" s="85">
        <f>IF(OR($A63="",$B63=""),"",IF($F63="","No date",IF($G63&lt;0,"Overdue",IF($G63&lt;=30,"Due &lt;=30",IF($G63&lt;=60,"Due 31-60","OK")))))</f>
        <v/>
      </c>
      <c r="I63" s="54"/>
      <c r="J63" s="54"/>
      <c r="K63" s="54"/>
      <c r="L63" s="54"/>
      <c r="M63" s="105">
        <f>IF($F63="","",$F63+ROW()/100000)</f>
        <v/>
      </c>
    </row>
    <row r="64" spans="1:13">
      <c r="A64" s="54"/>
      <c r="B64" s="54"/>
      <c r="C64" s="52"/>
      <c r="D64" s="83">
        <f>IF($B64="","",IFERROR(IF(VLOOKUP($B64,Reference!$A$6:$C$27,3,FALSE)&gt;0,VLOOKUP($B64,Reference!$A$6:$C$27,3,FALSE),""),""))</f>
        <v/>
      </c>
      <c r="E64" s="53"/>
      <c r="F64" s="82">
        <f>IF(OR($A64="",$B64="",NOT(ISNUMBER($C64))),"",IF(ISNUMBER($E64),IF($E64&gt;0,EDATE($C64,$E64),""),IF(ISNUMBER($D64),EDATE($C64,$D64),"")))</f>
        <v/>
      </c>
      <c r="G64" s="83">
        <f>IF($F64="","",$F64-TODAY())</f>
        <v/>
      </c>
      <c r="H64" s="85">
        <f>IF(OR($A64="",$B64=""),"",IF($F64="","No date",IF($G64&lt;0,"Overdue",IF($G64&lt;=30,"Due &lt;=30",IF($G64&lt;=60,"Due 31-60","OK")))))</f>
        <v/>
      </c>
      <c r="I64" s="54"/>
      <c r="J64" s="54"/>
      <c r="K64" s="54"/>
      <c r="L64" s="54"/>
      <c r="M64" s="105">
        <f>IF($F64="","",$F64+ROW()/100000)</f>
        <v/>
      </c>
    </row>
    <row r="65" spans="1:13">
      <c r="A65" s="54"/>
      <c r="B65" s="54"/>
      <c r="C65" s="52"/>
      <c r="D65" s="83">
        <f>IF($B65="","",IFERROR(IF(VLOOKUP($B65,Reference!$A$6:$C$27,3,FALSE)&gt;0,VLOOKUP($B65,Reference!$A$6:$C$27,3,FALSE),""),""))</f>
        <v/>
      </c>
      <c r="E65" s="53"/>
      <c r="F65" s="82">
        <f>IF(OR($A65="",$B65="",NOT(ISNUMBER($C65))),"",IF(ISNUMBER($E65),IF($E65&gt;0,EDATE($C65,$E65),""),IF(ISNUMBER($D65),EDATE($C65,$D65),"")))</f>
        <v/>
      </c>
      <c r="G65" s="83">
        <f>IF($F65="","",$F65-TODAY())</f>
        <v/>
      </c>
      <c r="H65" s="85">
        <f>IF(OR($A65="",$B65=""),"",IF($F65="","No date",IF($G65&lt;0,"Overdue",IF($G65&lt;=30,"Due &lt;=30",IF($G65&lt;=60,"Due 31-60","OK")))))</f>
        <v/>
      </c>
      <c r="I65" s="54"/>
      <c r="J65" s="54"/>
      <c r="K65" s="54"/>
      <c r="L65" s="54"/>
      <c r="M65" s="105">
        <f>IF($F65="","",$F65+ROW()/100000)</f>
        <v/>
      </c>
    </row>
    <row r="66" spans="1:13">
      <c r="A66" s="54"/>
      <c r="B66" s="54"/>
      <c r="C66" s="52"/>
      <c r="D66" s="83">
        <f>IF($B66="","",IFERROR(IF(VLOOKUP($B66,Reference!$A$6:$C$27,3,FALSE)&gt;0,VLOOKUP($B66,Reference!$A$6:$C$27,3,FALSE),""),""))</f>
        <v/>
      </c>
      <c r="E66" s="53"/>
      <c r="F66" s="82">
        <f>IF(OR($A66="",$B66="",NOT(ISNUMBER($C66))),"",IF(ISNUMBER($E66),IF($E66&gt;0,EDATE($C66,$E66),""),IF(ISNUMBER($D66),EDATE($C66,$D66),"")))</f>
        <v/>
      </c>
      <c r="G66" s="83">
        <f>IF($F66="","",$F66-TODAY())</f>
        <v/>
      </c>
      <c r="H66" s="85">
        <f>IF(OR($A66="",$B66=""),"",IF($F66="","No date",IF($G66&lt;0,"Overdue",IF($G66&lt;=30,"Due &lt;=30",IF($G66&lt;=60,"Due 31-60","OK")))))</f>
        <v/>
      </c>
      <c r="I66" s="54"/>
      <c r="J66" s="54"/>
      <c r="K66" s="54"/>
      <c r="L66" s="54"/>
      <c r="M66" s="105">
        <f>IF($F66="","",$F66+ROW()/100000)</f>
        <v/>
      </c>
    </row>
    <row r="67" spans="1:13">
      <c r="A67" s="54"/>
      <c r="B67" s="54"/>
      <c r="C67" s="52"/>
      <c r="D67" s="83">
        <f>IF($B67="","",IFERROR(IF(VLOOKUP($B67,Reference!$A$6:$C$27,3,FALSE)&gt;0,VLOOKUP($B67,Reference!$A$6:$C$27,3,FALSE),""),""))</f>
        <v/>
      </c>
      <c r="E67" s="53"/>
      <c r="F67" s="82">
        <f>IF(OR($A67="",$B67="",NOT(ISNUMBER($C67))),"",IF(ISNUMBER($E67),IF($E67&gt;0,EDATE($C67,$E67),""),IF(ISNUMBER($D67),EDATE($C67,$D67),"")))</f>
        <v/>
      </c>
      <c r="G67" s="83">
        <f>IF($F67="","",$F67-TODAY())</f>
        <v/>
      </c>
      <c r="H67" s="85">
        <f>IF(OR($A67="",$B67=""),"",IF($F67="","No date",IF($G67&lt;0,"Overdue",IF($G67&lt;=30,"Due &lt;=30",IF($G67&lt;=60,"Due 31-60","OK")))))</f>
        <v/>
      </c>
      <c r="I67" s="54"/>
      <c r="J67" s="54"/>
      <c r="K67" s="54"/>
      <c r="L67" s="54"/>
      <c r="M67" s="105">
        <f>IF($F67="","",$F67+ROW()/100000)</f>
        <v/>
      </c>
    </row>
    <row r="68" spans="1:13">
      <c r="A68" s="54"/>
      <c r="B68" s="54"/>
      <c r="C68" s="52"/>
      <c r="D68" s="83">
        <f>IF($B68="","",IFERROR(IF(VLOOKUP($B68,Reference!$A$6:$C$27,3,FALSE)&gt;0,VLOOKUP($B68,Reference!$A$6:$C$27,3,FALSE),""),""))</f>
        <v/>
      </c>
      <c r="E68" s="53"/>
      <c r="F68" s="82">
        <f>IF(OR($A68="",$B68="",NOT(ISNUMBER($C68))),"",IF(ISNUMBER($E68),IF($E68&gt;0,EDATE($C68,$E68),""),IF(ISNUMBER($D68),EDATE($C68,$D68),"")))</f>
        <v/>
      </c>
      <c r="G68" s="83">
        <f>IF($F68="","",$F68-TODAY())</f>
        <v/>
      </c>
      <c r="H68" s="85">
        <f>IF(OR($A68="",$B68=""),"",IF($F68="","No date",IF($G68&lt;0,"Overdue",IF($G68&lt;=30,"Due &lt;=30",IF($G68&lt;=60,"Due 31-60","OK")))))</f>
        <v/>
      </c>
      <c r="I68" s="54"/>
      <c r="J68" s="54"/>
      <c r="K68" s="54"/>
      <c r="L68" s="54"/>
      <c r="M68" s="105">
        <f>IF($F68="","",$F68+ROW()/100000)</f>
        <v/>
      </c>
    </row>
    <row r="69" spans="1:13">
      <c r="A69" s="54"/>
      <c r="B69" s="54"/>
      <c r="C69" s="52"/>
      <c r="D69" s="83">
        <f>IF($B69="","",IFERROR(IF(VLOOKUP($B69,Reference!$A$6:$C$27,3,FALSE)&gt;0,VLOOKUP($B69,Reference!$A$6:$C$27,3,FALSE),""),""))</f>
        <v/>
      </c>
      <c r="E69" s="53"/>
      <c r="F69" s="82">
        <f>IF(OR($A69="",$B69="",NOT(ISNUMBER($C69))),"",IF(ISNUMBER($E69),IF($E69&gt;0,EDATE($C69,$E69),""),IF(ISNUMBER($D69),EDATE($C69,$D69),"")))</f>
        <v/>
      </c>
      <c r="G69" s="83">
        <f>IF($F69="","",$F69-TODAY())</f>
        <v/>
      </c>
      <c r="H69" s="85">
        <f>IF(OR($A69="",$B69=""),"",IF($F69="","No date",IF($G69&lt;0,"Overdue",IF($G69&lt;=30,"Due &lt;=30",IF($G69&lt;=60,"Due 31-60","OK")))))</f>
        <v/>
      </c>
      <c r="I69" s="54"/>
      <c r="J69" s="54"/>
      <c r="K69" s="54"/>
      <c r="L69" s="54"/>
      <c r="M69" s="105">
        <f>IF($F69="","",$F69+ROW()/100000)</f>
        <v/>
      </c>
    </row>
    <row r="70" spans="1:13">
      <c r="A70" s="54"/>
      <c r="B70" s="54"/>
      <c r="C70" s="52"/>
      <c r="D70" s="83">
        <f>IF($B70="","",IFERROR(IF(VLOOKUP($B70,Reference!$A$6:$C$27,3,FALSE)&gt;0,VLOOKUP($B70,Reference!$A$6:$C$27,3,FALSE),""),""))</f>
        <v/>
      </c>
      <c r="E70" s="53"/>
      <c r="F70" s="82">
        <f>IF(OR($A70="",$B70="",NOT(ISNUMBER($C70))),"",IF(ISNUMBER($E70),IF($E70&gt;0,EDATE($C70,$E70),""),IF(ISNUMBER($D70),EDATE($C70,$D70),"")))</f>
        <v/>
      </c>
      <c r="G70" s="83">
        <f>IF($F70="","",$F70-TODAY())</f>
        <v/>
      </c>
      <c r="H70" s="85">
        <f>IF(OR($A70="",$B70=""),"",IF($F70="","No date",IF($G70&lt;0,"Overdue",IF($G70&lt;=30,"Due &lt;=30",IF($G70&lt;=60,"Due 31-60","OK")))))</f>
        <v/>
      </c>
      <c r="I70" s="54"/>
      <c r="J70" s="54"/>
      <c r="K70" s="54"/>
      <c r="L70" s="54"/>
      <c r="M70" s="105">
        <f>IF($F70="","",$F70+ROW()/100000)</f>
        <v/>
      </c>
    </row>
    <row r="71" spans="1:13">
      <c r="A71" s="54"/>
      <c r="B71" s="54"/>
      <c r="C71" s="52"/>
      <c r="D71" s="83">
        <f>IF($B71="","",IFERROR(IF(VLOOKUP($B71,Reference!$A$6:$C$27,3,FALSE)&gt;0,VLOOKUP($B71,Reference!$A$6:$C$27,3,FALSE),""),""))</f>
        <v/>
      </c>
      <c r="E71" s="53"/>
      <c r="F71" s="82">
        <f>IF(OR($A71="",$B71="",NOT(ISNUMBER($C71))),"",IF(ISNUMBER($E71),IF($E71&gt;0,EDATE($C71,$E71),""),IF(ISNUMBER($D71),EDATE($C71,$D71),"")))</f>
        <v/>
      </c>
      <c r="G71" s="83">
        <f>IF($F71="","",$F71-TODAY())</f>
        <v/>
      </c>
      <c r="H71" s="85">
        <f>IF(OR($A71="",$B71=""),"",IF($F71="","No date",IF($G71&lt;0,"Overdue",IF($G71&lt;=30,"Due &lt;=30",IF($G71&lt;=60,"Due 31-60","OK")))))</f>
        <v/>
      </c>
      <c r="I71" s="54"/>
      <c r="J71" s="54"/>
      <c r="K71" s="54"/>
      <c r="L71" s="54"/>
      <c r="M71" s="105">
        <f>IF($F71="","",$F71+ROW()/100000)</f>
        <v/>
      </c>
    </row>
    <row r="72" spans="1:13">
      <c r="A72" s="54"/>
      <c r="B72" s="54"/>
      <c r="C72" s="52"/>
      <c r="D72" s="83">
        <f>IF($B72="","",IFERROR(IF(VLOOKUP($B72,Reference!$A$6:$C$27,3,FALSE)&gt;0,VLOOKUP($B72,Reference!$A$6:$C$27,3,FALSE),""),""))</f>
        <v/>
      </c>
      <c r="E72" s="53"/>
      <c r="F72" s="82">
        <f>IF(OR($A72="",$B72="",NOT(ISNUMBER($C72))),"",IF(ISNUMBER($E72),IF($E72&gt;0,EDATE($C72,$E72),""),IF(ISNUMBER($D72),EDATE($C72,$D72),"")))</f>
        <v/>
      </c>
      <c r="G72" s="83">
        <f>IF($F72="","",$F72-TODAY())</f>
        <v/>
      </c>
      <c r="H72" s="85">
        <f>IF(OR($A72="",$B72=""),"",IF($F72="","No date",IF($G72&lt;0,"Overdue",IF($G72&lt;=30,"Due &lt;=30",IF($G72&lt;=60,"Due 31-60","OK")))))</f>
        <v/>
      </c>
      <c r="I72" s="54"/>
      <c r="J72" s="54"/>
      <c r="K72" s="54"/>
      <c r="L72" s="54"/>
      <c r="M72" s="105">
        <f>IF($F72="","",$F72+ROW()/100000)</f>
        <v/>
      </c>
    </row>
    <row r="73" spans="1:13">
      <c r="A73" s="54"/>
      <c r="B73" s="54"/>
      <c r="C73" s="52"/>
      <c r="D73" s="83">
        <f>IF($B73="","",IFERROR(IF(VLOOKUP($B73,Reference!$A$6:$C$27,3,FALSE)&gt;0,VLOOKUP($B73,Reference!$A$6:$C$27,3,FALSE),""),""))</f>
        <v/>
      </c>
      <c r="E73" s="53"/>
      <c r="F73" s="82">
        <f>IF(OR($A73="",$B73="",NOT(ISNUMBER($C73))),"",IF(ISNUMBER($E73),IF($E73&gt;0,EDATE($C73,$E73),""),IF(ISNUMBER($D73),EDATE($C73,$D73),"")))</f>
        <v/>
      </c>
      <c r="G73" s="83">
        <f>IF($F73="","",$F73-TODAY())</f>
        <v/>
      </c>
      <c r="H73" s="85">
        <f>IF(OR($A73="",$B73=""),"",IF($F73="","No date",IF($G73&lt;0,"Overdue",IF($G73&lt;=30,"Due &lt;=30",IF($G73&lt;=60,"Due 31-60","OK")))))</f>
        <v/>
      </c>
      <c r="I73" s="54"/>
      <c r="J73" s="54"/>
      <c r="K73" s="54"/>
      <c r="L73" s="54"/>
      <c r="M73" s="105">
        <f>IF($F73="","",$F73+ROW()/100000)</f>
        <v/>
      </c>
    </row>
    <row r="74" spans="1:13">
      <c r="A74" s="54"/>
      <c r="B74" s="54"/>
      <c r="C74" s="52"/>
      <c r="D74" s="83">
        <f>IF($B74="","",IFERROR(IF(VLOOKUP($B74,Reference!$A$6:$C$27,3,FALSE)&gt;0,VLOOKUP($B74,Reference!$A$6:$C$27,3,FALSE),""),""))</f>
        <v/>
      </c>
      <c r="E74" s="53"/>
      <c r="F74" s="82">
        <f>IF(OR($A74="",$B74="",NOT(ISNUMBER($C74))),"",IF(ISNUMBER($E74),IF($E74&gt;0,EDATE($C74,$E74),""),IF(ISNUMBER($D74),EDATE($C74,$D74),"")))</f>
        <v/>
      </c>
      <c r="G74" s="83">
        <f>IF($F74="","",$F74-TODAY())</f>
        <v/>
      </c>
      <c r="H74" s="85">
        <f>IF(OR($A74="",$B74=""),"",IF($F74="","No date",IF($G74&lt;0,"Overdue",IF($G74&lt;=30,"Due &lt;=30",IF($G74&lt;=60,"Due 31-60","OK")))))</f>
        <v/>
      </c>
      <c r="I74" s="54"/>
      <c r="J74" s="54"/>
      <c r="K74" s="54"/>
      <c r="L74" s="54"/>
      <c r="M74" s="105">
        <f>IF($F74="","",$F74+ROW()/100000)</f>
        <v/>
      </c>
    </row>
    <row r="75" spans="1:13">
      <c r="A75" s="54"/>
      <c r="B75" s="54"/>
      <c r="C75" s="52"/>
      <c r="D75" s="83">
        <f>IF($B75="","",IFERROR(IF(VLOOKUP($B75,Reference!$A$6:$C$27,3,FALSE)&gt;0,VLOOKUP($B75,Reference!$A$6:$C$27,3,FALSE),""),""))</f>
        <v/>
      </c>
      <c r="E75" s="53"/>
      <c r="F75" s="82">
        <f>IF(OR($A75="",$B75="",NOT(ISNUMBER($C75))),"",IF(ISNUMBER($E75),IF($E75&gt;0,EDATE($C75,$E75),""),IF(ISNUMBER($D75),EDATE($C75,$D75),"")))</f>
        <v/>
      </c>
      <c r="G75" s="83">
        <f>IF($F75="","",$F75-TODAY())</f>
        <v/>
      </c>
      <c r="H75" s="85">
        <f>IF(OR($A75="",$B75=""),"",IF($F75="","No date",IF($G75&lt;0,"Overdue",IF($G75&lt;=30,"Due &lt;=30",IF($G75&lt;=60,"Due 31-60","OK")))))</f>
        <v/>
      </c>
      <c r="I75" s="54"/>
      <c r="J75" s="54"/>
      <c r="K75" s="54"/>
      <c r="L75" s="54"/>
      <c r="M75" s="105">
        <f>IF($F75="","",$F75+ROW()/100000)</f>
        <v/>
      </c>
    </row>
    <row r="76" spans="1:13">
      <c r="A76" s="54"/>
      <c r="B76" s="54"/>
      <c r="C76" s="52"/>
      <c r="D76" s="83">
        <f>IF($B76="","",IFERROR(IF(VLOOKUP($B76,Reference!$A$6:$C$27,3,FALSE)&gt;0,VLOOKUP($B76,Reference!$A$6:$C$27,3,FALSE),""),""))</f>
        <v/>
      </c>
      <c r="E76" s="53"/>
      <c r="F76" s="82">
        <f>IF(OR($A76="",$B76="",NOT(ISNUMBER($C76))),"",IF(ISNUMBER($E76),IF($E76&gt;0,EDATE($C76,$E76),""),IF(ISNUMBER($D76),EDATE($C76,$D76),"")))</f>
        <v/>
      </c>
      <c r="G76" s="83">
        <f>IF($F76="","",$F76-TODAY())</f>
        <v/>
      </c>
      <c r="H76" s="85">
        <f>IF(OR($A76="",$B76=""),"",IF($F76="","No date",IF($G76&lt;0,"Overdue",IF($G76&lt;=30,"Due &lt;=30",IF($G76&lt;=60,"Due 31-60","OK")))))</f>
        <v/>
      </c>
      <c r="I76" s="54"/>
      <c r="J76" s="54"/>
      <c r="K76" s="54"/>
      <c r="L76" s="54"/>
      <c r="M76" s="105">
        <f>IF($F76="","",$F76+ROW()/100000)</f>
        <v/>
      </c>
    </row>
    <row r="77" spans="1:13">
      <c r="A77" s="54"/>
      <c r="B77" s="54"/>
      <c r="C77" s="52"/>
      <c r="D77" s="83">
        <f>IF($B77="","",IFERROR(IF(VLOOKUP($B77,Reference!$A$6:$C$27,3,FALSE)&gt;0,VLOOKUP($B77,Reference!$A$6:$C$27,3,FALSE),""),""))</f>
        <v/>
      </c>
      <c r="E77" s="53"/>
      <c r="F77" s="82">
        <f>IF(OR($A77="",$B77="",NOT(ISNUMBER($C77))),"",IF(ISNUMBER($E77),IF($E77&gt;0,EDATE($C77,$E77),""),IF(ISNUMBER($D77),EDATE($C77,$D77),"")))</f>
        <v/>
      </c>
      <c r="G77" s="83">
        <f>IF($F77="","",$F77-TODAY())</f>
        <v/>
      </c>
      <c r="H77" s="85">
        <f>IF(OR($A77="",$B77=""),"",IF($F77="","No date",IF($G77&lt;0,"Overdue",IF($G77&lt;=30,"Due &lt;=30",IF($G77&lt;=60,"Due 31-60","OK")))))</f>
        <v/>
      </c>
      <c r="I77" s="54"/>
      <c r="J77" s="54"/>
      <c r="K77" s="54"/>
      <c r="L77" s="54"/>
      <c r="M77" s="105">
        <f>IF($F77="","",$F77+ROW()/100000)</f>
        <v/>
      </c>
    </row>
    <row r="78" spans="1:13">
      <c r="A78" s="54"/>
      <c r="B78" s="54"/>
      <c r="C78" s="52"/>
      <c r="D78" s="83">
        <f>IF($B78="","",IFERROR(IF(VLOOKUP($B78,Reference!$A$6:$C$27,3,FALSE)&gt;0,VLOOKUP($B78,Reference!$A$6:$C$27,3,FALSE),""),""))</f>
        <v/>
      </c>
      <c r="E78" s="53"/>
      <c r="F78" s="82">
        <f>IF(OR($A78="",$B78="",NOT(ISNUMBER($C78))),"",IF(ISNUMBER($E78),IF($E78&gt;0,EDATE($C78,$E78),""),IF(ISNUMBER($D78),EDATE($C78,$D78),"")))</f>
        <v/>
      </c>
      <c r="G78" s="83">
        <f>IF($F78="","",$F78-TODAY())</f>
        <v/>
      </c>
      <c r="H78" s="85">
        <f>IF(OR($A78="",$B78=""),"",IF($F78="","No date",IF($G78&lt;0,"Overdue",IF($G78&lt;=30,"Due &lt;=30",IF($G78&lt;=60,"Due 31-60","OK")))))</f>
        <v/>
      </c>
      <c r="I78" s="54"/>
      <c r="J78" s="54"/>
      <c r="K78" s="54"/>
      <c r="L78" s="54"/>
      <c r="M78" s="105">
        <f>IF($F78="","",$F78+ROW()/100000)</f>
        <v/>
      </c>
    </row>
    <row r="79" spans="1:13">
      <c r="A79" s="54"/>
      <c r="B79" s="54"/>
      <c r="C79" s="52"/>
      <c r="D79" s="83">
        <f>IF($B79="","",IFERROR(IF(VLOOKUP($B79,Reference!$A$6:$C$27,3,FALSE)&gt;0,VLOOKUP($B79,Reference!$A$6:$C$27,3,FALSE),""),""))</f>
        <v/>
      </c>
      <c r="E79" s="53"/>
      <c r="F79" s="82">
        <f>IF(OR($A79="",$B79="",NOT(ISNUMBER($C79))),"",IF(ISNUMBER($E79),IF($E79&gt;0,EDATE($C79,$E79),""),IF(ISNUMBER($D79),EDATE($C79,$D79),"")))</f>
        <v/>
      </c>
      <c r="G79" s="83">
        <f>IF($F79="","",$F79-TODAY())</f>
        <v/>
      </c>
      <c r="H79" s="85">
        <f>IF(OR($A79="",$B79=""),"",IF($F79="","No date",IF($G79&lt;0,"Overdue",IF($G79&lt;=30,"Due &lt;=30",IF($G79&lt;=60,"Due 31-60","OK")))))</f>
        <v/>
      </c>
      <c r="I79" s="54"/>
      <c r="J79" s="54"/>
      <c r="K79" s="54"/>
      <c r="L79" s="54"/>
      <c r="M79" s="105">
        <f>IF($F79="","",$F79+ROW()/100000)</f>
        <v/>
      </c>
    </row>
    <row r="80" spans="1:13">
      <c r="A80" s="54"/>
      <c r="B80" s="54"/>
      <c r="C80" s="52"/>
      <c r="D80" s="83">
        <f>IF($B80="","",IFERROR(IF(VLOOKUP($B80,Reference!$A$6:$C$27,3,FALSE)&gt;0,VLOOKUP($B80,Reference!$A$6:$C$27,3,FALSE),""),""))</f>
        <v/>
      </c>
      <c r="E80" s="53"/>
      <c r="F80" s="82">
        <f>IF(OR($A80="",$B80="",NOT(ISNUMBER($C80))),"",IF(ISNUMBER($E80),IF($E80&gt;0,EDATE($C80,$E80),""),IF(ISNUMBER($D80),EDATE($C80,$D80),"")))</f>
        <v/>
      </c>
      <c r="G80" s="83">
        <f>IF($F80="","",$F80-TODAY())</f>
        <v/>
      </c>
      <c r="H80" s="85">
        <f>IF(OR($A80="",$B80=""),"",IF($F80="","No date",IF($G80&lt;0,"Overdue",IF($G80&lt;=30,"Due &lt;=30",IF($G80&lt;=60,"Due 31-60","OK")))))</f>
        <v/>
      </c>
      <c r="I80" s="54"/>
      <c r="J80" s="54"/>
      <c r="K80" s="54"/>
      <c r="L80" s="54"/>
      <c r="M80" s="105">
        <f>IF($F80="","",$F80+ROW()/100000)</f>
        <v/>
      </c>
    </row>
    <row r="81" spans="1:13">
      <c r="A81" s="54"/>
      <c r="B81" s="54"/>
      <c r="C81" s="52"/>
      <c r="D81" s="83">
        <f>IF($B81="","",IFERROR(IF(VLOOKUP($B81,Reference!$A$6:$C$27,3,FALSE)&gt;0,VLOOKUP($B81,Reference!$A$6:$C$27,3,FALSE),""),""))</f>
        <v/>
      </c>
      <c r="E81" s="53"/>
      <c r="F81" s="82">
        <f>IF(OR($A81="",$B81="",NOT(ISNUMBER($C81))),"",IF(ISNUMBER($E81),IF($E81&gt;0,EDATE($C81,$E81),""),IF(ISNUMBER($D81),EDATE($C81,$D81),"")))</f>
        <v/>
      </c>
      <c r="G81" s="83">
        <f>IF($F81="","",$F81-TODAY())</f>
        <v/>
      </c>
      <c r="H81" s="85">
        <f>IF(OR($A81="",$B81=""),"",IF($F81="","No date",IF($G81&lt;0,"Overdue",IF($G81&lt;=30,"Due &lt;=30",IF($G81&lt;=60,"Due 31-60","OK")))))</f>
        <v/>
      </c>
      <c r="I81" s="54"/>
      <c r="J81" s="54"/>
      <c r="K81" s="54"/>
      <c r="L81" s="54"/>
      <c r="M81" s="105">
        <f>IF($F81="","",$F81+ROW()/100000)</f>
        <v/>
      </c>
    </row>
    <row r="82" spans="1:13">
      <c r="A82" s="54"/>
      <c r="B82" s="54"/>
      <c r="C82" s="52"/>
      <c r="D82" s="83">
        <f>IF($B82="","",IFERROR(IF(VLOOKUP($B82,Reference!$A$6:$C$27,3,FALSE)&gt;0,VLOOKUP($B82,Reference!$A$6:$C$27,3,FALSE),""),""))</f>
        <v/>
      </c>
      <c r="E82" s="53"/>
      <c r="F82" s="82">
        <f>IF(OR($A82="",$B82="",NOT(ISNUMBER($C82))),"",IF(ISNUMBER($E82),IF($E82&gt;0,EDATE($C82,$E82),""),IF(ISNUMBER($D82),EDATE($C82,$D82),"")))</f>
        <v/>
      </c>
      <c r="G82" s="83">
        <f>IF($F82="","",$F82-TODAY())</f>
        <v/>
      </c>
      <c r="H82" s="85">
        <f>IF(OR($A82="",$B82=""),"",IF($F82="","No date",IF($G82&lt;0,"Overdue",IF($G82&lt;=30,"Due &lt;=30",IF($G82&lt;=60,"Due 31-60","OK")))))</f>
        <v/>
      </c>
      <c r="I82" s="54"/>
      <c r="J82" s="54"/>
      <c r="K82" s="54"/>
      <c r="L82" s="54"/>
      <c r="M82" s="105">
        <f>IF($F82="","",$F82+ROW()/100000)</f>
        <v/>
      </c>
    </row>
    <row r="83" spans="1:13">
      <c r="A83" s="54"/>
      <c r="B83" s="54"/>
      <c r="C83" s="52"/>
      <c r="D83" s="83">
        <f>IF($B83="","",IFERROR(IF(VLOOKUP($B83,Reference!$A$6:$C$27,3,FALSE)&gt;0,VLOOKUP($B83,Reference!$A$6:$C$27,3,FALSE),""),""))</f>
        <v/>
      </c>
      <c r="E83" s="53"/>
      <c r="F83" s="82">
        <f>IF(OR($A83="",$B83="",NOT(ISNUMBER($C83))),"",IF(ISNUMBER($E83),IF($E83&gt;0,EDATE($C83,$E83),""),IF(ISNUMBER($D83),EDATE($C83,$D83),"")))</f>
        <v/>
      </c>
      <c r="G83" s="83">
        <f>IF($F83="","",$F83-TODAY())</f>
        <v/>
      </c>
      <c r="H83" s="85">
        <f>IF(OR($A83="",$B83=""),"",IF($F83="","No date",IF($G83&lt;0,"Overdue",IF($G83&lt;=30,"Due &lt;=30",IF($G83&lt;=60,"Due 31-60","OK")))))</f>
        <v/>
      </c>
      <c r="I83" s="54"/>
      <c r="J83" s="54"/>
      <c r="K83" s="54"/>
      <c r="L83" s="54"/>
      <c r="M83" s="105">
        <f>IF($F83="","",$F83+ROW()/100000)</f>
        <v/>
      </c>
    </row>
    <row r="84" spans="1:13">
      <c r="A84" s="54"/>
      <c r="B84" s="54"/>
      <c r="C84" s="52"/>
      <c r="D84" s="83">
        <f>IF($B84="","",IFERROR(IF(VLOOKUP($B84,Reference!$A$6:$C$27,3,FALSE)&gt;0,VLOOKUP($B84,Reference!$A$6:$C$27,3,FALSE),""),""))</f>
        <v/>
      </c>
      <c r="E84" s="53"/>
      <c r="F84" s="82">
        <f>IF(OR($A84="",$B84="",NOT(ISNUMBER($C84))),"",IF(ISNUMBER($E84),IF($E84&gt;0,EDATE($C84,$E84),""),IF(ISNUMBER($D84),EDATE($C84,$D84),"")))</f>
        <v/>
      </c>
      <c r="G84" s="83">
        <f>IF($F84="","",$F84-TODAY())</f>
        <v/>
      </c>
      <c r="H84" s="85">
        <f>IF(OR($A84="",$B84=""),"",IF($F84="","No date",IF($G84&lt;0,"Overdue",IF($G84&lt;=30,"Due &lt;=30",IF($G84&lt;=60,"Due 31-60","OK")))))</f>
        <v/>
      </c>
      <c r="I84" s="54"/>
      <c r="J84" s="54"/>
      <c r="K84" s="54"/>
      <c r="L84" s="54"/>
      <c r="M84" s="105">
        <f>IF($F84="","",$F84+ROW()/100000)</f>
        <v/>
      </c>
    </row>
    <row r="85" spans="1:13">
      <c r="A85" s="54"/>
      <c r="B85" s="54"/>
      <c r="C85" s="52"/>
      <c r="D85" s="83">
        <f>IF($B85="","",IFERROR(IF(VLOOKUP($B85,Reference!$A$6:$C$27,3,FALSE)&gt;0,VLOOKUP($B85,Reference!$A$6:$C$27,3,FALSE),""),""))</f>
        <v/>
      </c>
      <c r="E85" s="53"/>
      <c r="F85" s="82">
        <f>IF(OR($A85="",$B85="",NOT(ISNUMBER($C85))),"",IF(ISNUMBER($E85),IF($E85&gt;0,EDATE($C85,$E85),""),IF(ISNUMBER($D85),EDATE($C85,$D85),"")))</f>
        <v/>
      </c>
      <c r="G85" s="83">
        <f>IF($F85="","",$F85-TODAY())</f>
        <v/>
      </c>
      <c r="H85" s="85">
        <f>IF(OR($A85="",$B85=""),"",IF($F85="","No date",IF($G85&lt;0,"Overdue",IF($G85&lt;=30,"Due &lt;=30",IF($G85&lt;=60,"Due 31-60","OK")))))</f>
        <v/>
      </c>
      <c r="I85" s="54"/>
      <c r="J85" s="54"/>
      <c r="K85" s="54"/>
      <c r="L85" s="54"/>
      <c r="M85" s="105">
        <f>IF($F85="","",$F85+ROW()/100000)</f>
        <v/>
      </c>
    </row>
    <row r="86" spans="1:13">
      <c r="A86" s="54"/>
      <c r="B86" s="54"/>
      <c r="C86" s="52"/>
      <c r="D86" s="83">
        <f>IF($B86="","",IFERROR(IF(VLOOKUP($B86,Reference!$A$6:$C$27,3,FALSE)&gt;0,VLOOKUP($B86,Reference!$A$6:$C$27,3,FALSE),""),""))</f>
        <v/>
      </c>
      <c r="E86" s="53"/>
      <c r="F86" s="82">
        <f>IF(OR($A86="",$B86="",NOT(ISNUMBER($C86))),"",IF(ISNUMBER($E86),IF($E86&gt;0,EDATE($C86,$E86),""),IF(ISNUMBER($D86),EDATE($C86,$D86),"")))</f>
        <v/>
      </c>
      <c r="G86" s="83">
        <f>IF($F86="","",$F86-TODAY())</f>
        <v/>
      </c>
      <c r="H86" s="85">
        <f>IF(OR($A86="",$B86=""),"",IF($F86="","No date",IF($G86&lt;0,"Overdue",IF($G86&lt;=30,"Due &lt;=30",IF($G86&lt;=60,"Due 31-60","OK")))))</f>
        <v/>
      </c>
      <c r="I86" s="54"/>
      <c r="J86" s="54"/>
      <c r="K86" s="54"/>
      <c r="L86" s="54"/>
      <c r="M86" s="105">
        <f>IF($F86="","",$F86+ROW()/100000)</f>
        <v/>
      </c>
    </row>
    <row r="87" spans="1:13">
      <c r="A87" s="54"/>
      <c r="B87" s="54"/>
      <c r="C87" s="52"/>
      <c r="D87" s="83">
        <f>IF($B87="","",IFERROR(IF(VLOOKUP($B87,Reference!$A$6:$C$27,3,FALSE)&gt;0,VLOOKUP($B87,Reference!$A$6:$C$27,3,FALSE),""),""))</f>
        <v/>
      </c>
      <c r="E87" s="53"/>
      <c r="F87" s="82">
        <f>IF(OR($A87="",$B87="",NOT(ISNUMBER($C87))),"",IF(ISNUMBER($E87),IF($E87&gt;0,EDATE($C87,$E87),""),IF(ISNUMBER($D87),EDATE($C87,$D87),"")))</f>
        <v/>
      </c>
      <c r="G87" s="83">
        <f>IF($F87="","",$F87-TODAY())</f>
        <v/>
      </c>
      <c r="H87" s="85">
        <f>IF(OR($A87="",$B87=""),"",IF($F87="","No date",IF($G87&lt;0,"Overdue",IF($G87&lt;=30,"Due &lt;=30",IF($G87&lt;=60,"Due 31-60","OK")))))</f>
        <v/>
      </c>
      <c r="I87" s="54"/>
      <c r="J87" s="54"/>
      <c r="K87" s="54"/>
      <c r="L87" s="54"/>
      <c r="M87" s="105">
        <f>IF($F87="","",$F87+ROW()/100000)</f>
        <v/>
      </c>
    </row>
    <row r="88" spans="1:13">
      <c r="A88" s="54"/>
      <c r="B88" s="54"/>
      <c r="C88" s="52"/>
      <c r="D88" s="83">
        <f>IF($B88="","",IFERROR(IF(VLOOKUP($B88,Reference!$A$6:$C$27,3,FALSE)&gt;0,VLOOKUP($B88,Reference!$A$6:$C$27,3,FALSE),""),""))</f>
        <v/>
      </c>
      <c r="E88" s="53"/>
      <c r="F88" s="82">
        <f>IF(OR($A88="",$B88="",NOT(ISNUMBER($C88))),"",IF(ISNUMBER($E88),IF($E88&gt;0,EDATE($C88,$E88),""),IF(ISNUMBER($D88),EDATE($C88,$D88),"")))</f>
        <v/>
      </c>
      <c r="G88" s="83">
        <f>IF($F88="","",$F88-TODAY())</f>
        <v/>
      </c>
      <c r="H88" s="85">
        <f>IF(OR($A88="",$B88=""),"",IF($F88="","No date",IF($G88&lt;0,"Overdue",IF($G88&lt;=30,"Due &lt;=30",IF($G88&lt;=60,"Due 31-60","OK")))))</f>
        <v/>
      </c>
      <c r="I88" s="54"/>
      <c r="J88" s="54"/>
      <c r="K88" s="54"/>
      <c r="L88" s="54"/>
      <c r="M88" s="105">
        <f>IF($F88="","",$F88+ROW()/100000)</f>
        <v/>
      </c>
    </row>
    <row r="89" spans="1:13">
      <c r="A89" s="54"/>
      <c r="B89" s="54"/>
      <c r="C89" s="52"/>
      <c r="D89" s="83">
        <f>IF($B89="","",IFERROR(IF(VLOOKUP($B89,Reference!$A$6:$C$27,3,FALSE)&gt;0,VLOOKUP($B89,Reference!$A$6:$C$27,3,FALSE),""),""))</f>
        <v/>
      </c>
      <c r="E89" s="53"/>
      <c r="F89" s="82">
        <f>IF(OR($A89="",$B89="",NOT(ISNUMBER($C89))),"",IF(ISNUMBER($E89),IF($E89&gt;0,EDATE($C89,$E89),""),IF(ISNUMBER($D89),EDATE($C89,$D89),"")))</f>
        <v/>
      </c>
      <c r="G89" s="83">
        <f>IF($F89="","",$F89-TODAY())</f>
        <v/>
      </c>
      <c r="H89" s="85">
        <f>IF(OR($A89="",$B89=""),"",IF($F89="","No date",IF($G89&lt;0,"Overdue",IF($G89&lt;=30,"Due &lt;=30",IF($G89&lt;=60,"Due 31-60","OK")))))</f>
        <v/>
      </c>
      <c r="I89" s="54"/>
      <c r="J89" s="54"/>
      <c r="K89" s="54"/>
      <c r="L89" s="54"/>
      <c r="M89" s="105">
        <f>IF($F89="","",$F89+ROW()/100000)</f>
        <v/>
      </c>
    </row>
    <row r="90" spans="1:13">
      <c r="A90" s="54"/>
      <c r="B90" s="54"/>
      <c r="C90" s="52"/>
      <c r="D90" s="83">
        <f>IF($B90="","",IFERROR(IF(VLOOKUP($B90,Reference!$A$6:$C$27,3,FALSE)&gt;0,VLOOKUP($B90,Reference!$A$6:$C$27,3,FALSE),""),""))</f>
        <v/>
      </c>
      <c r="E90" s="53"/>
      <c r="F90" s="82">
        <f>IF(OR($A90="",$B90="",NOT(ISNUMBER($C90))),"",IF(ISNUMBER($E90),IF($E90&gt;0,EDATE($C90,$E90),""),IF(ISNUMBER($D90),EDATE($C90,$D90),"")))</f>
        <v/>
      </c>
      <c r="G90" s="83">
        <f>IF($F90="","",$F90-TODAY())</f>
        <v/>
      </c>
      <c r="H90" s="85">
        <f>IF(OR($A90="",$B90=""),"",IF($F90="","No date",IF($G90&lt;0,"Overdue",IF($G90&lt;=30,"Due &lt;=30",IF($G90&lt;=60,"Due 31-60","OK")))))</f>
        <v/>
      </c>
      <c r="I90" s="54"/>
      <c r="J90" s="54"/>
      <c r="K90" s="54"/>
      <c r="L90" s="54"/>
      <c r="M90" s="105">
        <f>IF($F90="","",$F90+ROW()/100000)</f>
        <v/>
      </c>
    </row>
    <row r="91" spans="1:13">
      <c r="A91" s="54"/>
      <c r="B91" s="54"/>
      <c r="C91" s="52"/>
      <c r="D91" s="83">
        <f>IF($B91="","",IFERROR(IF(VLOOKUP($B91,Reference!$A$6:$C$27,3,FALSE)&gt;0,VLOOKUP($B91,Reference!$A$6:$C$27,3,FALSE),""),""))</f>
        <v/>
      </c>
      <c r="E91" s="53"/>
      <c r="F91" s="82">
        <f>IF(OR($A91="",$B91="",NOT(ISNUMBER($C91))),"",IF(ISNUMBER($E91),IF($E91&gt;0,EDATE($C91,$E91),""),IF(ISNUMBER($D91),EDATE($C91,$D91),"")))</f>
        <v/>
      </c>
      <c r="G91" s="83">
        <f>IF($F91="","",$F91-TODAY())</f>
        <v/>
      </c>
      <c r="H91" s="85">
        <f>IF(OR($A91="",$B91=""),"",IF($F91="","No date",IF($G91&lt;0,"Overdue",IF($G91&lt;=30,"Due &lt;=30",IF($G91&lt;=60,"Due 31-60","OK")))))</f>
        <v/>
      </c>
      <c r="I91" s="54"/>
      <c r="J91" s="54"/>
      <c r="K91" s="54"/>
      <c r="L91" s="54"/>
      <c r="M91" s="105">
        <f>IF($F91="","",$F91+ROW()/100000)</f>
        <v/>
      </c>
    </row>
    <row r="92" spans="1:13">
      <c r="A92" s="54"/>
      <c r="B92" s="54"/>
      <c r="C92" s="52"/>
      <c r="D92" s="83">
        <f>IF($B92="","",IFERROR(IF(VLOOKUP($B92,Reference!$A$6:$C$27,3,FALSE)&gt;0,VLOOKUP($B92,Reference!$A$6:$C$27,3,FALSE),""),""))</f>
        <v/>
      </c>
      <c r="E92" s="53"/>
      <c r="F92" s="82">
        <f>IF(OR($A92="",$B92="",NOT(ISNUMBER($C92))),"",IF(ISNUMBER($E92),IF($E92&gt;0,EDATE($C92,$E92),""),IF(ISNUMBER($D92),EDATE($C92,$D92),"")))</f>
        <v/>
      </c>
      <c r="G92" s="83">
        <f>IF($F92="","",$F92-TODAY())</f>
        <v/>
      </c>
      <c r="H92" s="85">
        <f>IF(OR($A92="",$B92=""),"",IF($F92="","No date",IF($G92&lt;0,"Overdue",IF($G92&lt;=30,"Due &lt;=30",IF($G92&lt;=60,"Due 31-60","OK")))))</f>
        <v/>
      </c>
      <c r="I92" s="54"/>
      <c r="J92" s="54"/>
      <c r="K92" s="54"/>
      <c r="L92" s="54"/>
      <c r="M92" s="105">
        <f>IF($F92="","",$F92+ROW()/100000)</f>
        <v/>
      </c>
    </row>
    <row r="93" spans="1:13">
      <c r="A93" s="54"/>
      <c r="B93" s="54"/>
      <c r="C93" s="52"/>
      <c r="D93" s="83">
        <f>IF($B93="","",IFERROR(IF(VLOOKUP($B93,Reference!$A$6:$C$27,3,FALSE)&gt;0,VLOOKUP($B93,Reference!$A$6:$C$27,3,FALSE),""),""))</f>
        <v/>
      </c>
      <c r="E93" s="53"/>
      <c r="F93" s="82">
        <f>IF(OR($A93="",$B93="",NOT(ISNUMBER($C93))),"",IF(ISNUMBER($E93),IF($E93&gt;0,EDATE($C93,$E93),""),IF(ISNUMBER($D93),EDATE($C93,$D93),"")))</f>
        <v/>
      </c>
      <c r="G93" s="83">
        <f>IF($F93="","",$F93-TODAY())</f>
        <v/>
      </c>
      <c r="H93" s="85">
        <f>IF(OR($A93="",$B93=""),"",IF($F93="","No date",IF($G93&lt;0,"Overdue",IF($G93&lt;=30,"Due &lt;=30",IF($G93&lt;=60,"Due 31-60","OK")))))</f>
        <v/>
      </c>
      <c r="I93" s="54"/>
      <c r="J93" s="54"/>
      <c r="K93" s="54"/>
      <c r="L93" s="54"/>
      <c r="M93" s="105">
        <f>IF($F93="","",$F93+ROW()/100000)</f>
        <v/>
      </c>
    </row>
    <row r="94" spans="1:13">
      <c r="A94" s="54"/>
      <c r="B94" s="54"/>
      <c r="C94" s="52"/>
      <c r="D94" s="83">
        <f>IF($B94="","",IFERROR(IF(VLOOKUP($B94,Reference!$A$6:$C$27,3,FALSE)&gt;0,VLOOKUP($B94,Reference!$A$6:$C$27,3,FALSE),""),""))</f>
        <v/>
      </c>
      <c r="E94" s="53"/>
      <c r="F94" s="82">
        <f>IF(OR($A94="",$B94="",NOT(ISNUMBER($C94))),"",IF(ISNUMBER($E94),IF($E94&gt;0,EDATE($C94,$E94),""),IF(ISNUMBER($D94),EDATE($C94,$D94),"")))</f>
        <v/>
      </c>
      <c r="G94" s="83">
        <f>IF($F94="","",$F94-TODAY())</f>
        <v/>
      </c>
      <c r="H94" s="85">
        <f>IF(OR($A94="",$B94=""),"",IF($F94="","No date",IF($G94&lt;0,"Overdue",IF($G94&lt;=30,"Due &lt;=30",IF($G94&lt;=60,"Due 31-60","OK")))))</f>
        <v/>
      </c>
      <c r="I94" s="54"/>
      <c r="J94" s="54"/>
      <c r="K94" s="54"/>
      <c r="L94" s="54"/>
      <c r="M94" s="105">
        <f>IF($F94="","",$F94+ROW()/100000)</f>
        <v/>
      </c>
    </row>
    <row r="95" spans="1:13">
      <c r="A95" s="54"/>
      <c r="B95" s="54"/>
      <c r="C95" s="52"/>
      <c r="D95" s="83">
        <f>IF($B95="","",IFERROR(IF(VLOOKUP($B95,Reference!$A$6:$C$27,3,FALSE)&gt;0,VLOOKUP($B95,Reference!$A$6:$C$27,3,FALSE),""),""))</f>
        <v/>
      </c>
      <c r="E95" s="53"/>
      <c r="F95" s="82">
        <f>IF(OR($A95="",$B95="",NOT(ISNUMBER($C95))),"",IF(ISNUMBER($E95),IF($E95&gt;0,EDATE($C95,$E95),""),IF(ISNUMBER($D95),EDATE($C95,$D95),"")))</f>
        <v/>
      </c>
      <c r="G95" s="83">
        <f>IF($F95="","",$F95-TODAY())</f>
        <v/>
      </c>
      <c r="H95" s="85">
        <f>IF(OR($A95="",$B95=""),"",IF($F95="","No date",IF($G95&lt;0,"Overdue",IF($G95&lt;=30,"Due &lt;=30",IF($G95&lt;=60,"Due 31-60","OK")))))</f>
        <v/>
      </c>
      <c r="I95" s="54"/>
      <c r="J95" s="54"/>
      <c r="K95" s="54"/>
      <c r="L95" s="54"/>
      <c r="M95" s="105">
        <f>IF($F95="","",$F95+ROW()/100000)</f>
        <v/>
      </c>
    </row>
    <row r="96" spans="1:13">
      <c r="A96" s="54"/>
      <c r="B96" s="54"/>
      <c r="C96" s="52"/>
      <c r="D96" s="83">
        <f>IF($B96="","",IFERROR(IF(VLOOKUP($B96,Reference!$A$6:$C$27,3,FALSE)&gt;0,VLOOKUP($B96,Reference!$A$6:$C$27,3,FALSE),""),""))</f>
        <v/>
      </c>
      <c r="E96" s="53"/>
      <c r="F96" s="82">
        <f>IF(OR($A96="",$B96="",NOT(ISNUMBER($C96))),"",IF(ISNUMBER($E96),IF($E96&gt;0,EDATE($C96,$E96),""),IF(ISNUMBER($D96),EDATE($C96,$D96),"")))</f>
        <v/>
      </c>
      <c r="G96" s="83">
        <f>IF($F96="","",$F96-TODAY())</f>
        <v/>
      </c>
      <c r="H96" s="85">
        <f>IF(OR($A96="",$B96=""),"",IF($F96="","No date",IF($G96&lt;0,"Overdue",IF($G96&lt;=30,"Due &lt;=30",IF($G96&lt;=60,"Due 31-60","OK")))))</f>
        <v/>
      </c>
      <c r="I96" s="54"/>
      <c r="J96" s="54"/>
      <c r="K96" s="54"/>
      <c r="L96" s="54"/>
      <c r="M96" s="105">
        <f>IF($F96="","",$F96+ROW()/100000)</f>
        <v/>
      </c>
    </row>
    <row r="97" spans="1:13">
      <c r="A97" s="54"/>
      <c r="B97" s="54"/>
      <c r="C97" s="52"/>
      <c r="D97" s="83">
        <f>IF($B97="","",IFERROR(IF(VLOOKUP($B97,Reference!$A$6:$C$27,3,FALSE)&gt;0,VLOOKUP($B97,Reference!$A$6:$C$27,3,FALSE),""),""))</f>
        <v/>
      </c>
      <c r="E97" s="53"/>
      <c r="F97" s="82">
        <f>IF(OR($A97="",$B97="",NOT(ISNUMBER($C97))),"",IF(ISNUMBER($E97),IF($E97&gt;0,EDATE($C97,$E97),""),IF(ISNUMBER($D97),EDATE($C97,$D97),"")))</f>
        <v/>
      </c>
      <c r="G97" s="83">
        <f>IF($F97="","",$F97-TODAY())</f>
        <v/>
      </c>
      <c r="H97" s="85">
        <f>IF(OR($A97="",$B97=""),"",IF($F97="","No date",IF($G97&lt;0,"Overdue",IF($G97&lt;=30,"Due &lt;=30",IF($G97&lt;=60,"Due 31-60","OK")))))</f>
        <v/>
      </c>
      <c r="I97" s="54"/>
      <c r="J97" s="54"/>
      <c r="K97" s="54"/>
      <c r="L97" s="54"/>
      <c r="M97" s="105">
        <f>IF($F97="","",$F97+ROW()/100000)</f>
        <v/>
      </c>
    </row>
    <row r="98" spans="1:13">
      <c r="A98" s="54"/>
      <c r="B98" s="54"/>
      <c r="C98" s="52"/>
      <c r="D98" s="83">
        <f>IF($B98="","",IFERROR(IF(VLOOKUP($B98,Reference!$A$6:$C$27,3,FALSE)&gt;0,VLOOKUP($B98,Reference!$A$6:$C$27,3,FALSE),""),""))</f>
        <v/>
      </c>
      <c r="E98" s="53"/>
      <c r="F98" s="82">
        <f>IF(OR($A98="",$B98="",NOT(ISNUMBER($C98))),"",IF(ISNUMBER($E98),IF($E98&gt;0,EDATE($C98,$E98),""),IF(ISNUMBER($D98),EDATE($C98,$D98),"")))</f>
        <v/>
      </c>
      <c r="G98" s="83">
        <f>IF($F98="","",$F98-TODAY())</f>
        <v/>
      </c>
      <c r="H98" s="85">
        <f>IF(OR($A98="",$B98=""),"",IF($F98="","No date",IF($G98&lt;0,"Overdue",IF($G98&lt;=30,"Due &lt;=30",IF($G98&lt;=60,"Due 31-60","OK")))))</f>
        <v/>
      </c>
      <c r="I98" s="54"/>
      <c r="J98" s="54"/>
      <c r="K98" s="54"/>
      <c r="L98" s="54"/>
      <c r="M98" s="105">
        <f>IF($F98="","",$F98+ROW()/100000)</f>
        <v/>
      </c>
    </row>
    <row r="99" spans="1:13">
      <c r="A99" s="54"/>
      <c r="B99" s="54"/>
      <c r="C99" s="52"/>
      <c r="D99" s="83">
        <f>IF($B99="","",IFERROR(IF(VLOOKUP($B99,Reference!$A$6:$C$27,3,FALSE)&gt;0,VLOOKUP($B99,Reference!$A$6:$C$27,3,FALSE),""),""))</f>
        <v/>
      </c>
      <c r="E99" s="53"/>
      <c r="F99" s="82">
        <f>IF(OR($A99="",$B99="",NOT(ISNUMBER($C99))),"",IF(ISNUMBER($E99),IF($E99&gt;0,EDATE($C99,$E99),""),IF(ISNUMBER($D99),EDATE($C99,$D99),"")))</f>
        <v/>
      </c>
      <c r="G99" s="83">
        <f>IF($F99="","",$F99-TODAY())</f>
        <v/>
      </c>
      <c r="H99" s="85">
        <f>IF(OR($A99="",$B99=""),"",IF($F99="","No date",IF($G99&lt;0,"Overdue",IF($G99&lt;=30,"Due &lt;=30",IF($G99&lt;=60,"Due 31-60","OK")))))</f>
        <v/>
      </c>
      <c r="I99" s="54"/>
      <c r="J99" s="54"/>
      <c r="K99" s="54"/>
      <c r="L99" s="54"/>
      <c r="M99" s="105">
        <f>IF($F99="","",$F99+ROW()/100000)</f>
        <v/>
      </c>
    </row>
    <row r="100" spans="1:13">
      <c r="A100" s="54"/>
      <c r="B100" s="54"/>
      <c r="C100" s="52"/>
      <c r="D100" s="83">
        <f>IF($B100="","",IFERROR(IF(VLOOKUP($B100,Reference!$A$6:$C$27,3,FALSE)&gt;0,VLOOKUP($B100,Reference!$A$6:$C$27,3,FALSE),""),""))</f>
        <v/>
      </c>
      <c r="E100" s="53"/>
      <c r="F100" s="82">
        <f>IF(OR($A100="",$B100="",NOT(ISNUMBER($C100))),"",IF(ISNUMBER($E100),IF($E100&gt;0,EDATE($C100,$E100),""),IF(ISNUMBER($D100),EDATE($C100,$D100),"")))</f>
        <v/>
      </c>
      <c r="G100" s="83">
        <f>IF($F100="","",$F100-TODAY())</f>
        <v/>
      </c>
      <c r="H100" s="85">
        <f>IF(OR($A100="",$B100=""),"",IF($F100="","No date",IF($G100&lt;0,"Overdue",IF($G100&lt;=30,"Due &lt;=30",IF($G100&lt;=60,"Due 31-60","OK")))))</f>
        <v/>
      </c>
      <c r="I100" s="54"/>
      <c r="J100" s="54"/>
      <c r="K100" s="54"/>
      <c r="L100" s="54"/>
      <c r="M100" s="105">
        <f>IF($F100="","",$F100+ROW()/100000)</f>
        <v/>
      </c>
    </row>
    <row r="101" spans="1:13">
      <c r="A101" s="54"/>
      <c r="B101" s="54"/>
      <c r="C101" s="52"/>
      <c r="D101" s="83">
        <f>IF($B101="","",IFERROR(IF(VLOOKUP($B101,Reference!$A$6:$C$27,3,FALSE)&gt;0,VLOOKUP($B101,Reference!$A$6:$C$27,3,FALSE),""),""))</f>
        <v/>
      </c>
      <c r="E101" s="53"/>
      <c r="F101" s="82">
        <f>IF(OR($A101="",$B101="",NOT(ISNUMBER($C101))),"",IF(ISNUMBER($E101),IF($E101&gt;0,EDATE($C101,$E101),""),IF(ISNUMBER($D101),EDATE($C101,$D101),"")))</f>
        <v/>
      </c>
      <c r="G101" s="83">
        <f>IF($F101="","",$F101-TODAY())</f>
        <v/>
      </c>
      <c r="H101" s="85">
        <f>IF(OR($A101="",$B101=""),"",IF($F101="","No date",IF($G101&lt;0,"Overdue",IF($G101&lt;=30,"Due &lt;=30",IF($G101&lt;=60,"Due 31-60","OK")))))</f>
        <v/>
      </c>
      <c r="I101" s="54"/>
      <c r="J101" s="54"/>
      <c r="K101" s="54"/>
      <c r="L101" s="54"/>
      <c r="M101" s="105">
        <f>IF($F101="","",$F101+ROW()/100000)</f>
        <v/>
      </c>
    </row>
    <row r="102" spans="1:13">
      <c r="A102" s="54"/>
      <c r="B102" s="54"/>
      <c r="C102" s="52"/>
      <c r="D102" s="83">
        <f>IF($B102="","",IFERROR(IF(VLOOKUP($B102,Reference!$A$6:$C$27,3,FALSE)&gt;0,VLOOKUP($B102,Reference!$A$6:$C$27,3,FALSE),""),""))</f>
        <v/>
      </c>
      <c r="E102" s="53"/>
      <c r="F102" s="82">
        <f>IF(OR($A102="",$B102="",NOT(ISNUMBER($C102))),"",IF(ISNUMBER($E102),IF($E102&gt;0,EDATE($C102,$E102),""),IF(ISNUMBER($D102),EDATE($C102,$D102),"")))</f>
        <v/>
      </c>
      <c r="G102" s="83">
        <f>IF($F102="","",$F102-TODAY())</f>
        <v/>
      </c>
      <c r="H102" s="85">
        <f>IF(OR($A102="",$B102=""),"",IF($F102="","No date",IF($G102&lt;0,"Overdue",IF($G102&lt;=30,"Due &lt;=30",IF($G102&lt;=60,"Due 31-60","OK")))))</f>
        <v/>
      </c>
      <c r="I102" s="54"/>
      <c r="J102" s="54"/>
      <c r="K102" s="54"/>
      <c r="L102" s="54"/>
      <c r="M102" s="105">
        <f>IF($F102="","",$F102+ROW()/100000)</f>
        <v/>
      </c>
    </row>
    <row r="103" spans="1:13">
      <c r="A103" s="54"/>
      <c r="B103" s="54"/>
      <c r="C103" s="52"/>
      <c r="D103" s="83">
        <f>IF($B103="","",IFERROR(IF(VLOOKUP($B103,Reference!$A$6:$C$27,3,FALSE)&gt;0,VLOOKUP($B103,Reference!$A$6:$C$27,3,FALSE),""),""))</f>
        <v/>
      </c>
      <c r="E103" s="53"/>
      <c r="F103" s="82">
        <f>IF(OR($A103="",$B103="",NOT(ISNUMBER($C103))),"",IF(ISNUMBER($E103),IF($E103&gt;0,EDATE($C103,$E103),""),IF(ISNUMBER($D103),EDATE($C103,$D103),"")))</f>
        <v/>
      </c>
      <c r="G103" s="83">
        <f>IF($F103="","",$F103-TODAY())</f>
        <v/>
      </c>
      <c r="H103" s="85">
        <f>IF(OR($A103="",$B103=""),"",IF($F103="","No date",IF($G103&lt;0,"Overdue",IF($G103&lt;=30,"Due &lt;=30",IF($G103&lt;=60,"Due 31-60","OK")))))</f>
        <v/>
      </c>
      <c r="I103" s="54"/>
      <c r="J103" s="54"/>
      <c r="K103" s="54"/>
      <c r="L103" s="54"/>
      <c r="M103" s="105">
        <f>IF($F103="","",$F103+ROW()/100000)</f>
        <v/>
      </c>
    </row>
    <row r="104" spans="1:13">
      <c r="A104" s="54"/>
      <c r="B104" s="54"/>
      <c r="C104" s="52"/>
      <c r="D104" s="83">
        <f>IF($B104="","",IFERROR(IF(VLOOKUP($B104,Reference!$A$6:$C$27,3,FALSE)&gt;0,VLOOKUP($B104,Reference!$A$6:$C$27,3,FALSE),""),""))</f>
        <v/>
      </c>
      <c r="E104" s="53"/>
      <c r="F104" s="82">
        <f>IF(OR($A104="",$B104="",NOT(ISNUMBER($C104))),"",IF(ISNUMBER($E104),IF($E104&gt;0,EDATE($C104,$E104),""),IF(ISNUMBER($D104),EDATE($C104,$D104),"")))</f>
        <v/>
      </c>
      <c r="G104" s="83">
        <f>IF($F104="","",$F104-TODAY())</f>
        <v/>
      </c>
      <c r="H104" s="85">
        <f>IF(OR($A104="",$B104=""),"",IF($F104="","No date",IF($G104&lt;0,"Overdue",IF($G104&lt;=30,"Due &lt;=30",IF($G104&lt;=60,"Due 31-60","OK")))))</f>
        <v/>
      </c>
      <c r="I104" s="54"/>
      <c r="J104" s="54"/>
      <c r="K104" s="54"/>
      <c r="L104" s="54"/>
      <c r="M104" s="105">
        <f>IF($F104="","",$F104+ROW()/100000)</f>
        <v/>
      </c>
    </row>
    <row r="105" spans="1:13">
      <c r="A105" s="54"/>
      <c r="B105" s="54"/>
      <c r="C105" s="52"/>
      <c r="D105" s="83">
        <f>IF($B105="","",IFERROR(IF(VLOOKUP($B105,Reference!$A$6:$C$27,3,FALSE)&gt;0,VLOOKUP($B105,Reference!$A$6:$C$27,3,FALSE),""),""))</f>
        <v/>
      </c>
      <c r="E105" s="53"/>
      <c r="F105" s="82">
        <f>IF(OR($A105="",$B105="",NOT(ISNUMBER($C105))),"",IF(ISNUMBER($E105),IF($E105&gt;0,EDATE($C105,$E105),""),IF(ISNUMBER($D105),EDATE($C105,$D105),"")))</f>
        <v/>
      </c>
      <c r="G105" s="83">
        <f>IF($F105="","",$F105-TODAY())</f>
        <v/>
      </c>
      <c r="H105" s="85">
        <f>IF(OR($A105="",$B105=""),"",IF($F105="","No date",IF($G105&lt;0,"Overdue",IF($G105&lt;=30,"Due &lt;=30",IF($G105&lt;=60,"Due 31-60","OK")))))</f>
        <v/>
      </c>
      <c r="I105" s="54"/>
      <c r="J105" s="54"/>
      <c r="K105" s="54"/>
      <c r="L105" s="54"/>
      <c r="M105" s="105">
        <f>IF($F105="","",$F105+ROW()/100000)</f>
        <v/>
      </c>
    </row>
    <row r="106" spans="1:13">
      <c r="A106" s="54"/>
      <c r="B106" s="54"/>
      <c r="C106" s="52"/>
      <c r="D106" s="83">
        <f>IF($B106="","",IFERROR(IF(VLOOKUP($B106,Reference!$A$6:$C$27,3,FALSE)&gt;0,VLOOKUP($B106,Reference!$A$6:$C$27,3,FALSE),""),""))</f>
        <v/>
      </c>
      <c r="E106" s="53"/>
      <c r="F106" s="82">
        <f>IF(OR($A106="",$B106="",NOT(ISNUMBER($C106))),"",IF(ISNUMBER($E106),IF($E106&gt;0,EDATE($C106,$E106),""),IF(ISNUMBER($D106),EDATE($C106,$D106),"")))</f>
        <v/>
      </c>
      <c r="G106" s="83">
        <f>IF($F106="","",$F106-TODAY())</f>
        <v/>
      </c>
      <c r="H106" s="85">
        <f>IF(OR($A106="",$B106=""),"",IF($F106="","No date",IF($G106&lt;0,"Overdue",IF($G106&lt;=30,"Due &lt;=30",IF($G106&lt;=60,"Due 31-60","OK")))))</f>
        <v/>
      </c>
      <c r="I106" s="54"/>
      <c r="J106" s="54"/>
      <c r="K106" s="54"/>
      <c r="L106" s="54"/>
      <c r="M106" s="105">
        <f>IF($F106="","",$F106+ROW()/100000)</f>
        <v/>
      </c>
    </row>
    <row r="107" spans="1:13">
      <c r="A107" s="54"/>
      <c r="B107" s="54"/>
      <c r="C107" s="52"/>
      <c r="D107" s="83">
        <f>IF($B107="","",IFERROR(IF(VLOOKUP($B107,Reference!$A$6:$C$27,3,FALSE)&gt;0,VLOOKUP($B107,Reference!$A$6:$C$27,3,FALSE),""),""))</f>
        <v/>
      </c>
      <c r="E107" s="53"/>
      <c r="F107" s="82">
        <f>IF(OR($A107="",$B107="",NOT(ISNUMBER($C107))),"",IF(ISNUMBER($E107),IF($E107&gt;0,EDATE($C107,$E107),""),IF(ISNUMBER($D107),EDATE($C107,$D107),"")))</f>
        <v/>
      </c>
      <c r="G107" s="83">
        <f>IF($F107="","",$F107-TODAY())</f>
        <v/>
      </c>
      <c r="H107" s="85">
        <f>IF(OR($A107="",$B107=""),"",IF($F107="","No date",IF($G107&lt;0,"Overdue",IF($G107&lt;=30,"Due &lt;=30",IF($G107&lt;=60,"Due 31-60","OK")))))</f>
        <v/>
      </c>
      <c r="I107" s="54"/>
      <c r="J107" s="54"/>
      <c r="K107" s="54"/>
      <c r="L107" s="54"/>
      <c r="M107" s="105">
        <f>IF($F107="","",$F107+ROW()/100000)</f>
        <v/>
      </c>
    </row>
    <row r="108" spans="1:13">
      <c r="A108" s="54"/>
      <c r="B108" s="54"/>
      <c r="C108" s="52"/>
      <c r="D108" s="83">
        <f>IF($B108="","",IFERROR(IF(VLOOKUP($B108,Reference!$A$6:$C$27,3,FALSE)&gt;0,VLOOKUP($B108,Reference!$A$6:$C$27,3,FALSE),""),""))</f>
        <v/>
      </c>
      <c r="E108" s="53"/>
      <c r="F108" s="82">
        <f>IF(OR($A108="",$B108="",NOT(ISNUMBER($C108))),"",IF(ISNUMBER($E108),IF($E108&gt;0,EDATE($C108,$E108),""),IF(ISNUMBER($D108),EDATE($C108,$D108),"")))</f>
        <v/>
      </c>
      <c r="G108" s="83">
        <f>IF($F108="","",$F108-TODAY())</f>
        <v/>
      </c>
      <c r="H108" s="85">
        <f>IF(OR($A108="",$B108=""),"",IF($F108="","No date",IF($G108&lt;0,"Overdue",IF($G108&lt;=30,"Due &lt;=30",IF($G108&lt;=60,"Due 31-60","OK")))))</f>
        <v/>
      </c>
      <c r="I108" s="54"/>
      <c r="J108" s="54"/>
      <c r="K108" s="54"/>
      <c r="L108" s="54"/>
      <c r="M108" s="105">
        <f>IF($F108="","",$F108+ROW()/100000)</f>
        <v/>
      </c>
    </row>
    <row r="109" spans="1:13">
      <c r="A109" s="54"/>
      <c r="B109" s="54"/>
      <c r="C109" s="52"/>
      <c r="D109" s="83">
        <f>IF($B109="","",IFERROR(IF(VLOOKUP($B109,Reference!$A$6:$C$27,3,FALSE)&gt;0,VLOOKUP($B109,Reference!$A$6:$C$27,3,FALSE),""),""))</f>
        <v/>
      </c>
      <c r="E109" s="53"/>
      <c r="F109" s="82">
        <f>IF(OR($A109="",$B109="",NOT(ISNUMBER($C109))),"",IF(ISNUMBER($E109),IF($E109&gt;0,EDATE($C109,$E109),""),IF(ISNUMBER($D109),EDATE($C109,$D109),"")))</f>
        <v/>
      </c>
      <c r="G109" s="83">
        <f>IF($F109="","",$F109-TODAY())</f>
        <v/>
      </c>
      <c r="H109" s="85">
        <f>IF(OR($A109="",$B109=""),"",IF($F109="","No date",IF($G109&lt;0,"Overdue",IF($G109&lt;=30,"Due &lt;=30",IF($G109&lt;=60,"Due 31-60","OK")))))</f>
        <v/>
      </c>
      <c r="I109" s="54"/>
      <c r="J109" s="54"/>
      <c r="K109" s="54"/>
      <c r="L109" s="54"/>
      <c r="M109" s="105">
        <f>IF($F109="","",$F109+ROW()/100000)</f>
        <v/>
      </c>
    </row>
    <row r="110" spans="1:13">
      <c r="A110" s="54"/>
      <c r="B110" s="54"/>
      <c r="C110" s="52"/>
      <c r="D110" s="83">
        <f>IF($B110="","",IFERROR(IF(VLOOKUP($B110,Reference!$A$6:$C$27,3,FALSE)&gt;0,VLOOKUP($B110,Reference!$A$6:$C$27,3,FALSE),""),""))</f>
        <v/>
      </c>
      <c r="E110" s="53"/>
      <c r="F110" s="82">
        <f>IF(OR($A110="",$B110="",NOT(ISNUMBER($C110))),"",IF(ISNUMBER($E110),IF($E110&gt;0,EDATE($C110,$E110),""),IF(ISNUMBER($D110),EDATE($C110,$D110),"")))</f>
        <v/>
      </c>
      <c r="G110" s="83">
        <f>IF($F110="","",$F110-TODAY())</f>
        <v/>
      </c>
      <c r="H110" s="85">
        <f>IF(OR($A110="",$B110=""),"",IF($F110="","No date",IF($G110&lt;0,"Overdue",IF($G110&lt;=30,"Due &lt;=30",IF($G110&lt;=60,"Due 31-60","OK")))))</f>
        <v/>
      </c>
      <c r="I110" s="54"/>
      <c r="J110" s="54"/>
      <c r="K110" s="54"/>
      <c r="L110" s="54"/>
      <c r="M110" s="105">
        <f>IF($F110="","",$F110+ROW()/100000)</f>
        <v/>
      </c>
    </row>
    <row r="111" spans="1:13">
      <c r="A111" s="54"/>
      <c r="B111" s="54"/>
      <c r="C111" s="52"/>
      <c r="D111" s="83">
        <f>IF($B111="","",IFERROR(IF(VLOOKUP($B111,Reference!$A$6:$C$27,3,FALSE)&gt;0,VLOOKUP($B111,Reference!$A$6:$C$27,3,FALSE),""),""))</f>
        <v/>
      </c>
      <c r="E111" s="53"/>
      <c r="F111" s="82">
        <f>IF(OR($A111="",$B111="",NOT(ISNUMBER($C111))),"",IF(ISNUMBER($E111),IF($E111&gt;0,EDATE($C111,$E111),""),IF(ISNUMBER($D111),EDATE($C111,$D111),"")))</f>
        <v/>
      </c>
      <c r="G111" s="83">
        <f>IF($F111="","",$F111-TODAY())</f>
        <v/>
      </c>
      <c r="H111" s="85">
        <f>IF(OR($A111="",$B111=""),"",IF($F111="","No date",IF($G111&lt;0,"Overdue",IF($G111&lt;=30,"Due &lt;=30",IF($G111&lt;=60,"Due 31-60","OK")))))</f>
        <v/>
      </c>
      <c r="I111" s="54"/>
      <c r="J111" s="54"/>
      <c r="K111" s="54"/>
      <c r="L111" s="54"/>
      <c r="M111" s="105">
        <f>IF($F111="","",$F111+ROW()/100000)</f>
        <v/>
      </c>
    </row>
    <row r="112" spans="1:13">
      <c r="A112" s="54"/>
      <c r="B112" s="54"/>
      <c r="C112" s="52"/>
      <c r="D112" s="83">
        <f>IF($B112="","",IFERROR(IF(VLOOKUP($B112,Reference!$A$6:$C$27,3,FALSE)&gt;0,VLOOKUP($B112,Reference!$A$6:$C$27,3,FALSE),""),""))</f>
        <v/>
      </c>
      <c r="E112" s="53"/>
      <c r="F112" s="82">
        <f>IF(OR($A112="",$B112="",NOT(ISNUMBER($C112))),"",IF(ISNUMBER($E112),IF($E112&gt;0,EDATE($C112,$E112),""),IF(ISNUMBER($D112),EDATE($C112,$D112),"")))</f>
        <v/>
      </c>
      <c r="G112" s="83">
        <f>IF($F112="","",$F112-TODAY())</f>
        <v/>
      </c>
      <c r="H112" s="85">
        <f>IF(OR($A112="",$B112=""),"",IF($F112="","No date",IF($G112&lt;0,"Overdue",IF($G112&lt;=30,"Due &lt;=30",IF($G112&lt;=60,"Due 31-60","OK")))))</f>
        <v/>
      </c>
      <c r="I112" s="54"/>
      <c r="J112" s="54"/>
      <c r="K112" s="54"/>
      <c r="L112" s="54"/>
      <c r="M112" s="105">
        <f>IF($F112="","",$F112+ROW()/100000)</f>
        <v/>
      </c>
    </row>
    <row r="113" spans="1:13">
      <c r="A113" s="54"/>
      <c r="B113" s="54"/>
      <c r="C113" s="52"/>
      <c r="D113" s="83">
        <f>IF($B113="","",IFERROR(IF(VLOOKUP($B113,Reference!$A$6:$C$27,3,FALSE)&gt;0,VLOOKUP($B113,Reference!$A$6:$C$27,3,FALSE),""),""))</f>
        <v/>
      </c>
      <c r="E113" s="53"/>
      <c r="F113" s="82">
        <f>IF(OR($A113="",$B113="",NOT(ISNUMBER($C113))),"",IF(ISNUMBER($E113),IF($E113&gt;0,EDATE($C113,$E113),""),IF(ISNUMBER($D113),EDATE($C113,$D113),"")))</f>
        <v/>
      </c>
      <c r="G113" s="83">
        <f>IF($F113="","",$F113-TODAY())</f>
        <v/>
      </c>
      <c r="H113" s="85">
        <f>IF(OR($A113="",$B113=""),"",IF($F113="","No date",IF($G113&lt;0,"Overdue",IF($G113&lt;=30,"Due &lt;=30",IF($G113&lt;=60,"Due 31-60","OK")))))</f>
        <v/>
      </c>
      <c r="I113" s="54"/>
      <c r="J113" s="54"/>
      <c r="K113" s="54"/>
      <c r="L113" s="54"/>
      <c r="M113" s="105">
        <f>IF($F113="","",$F113+ROW()/100000)</f>
        <v/>
      </c>
    </row>
    <row r="114" spans="1:13">
      <c r="A114" s="54"/>
      <c r="B114" s="54"/>
      <c r="C114" s="52"/>
      <c r="D114" s="83">
        <f>IF($B114="","",IFERROR(IF(VLOOKUP($B114,Reference!$A$6:$C$27,3,FALSE)&gt;0,VLOOKUP($B114,Reference!$A$6:$C$27,3,FALSE),""),""))</f>
        <v/>
      </c>
      <c r="E114" s="53"/>
      <c r="F114" s="82">
        <f>IF(OR($A114="",$B114="",NOT(ISNUMBER($C114))),"",IF(ISNUMBER($E114),IF($E114&gt;0,EDATE($C114,$E114),""),IF(ISNUMBER($D114),EDATE($C114,$D114),"")))</f>
        <v/>
      </c>
      <c r="G114" s="83">
        <f>IF($F114="","",$F114-TODAY())</f>
        <v/>
      </c>
      <c r="H114" s="85">
        <f>IF(OR($A114="",$B114=""),"",IF($F114="","No date",IF($G114&lt;0,"Overdue",IF($G114&lt;=30,"Due &lt;=30",IF($G114&lt;=60,"Due 31-60","OK")))))</f>
        <v/>
      </c>
      <c r="I114" s="54"/>
      <c r="J114" s="54"/>
      <c r="K114" s="54"/>
      <c r="L114" s="54"/>
      <c r="M114" s="105">
        <f>IF($F114="","",$F114+ROW()/100000)</f>
        <v/>
      </c>
    </row>
    <row r="115" spans="1:13">
      <c r="A115" s="54"/>
      <c r="B115" s="54"/>
      <c r="C115" s="52"/>
      <c r="D115" s="83">
        <f>IF($B115="","",IFERROR(IF(VLOOKUP($B115,Reference!$A$6:$C$27,3,FALSE)&gt;0,VLOOKUP($B115,Reference!$A$6:$C$27,3,FALSE),""),""))</f>
        <v/>
      </c>
      <c r="E115" s="53"/>
      <c r="F115" s="82">
        <f>IF(OR($A115="",$B115="",NOT(ISNUMBER($C115))),"",IF(ISNUMBER($E115),IF($E115&gt;0,EDATE($C115,$E115),""),IF(ISNUMBER($D115),EDATE($C115,$D115),"")))</f>
        <v/>
      </c>
      <c r="G115" s="83">
        <f>IF($F115="","",$F115-TODAY())</f>
        <v/>
      </c>
      <c r="H115" s="85">
        <f>IF(OR($A115="",$B115=""),"",IF($F115="","No date",IF($G115&lt;0,"Overdue",IF($G115&lt;=30,"Due &lt;=30",IF($G115&lt;=60,"Due 31-60","OK")))))</f>
        <v/>
      </c>
      <c r="I115" s="54"/>
      <c r="J115" s="54"/>
      <c r="K115" s="54"/>
      <c r="L115" s="54"/>
      <c r="M115" s="105">
        <f>IF($F115="","",$F115+ROW()/100000)</f>
        <v/>
      </c>
    </row>
    <row r="116" spans="1:13">
      <c r="A116" s="54"/>
      <c r="B116" s="54"/>
      <c r="C116" s="52"/>
      <c r="D116" s="83">
        <f>IF($B116="","",IFERROR(IF(VLOOKUP($B116,Reference!$A$6:$C$27,3,FALSE)&gt;0,VLOOKUP($B116,Reference!$A$6:$C$27,3,FALSE),""),""))</f>
        <v/>
      </c>
      <c r="E116" s="53"/>
      <c r="F116" s="82">
        <f>IF(OR($A116="",$B116="",NOT(ISNUMBER($C116))),"",IF(ISNUMBER($E116),IF($E116&gt;0,EDATE($C116,$E116),""),IF(ISNUMBER($D116),EDATE($C116,$D116),"")))</f>
        <v/>
      </c>
      <c r="G116" s="83">
        <f>IF($F116="","",$F116-TODAY())</f>
        <v/>
      </c>
      <c r="H116" s="85">
        <f>IF(OR($A116="",$B116=""),"",IF($F116="","No date",IF($G116&lt;0,"Overdue",IF($G116&lt;=30,"Due &lt;=30",IF($G116&lt;=60,"Due 31-60","OK")))))</f>
        <v/>
      </c>
      <c r="I116" s="54"/>
      <c r="J116" s="54"/>
      <c r="K116" s="54"/>
      <c r="L116" s="54"/>
      <c r="M116" s="105">
        <f>IF($F116="","",$F116+ROW()/100000)</f>
        <v/>
      </c>
    </row>
    <row r="117" spans="1:13">
      <c r="A117" s="54"/>
      <c r="B117" s="54"/>
      <c r="C117" s="52"/>
      <c r="D117" s="83">
        <f>IF($B117="","",IFERROR(IF(VLOOKUP($B117,Reference!$A$6:$C$27,3,FALSE)&gt;0,VLOOKUP($B117,Reference!$A$6:$C$27,3,FALSE),""),""))</f>
        <v/>
      </c>
      <c r="E117" s="53"/>
      <c r="F117" s="82">
        <f>IF(OR($A117="",$B117="",NOT(ISNUMBER($C117))),"",IF(ISNUMBER($E117),IF($E117&gt;0,EDATE($C117,$E117),""),IF(ISNUMBER($D117),EDATE($C117,$D117),"")))</f>
        <v/>
      </c>
      <c r="G117" s="83">
        <f>IF($F117="","",$F117-TODAY())</f>
        <v/>
      </c>
      <c r="H117" s="85">
        <f>IF(OR($A117="",$B117=""),"",IF($F117="","No date",IF($G117&lt;0,"Overdue",IF($G117&lt;=30,"Due &lt;=30",IF($G117&lt;=60,"Due 31-60","OK")))))</f>
        <v/>
      </c>
      <c r="I117" s="54"/>
      <c r="J117" s="54"/>
      <c r="K117" s="54"/>
      <c r="L117" s="54"/>
      <c r="M117" s="105">
        <f>IF($F117="","",$F117+ROW()/100000)</f>
        <v/>
      </c>
    </row>
    <row r="118" spans="1:13">
      <c r="A118" s="54"/>
      <c r="B118" s="54"/>
      <c r="C118" s="52"/>
      <c r="D118" s="83">
        <f>IF($B118="","",IFERROR(IF(VLOOKUP($B118,Reference!$A$6:$C$27,3,FALSE)&gt;0,VLOOKUP($B118,Reference!$A$6:$C$27,3,FALSE),""),""))</f>
        <v/>
      </c>
      <c r="E118" s="53"/>
      <c r="F118" s="82">
        <f>IF(OR($A118="",$B118="",NOT(ISNUMBER($C118))),"",IF(ISNUMBER($E118),IF($E118&gt;0,EDATE($C118,$E118),""),IF(ISNUMBER($D118),EDATE($C118,$D118),"")))</f>
        <v/>
      </c>
      <c r="G118" s="83">
        <f>IF($F118="","",$F118-TODAY())</f>
        <v/>
      </c>
      <c r="H118" s="85">
        <f>IF(OR($A118="",$B118=""),"",IF($F118="","No date",IF($G118&lt;0,"Overdue",IF($G118&lt;=30,"Due &lt;=30",IF($G118&lt;=60,"Due 31-60","OK")))))</f>
        <v/>
      </c>
      <c r="I118" s="54"/>
      <c r="J118" s="54"/>
      <c r="K118" s="54"/>
      <c r="L118" s="54"/>
      <c r="M118" s="105">
        <f>IF($F118="","",$F118+ROW()/100000)</f>
        <v/>
      </c>
    </row>
    <row r="119" spans="1:13">
      <c r="A119" s="54"/>
      <c r="B119" s="54"/>
      <c r="C119" s="52"/>
      <c r="D119" s="83">
        <f>IF($B119="","",IFERROR(IF(VLOOKUP($B119,Reference!$A$6:$C$27,3,FALSE)&gt;0,VLOOKUP($B119,Reference!$A$6:$C$27,3,FALSE),""),""))</f>
        <v/>
      </c>
      <c r="E119" s="53"/>
      <c r="F119" s="82">
        <f>IF(OR($A119="",$B119="",NOT(ISNUMBER($C119))),"",IF(ISNUMBER($E119),IF($E119&gt;0,EDATE($C119,$E119),""),IF(ISNUMBER($D119),EDATE($C119,$D119),"")))</f>
        <v/>
      </c>
      <c r="G119" s="83">
        <f>IF($F119="","",$F119-TODAY())</f>
        <v/>
      </c>
      <c r="H119" s="85">
        <f>IF(OR($A119="",$B119=""),"",IF($F119="","No date",IF($G119&lt;0,"Overdue",IF($G119&lt;=30,"Due &lt;=30",IF($G119&lt;=60,"Due 31-60","OK")))))</f>
        <v/>
      </c>
      <c r="I119" s="54"/>
      <c r="J119" s="54"/>
      <c r="K119" s="54"/>
      <c r="L119" s="54"/>
      <c r="M119" s="105">
        <f>IF($F119="","",$F119+ROW()/100000)</f>
        <v/>
      </c>
    </row>
    <row r="120" spans="1:13">
      <c r="A120" s="54"/>
      <c r="B120" s="54"/>
      <c r="C120" s="52"/>
      <c r="D120" s="83">
        <f>IF($B120="","",IFERROR(IF(VLOOKUP($B120,Reference!$A$6:$C$27,3,FALSE)&gt;0,VLOOKUP($B120,Reference!$A$6:$C$27,3,FALSE),""),""))</f>
        <v/>
      </c>
      <c r="E120" s="53"/>
      <c r="F120" s="82">
        <f>IF(OR($A120="",$B120="",NOT(ISNUMBER($C120))),"",IF(ISNUMBER($E120),IF($E120&gt;0,EDATE($C120,$E120),""),IF(ISNUMBER($D120),EDATE($C120,$D120),"")))</f>
        <v/>
      </c>
      <c r="G120" s="83">
        <f>IF($F120="","",$F120-TODAY())</f>
        <v/>
      </c>
      <c r="H120" s="85">
        <f>IF(OR($A120="",$B120=""),"",IF($F120="","No date",IF($G120&lt;0,"Overdue",IF($G120&lt;=30,"Due &lt;=30",IF($G120&lt;=60,"Due 31-60","OK")))))</f>
        <v/>
      </c>
      <c r="I120" s="54"/>
      <c r="J120" s="54"/>
      <c r="K120" s="54"/>
      <c r="L120" s="54"/>
      <c r="M120" s="105">
        <f>IF($F120="","",$F120+ROW()/100000)</f>
        <v/>
      </c>
    </row>
    <row r="121" spans="1:13">
      <c r="A121" s="54"/>
      <c r="B121" s="54"/>
      <c r="C121" s="52"/>
      <c r="D121" s="83">
        <f>IF($B121="","",IFERROR(IF(VLOOKUP($B121,Reference!$A$6:$C$27,3,FALSE)&gt;0,VLOOKUP($B121,Reference!$A$6:$C$27,3,FALSE),""),""))</f>
        <v/>
      </c>
      <c r="E121" s="53"/>
      <c r="F121" s="82">
        <f>IF(OR($A121="",$B121="",NOT(ISNUMBER($C121))),"",IF(ISNUMBER($E121),IF($E121&gt;0,EDATE($C121,$E121),""),IF(ISNUMBER($D121),EDATE($C121,$D121),"")))</f>
        <v/>
      </c>
      <c r="G121" s="83">
        <f>IF($F121="","",$F121-TODAY())</f>
        <v/>
      </c>
      <c r="H121" s="85">
        <f>IF(OR($A121="",$B121=""),"",IF($F121="","No date",IF($G121&lt;0,"Overdue",IF($G121&lt;=30,"Due &lt;=30",IF($G121&lt;=60,"Due 31-60","OK")))))</f>
        <v/>
      </c>
      <c r="I121" s="54"/>
      <c r="J121" s="54"/>
      <c r="K121" s="54"/>
      <c r="L121" s="54"/>
      <c r="M121" s="105">
        <f>IF($F121="","",$F121+ROW()/100000)</f>
        <v/>
      </c>
    </row>
    <row r="122" spans="1:13">
      <c r="A122" s="54"/>
      <c r="B122" s="54"/>
      <c r="C122" s="52"/>
      <c r="D122" s="83">
        <f>IF($B122="","",IFERROR(IF(VLOOKUP($B122,Reference!$A$6:$C$27,3,FALSE)&gt;0,VLOOKUP($B122,Reference!$A$6:$C$27,3,FALSE),""),""))</f>
        <v/>
      </c>
      <c r="E122" s="53"/>
      <c r="F122" s="82">
        <f>IF(OR($A122="",$B122="",NOT(ISNUMBER($C122))),"",IF(ISNUMBER($E122),IF($E122&gt;0,EDATE($C122,$E122),""),IF(ISNUMBER($D122),EDATE($C122,$D122),"")))</f>
        <v/>
      </c>
      <c r="G122" s="83">
        <f>IF($F122="","",$F122-TODAY())</f>
        <v/>
      </c>
      <c r="H122" s="85">
        <f>IF(OR($A122="",$B122=""),"",IF($F122="","No date",IF($G122&lt;0,"Overdue",IF($G122&lt;=30,"Due &lt;=30",IF($G122&lt;=60,"Due 31-60","OK")))))</f>
        <v/>
      </c>
      <c r="I122" s="54"/>
      <c r="J122" s="54"/>
      <c r="K122" s="54"/>
      <c r="L122" s="54"/>
      <c r="M122" s="105">
        <f>IF($F122="","",$F122+ROW()/100000)</f>
        <v/>
      </c>
    </row>
    <row r="123" spans="1:13">
      <c r="A123" s="54"/>
      <c r="B123" s="54"/>
      <c r="C123" s="52"/>
      <c r="D123" s="83">
        <f>IF($B123="","",IFERROR(IF(VLOOKUP($B123,Reference!$A$6:$C$27,3,FALSE)&gt;0,VLOOKUP($B123,Reference!$A$6:$C$27,3,FALSE),""),""))</f>
        <v/>
      </c>
      <c r="E123" s="53"/>
      <c r="F123" s="82">
        <f>IF(OR($A123="",$B123="",NOT(ISNUMBER($C123))),"",IF(ISNUMBER($E123),IF($E123&gt;0,EDATE($C123,$E123),""),IF(ISNUMBER($D123),EDATE($C123,$D123),"")))</f>
        <v/>
      </c>
      <c r="G123" s="83">
        <f>IF($F123="","",$F123-TODAY())</f>
        <v/>
      </c>
      <c r="H123" s="85">
        <f>IF(OR($A123="",$B123=""),"",IF($F123="","No date",IF($G123&lt;0,"Overdue",IF($G123&lt;=30,"Due &lt;=30",IF($G123&lt;=60,"Due 31-60","OK")))))</f>
        <v/>
      </c>
      <c r="I123" s="54"/>
      <c r="J123" s="54"/>
      <c r="K123" s="54"/>
      <c r="L123" s="54"/>
      <c r="M123" s="105">
        <f>IF($F123="","",$F123+ROW()/100000)</f>
        <v/>
      </c>
    </row>
    <row r="124" spans="1:13">
      <c r="A124" s="54"/>
      <c r="B124" s="54"/>
      <c r="C124" s="52"/>
      <c r="D124" s="83">
        <f>IF($B124="","",IFERROR(IF(VLOOKUP($B124,Reference!$A$6:$C$27,3,FALSE)&gt;0,VLOOKUP($B124,Reference!$A$6:$C$27,3,FALSE),""),""))</f>
        <v/>
      </c>
      <c r="E124" s="53"/>
      <c r="F124" s="82">
        <f>IF(OR($A124="",$B124="",NOT(ISNUMBER($C124))),"",IF(ISNUMBER($E124),IF($E124&gt;0,EDATE($C124,$E124),""),IF(ISNUMBER($D124),EDATE($C124,$D124),"")))</f>
        <v/>
      </c>
      <c r="G124" s="83">
        <f>IF($F124="","",$F124-TODAY())</f>
        <v/>
      </c>
      <c r="H124" s="85">
        <f>IF(OR($A124="",$B124=""),"",IF($F124="","No date",IF($G124&lt;0,"Overdue",IF($G124&lt;=30,"Due &lt;=30",IF($G124&lt;=60,"Due 31-60","OK")))))</f>
        <v/>
      </c>
      <c r="I124" s="54"/>
      <c r="J124" s="54"/>
      <c r="K124" s="54"/>
      <c r="L124" s="54"/>
      <c r="M124" s="105">
        <f>IF($F124="","",$F124+ROW()/100000)</f>
        <v/>
      </c>
    </row>
    <row r="125" spans="1:13">
      <c r="A125" s="54"/>
      <c r="B125" s="54"/>
      <c r="C125" s="52"/>
      <c r="D125" s="83">
        <f>IF($B125="","",IFERROR(IF(VLOOKUP($B125,Reference!$A$6:$C$27,3,FALSE)&gt;0,VLOOKUP($B125,Reference!$A$6:$C$27,3,FALSE),""),""))</f>
        <v/>
      </c>
      <c r="E125" s="53"/>
      <c r="F125" s="82">
        <f>IF(OR($A125="",$B125="",NOT(ISNUMBER($C125))),"",IF(ISNUMBER($E125),IF($E125&gt;0,EDATE($C125,$E125),""),IF(ISNUMBER($D125),EDATE($C125,$D125),"")))</f>
        <v/>
      </c>
      <c r="G125" s="83">
        <f>IF($F125="","",$F125-TODAY())</f>
        <v/>
      </c>
      <c r="H125" s="85">
        <f>IF(OR($A125="",$B125=""),"",IF($F125="","No date",IF($G125&lt;0,"Overdue",IF($G125&lt;=30,"Due &lt;=30",IF($G125&lt;=60,"Due 31-60","OK")))))</f>
        <v/>
      </c>
      <c r="I125" s="54"/>
      <c r="J125" s="54"/>
      <c r="K125" s="54"/>
      <c r="L125" s="54"/>
      <c r="M125" s="105">
        <f>IF($F125="","",$F125+ROW()/100000)</f>
        <v/>
      </c>
    </row>
    <row r="126" spans="1:13">
      <c r="A126" s="54"/>
      <c r="B126" s="54"/>
      <c r="C126" s="52"/>
      <c r="D126" s="83">
        <f>IF($B126="","",IFERROR(IF(VLOOKUP($B126,Reference!$A$6:$C$27,3,FALSE)&gt;0,VLOOKUP($B126,Reference!$A$6:$C$27,3,FALSE),""),""))</f>
        <v/>
      </c>
      <c r="E126" s="53"/>
      <c r="F126" s="82">
        <f>IF(OR($A126="",$B126="",NOT(ISNUMBER($C126))),"",IF(ISNUMBER($E126),IF($E126&gt;0,EDATE($C126,$E126),""),IF(ISNUMBER($D126),EDATE($C126,$D126),"")))</f>
        <v/>
      </c>
      <c r="G126" s="83">
        <f>IF($F126="","",$F126-TODAY())</f>
        <v/>
      </c>
      <c r="H126" s="85">
        <f>IF(OR($A126="",$B126=""),"",IF($F126="","No date",IF($G126&lt;0,"Overdue",IF($G126&lt;=30,"Due &lt;=30",IF($G126&lt;=60,"Due 31-60","OK")))))</f>
        <v/>
      </c>
      <c r="I126" s="54"/>
      <c r="J126" s="54"/>
      <c r="K126" s="54"/>
      <c r="L126" s="54"/>
      <c r="M126" s="105">
        <f>IF($F126="","",$F126+ROW()/100000)</f>
        <v/>
      </c>
    </row>
    <row r="127" spans="1:13">
      <c r="A127" s="54"/>
      <c r="B127" s="54"/>
      <c r="C127" s="52"/>
      <c r="D127" s="83">
        <f>IF($B127="","",IFERROR(IF(VLOOKUP($B127,Reference!$A$6:$C$27,3,FALSE)&gt;0,VLOOKUP($B127,Reference!$A$6:$C$27,3,FALSE),""),""))</f>
        <v/>
      </c>
      <c r="E127" s="53"/>
      <c r="F127" s="82">
        <f>IF(OR($A127="",$B127="",NOT(ISNUMBER($C127))),"",IF(ISNUMBER($E127),IF($E127&gt;0,EDATE($C127,$E127),""),IF(ISNUMBER($D127),EDATE($C127,$D127),"")))</f>
        <v/>
      </c>
      <c r="G127" s="83">
        <f>IF($F127="","",$F127-TODAY())</f>
        <v/>
      </c>
      <c r="H127" s="85">
        <f>IF(OR($A127="",$B127=""),"",IF($F127="","No date",IF($G127&lt;0,"Overdue",IF($G127&lt;=30,"Due &lt;=30",IF($G127&lt;=60,"Due 31-60","OK")))))</f>
        <v/>
      </c>
      <c r="I127" s="54"/>
      <c r="J127" s="54"/>
      <c r="K127" s="54"/>
      <c r="L127" s="54"/>
      <c r="M127" s="105">
        <f>IF($F127="","",$F127+ROW()/100000)</f>
        <v/>
      </c>
    </row>
    <row r="128" spans="1:13">
      <c r="A128" s="54"/>
      <c r="B128" s="54"/>
      <c r="C128" s="52"/>
      <c r="D128" s="83">
        <f>IF($B128="","",IFERROR(IF(VLOOKUP($B128,Reference!$A$6:$C$27,3,FALSE)&gt;0,VLOOKUP($B128,Reference!$A$6:$C$27,3,FALSE),""),""))</f>
        <v/>
      </c>
      <c r="E128" s="53"/>
      <c r="F128" s="82">
        <f>IF(OR($A128="",$B128="",NOT(ISNUMBER($C128))),"",IF(ISNUMBER($E128),IF($E128&gt;0,EDATE($C128,$E128),""),IF(ISNUMBER($D128),EDATE($C128,$D128),"")))</f>
        <v/>
      </c>
      <c r="G128" s="83">
        <f>IF($F128="","",$F128-TODAY())</f>
        <v/>
      </c>
      <c r="H128" s="85">
        <f>IF(OR($A128="",$B128=""),"",IF($F128="","No date",IF($G128&lt;0,"Overdue",IF($G128&lt;=30,"Due &lt;=30",IF($G128&lt;=60,"Due 31-60","OK")))))</f>
        <v/>
      </c>
      <c r="I128" s="54"/>
      <c r="J128" s="54"/>
      <c r="K128" s="54"/>
      <c r="L128" s="54"/>
      <c r="M128" s="105">
        <f>IF($F128="","",$F128+ROW()/100000)</f>
        <v/>
      </c>
    </row>
    <row r="129" spans="1:13">
      <c r="A129" s="54"/>
      <c r="B129" s="54"/>
      <c r="C129" s="52"/>
      <c r="D129" s="83">
        <f>IF($B129="","",IFERROR(IF(VLOOKUP($B129,Reference!$A$6:$C$27,3,FALSE)&gt;0,VLOOKUP($B129,Reference!$A$6:$C$27,3,FALSE),""),""))</f>
        <v/>
      </c>
      <c r="E129" s="53"/>
      <c r="F129" s="82">
        <f>IF(OR($A129="",$B129="",NOT(ISNUMBER($C129))),"",IF(ISNUMBER($E129),IF($E129&gt;0,EDATE($C129,$E129),""),IF(ISNUMBER($D129),EDATE($C129,$D129),"")))</f>
        <v/>
      </c>
      <c r="G129" s="83">
        <f>IF($F129="","",$F129-TODAY())</f>
        <v/>
      </c>
      <c r="H129" s="85">
        <f>IF(OR($A129="",$B129=""),"",IF($F129="","No date",IF($G129&lt;0,"Overdue",IF($G129&lt;=30,"Due &lt;=30",IF($G129&lt;=60,"Due 31-60","OK")))))</f>
        <v/>
      </c>
      <c r="I129" s="54"/>
      <c r="J129" s="54"/>
      <c r="K129" s="54"/>
      <c r="L129" s="54"/>
      <c r="M129" s="105">
        <f>IF($F129="","",$F129+ROW()/100000)</f>
        <v/>
      </c>
    </row>
    <row r="130" spans="1:13">
      <c r="A130" s="54"/>
      <c r="B130" s="54"/>
      <c r="C130" s="52"/>
      <c r="D130" s="83">
        <f>IF($B130="","",IFERROR(IF(VLOOKUP($B130,Reference!$A$6:$C$27,3,FALSE)&gt;0,VLOOKUP($B130,Reference!$A$6:$C$27,3,FALSE),""),""))</f>
        <v/>
      </c>
      <c r="E130" s="53"/>
      <c r="F130" s="82">
        <f>IF(OR($A130="",$B130="",NOT(ISNUMBER($C130))),"",IF(ISNUMBER($E130),IF($E130&gt;0,EDATE($C130,$E130),""),IF(ISNUMBER($D130),EDATE($C130,$D130),"")))</f>
        <v/>
      </c>
      <c r="G130" s="83">
        <f>IF($F130="","",$F130-TODAY())</f>
        <v/>
      </c>
      <c r="H130" s="85">
        <f>IF(OR($A130="",$B130=""),"",IF($F130="","No date",IF($G130&lt;0,"Overdue",IF($G130&lt;=30,"Due &lt;=30",IF($G130&lt;=60,"Due 31-60","OK")))))</f>
        <v/>
      </c>
      <c r="I130" s="54"/>
      <c r="J130" s="54"/>
      <c r="K130" s="54"/>
      <c r="L130" s="54"/>
      <c r="M130" s="105">
        <f>IF($F130="","",$F130+ROW()/100000)</f>
        <v/>
      </c>
    </row>
    <row r="131" spans="1:13">
      <c r="A131" s="54"/>
      <c r="B131" s="54"/>
      <c r="C131" s="52"/>
      <c r="D131" s="83">
        <f>IF($B131="","",IFERROR(IF(VLOOKUP($B131,Reference!$A$6:$C$27,3,FALSE)&gt;0,VLOOKUP($B131,Reference!$A$6:$C$27,3,FALSE),""),""))</f>
        <v/>
      </c>
      <c r="E131" s="53"/>
      <c r="F131" s="82">
        <f>IF(OR($A131="",$B131="",NOT(ISNUMBER($C131))),"",IF(ISNUMBER($E131),IF($E131&gt;0,EDATE($C131,$E131),""),IF(ISNUMBER($D131),EDATE($C131,$D131),"")))</f>
        <v/>
      </c>
      <c r="G131" s="83">
        <f>IF($F131="","",$F131-TODAY())</f>
        <v/>
      </c>
      <c r="H131" s="85">
        <f>IF(OR($A131="",$B131=""),"",IF($F131="","No date",IF($G131&lt;0,"Overdue",IF($G131&lt;=30,"Due &lt;=30",IF($G131&lt;=60,"Due 31-60","OK")))))</f>
        <v/>
      </c>
      <c r="I131" s="54"/>
      <c r="J131" s="54"/>
      <c r="K131" s="54"/>
      <c r="L131" s="54"/>
      <c r="M131" s="105">
        <f>IF($F131="","",$F131+ROW()/100000)</f>
        <v/>
      </c>
    </row>
    <row r="132" spans="1:13">
      <c r="A132" s="54"/>
      <c r="B132" s="54"/>
      <c r="C132" s="52"/>
      <c r="D132" s="83">
        <f>IF($B132="","",IFERROR(IF(VLOOKUP($B132,Reference!$A$6:$C$27,3,FALSE)&gt;0,VLOOKUP($B132,Reference!$A$6:$C$27,3,FALSE),""),""))</f>
        <v/>
      </c>
      <c r="E132" s="53"/>
      <c r="F132" s="82">
        <f>IF(OR($A132="",$B132="",NOT(ISNUMBER($C132))),"",IF(ISNUMBER($E132),IF($E132&gt;0,EDATE($C132,$E132),""),IF(ISNUMBER($D132),EDATE($C132,$D132),"")))</f>
        <v/>
      </c>
      <c r="G132" s="83">
        <f>IF($F132="","",$F132-TODAY())</f>
        <v/>
      </c>
      <c r="H132" s="85">
        <f>IF(OR($A132="",$B132=""),"",IF($F132="","No date",IF($G132&lt;0,"Overdue",IF($G132&lt;=30,"Due &lt;=30",IF($G132&lt;=60,"Due 31-60","OK")))))</f>
        <v/>
      </c>
      <c r="I132" s="54"/>
      <c r="J132" s="54"/>
      <c r="K132" s="54"/>
      <c r="L132" s="54"/>
      <c r="M132" s="105">
        <f>IF($F132="","",$F132+ROW()/100000)</f>
        <v/>
      </c>
    </row>
    <row r="133" spans="1:13">
      <c r="A133" s="54"/>
      <c r="B133" s="54"/>
      <c r="C133" s="52"/>
      <c r="D133" s="83">
        <f>IF($B133="","",IFERROR(IF(VLOOKUP($B133,Reference!$A$6:$C$27,3,FALSE)&gt;0,VLOOKUP($B133,Reference!$A$6:$C$27,3,FALSE),""),""))</f>
        <v/>
      </c>
      <c r="E133" s="53"/>
      <c r="F133" s="82">
        <f>IF(OR($A133="",$B133="",NOT(ISNUMBER($C133))),"",IF(ISNUMBER($E133),IF($E133&gt;0,EDATE($C133,$E133),""),IF(ISNUMBER($D133),EDATE($C133,$D133),"")))</f>
        <v/>
      </c>
      <c r="G133" s="83">
        <f>IF($F133="","",$F133-TODAY())</f>
        <v/>
      </c>
      <c r="H133" s="85">
        <f>IF(OR($A133="",$B133=""),"",IF($F133="","No date",IF($G133&lt;0,"Overdue",IF($G133&lt;=30,"Due &lt;=30",IF($G133&lt;=60,"Due 31-60","OK")))))</f>
        <v/>
      </c>
      <c r="I133" s="54"/>
      <c r="J133" s="54"/>
      <c r="K133" s="54"/>
      <c r="L133" s="54"/>
      <c r="M133" s="105">
        <f>IF($F133="","",$F133+ROW()/100000)</f>
        <v/>
      </c>
    </row>
    <row r="134" spans="1:13">
      <c r="A134" s="54"/>
      <c r="B134" s="54"/>
      <c r="C134" s="52"/>
      <c r="D134" s="83">
        <f>IF($B134="","",IFERROR(IF(VLOOKUP($B134,Reference!$A$6:$C$27,3,FALSE)&gt;0,VLOOKUP($B134,Reference!$A$6:$C$27,3,FALSE),""),""))</f>
        <v/>
      </c>
      <c r="E134" s="53"/>
      <c r="F134" s="82">
        <f>IF(OR($A134="",$B134="",NOT(ISNUMBER($C134))),"",IF(ISNUMBER($E134),IF($E134&gt;0,EDATE($C134,$E134),""),IF(ISNUMBER($D134),EDATE($C134,$D134),"")))</f>
        <v/>
      </c>
      <c r="G134" s="83">
        <f>IF($F134="","",$F134-TODAY())</f>
        <v/>
      </c>
      <c r="H134" s="85">
        <f>IF(OR($A134="",$B134=""),"",IF($F134="","No date",IF($G134&lt;0,"Overdue",IF($G134&lt;=30,"Due &lt;=30",IF($G134&lt;=60,"Due 31-60","OK")))))</f>
        <v/>
      </c>
      <c r="I134" s="54"/>
      <c r="J134" s="54"/>
      <c r="K134" s="54"/>
      <c r="L134" s="54"/>
      <c r="M134" s="105">
        <f>IF($F134="","",$F134+ROW()/100000)</f>
        <v/>
      </c>
    </row>
    <row r="135" spans="1:13">
      <c r="A135" s="54"/>
      <c r="B135" s="54"/>
      <c r="C135" s="52"/>
      <c r="D135" s="83">
        <f>IF($B135="","",IFERROR(IF(VLOOKUP($B135,Reference!$A$6:$C$27,3,FALSE)&gt;0,VLOOKUP($B135,Reference!$A$6:$C$27,3,FALSE),""),""))</f>
        <v/>
      </c>
      <c r="E135" s="53"/>
      <c r="F135" s="82">
        <f>IF(OR($A135="",$B135="",NOT(ISNUMBER($C135))),"",IF(ISNUMBER($E135),IF($E135&gt;0,EDATE($C135,$E135),""),IF(ISNUMBER($D135),EDATE($C135,$D135),"")))</f>
        <v/>
      </c>
      <c r="G135" s="83">
        <f>IF($F135="","",$F135-TODAY())</f>
        <v/>
      </c>
      <c r="H135" s="85">
        <f>IF(OR($A135="",$B135=""),"",IF($F135="","No date",IF($G135&lt;0,"Overdue",IF($G135&lt;=30,"Due &lt;=30",IF($G135&lt;=60,"Due 31-60","OK")))))</f>
        <v/>
      </c>
      <c r="I135" s="54"/>
      <c r="J135" s="54"/>
      <c r="K135" s="54"/>
      <c r="L135" s="54"/>
      <c r="M135" s="105">
        <f>IF($F135="","",$F135+ROW()/100000)</f>
        <v/>
      </c>
    </row>
    <row r="136" spans="1:13">
      <c r="A136" s="54"/>
      <c r="B136" s="54"/>
      <c r="C136" s="52"/>
      <c r="D136" s="83">
        <f>IF($B136="","",IFERROR(IF(VLOOKUP($B136,Reference!$A$6:$C$27,3,FALSE)&gt;0,VLOOKUP($B136,Reference!$A$6:$C$27,3,FALSE),""),""))</f>
        <v/>
      </c>
      <c r="E136" s="53"/>
      <c r="F136" s="82">
        <f>IF(OR($A136="",$B136="",NOT(ISNUMBER($C136))),"",IF(ISNUMBER($E136),IF($E136&gt;0,EDATE($C136,$E136),""),IF(ISNUMBER($D136),EDATE($C136,$D136),"")))</f>
        <v/>
      </c>
      <c r="G136" s="83">
        <f>IF($F136="","",$F136-TODAY())</f>
        <v/>
      </c>
      <c r="H136" s="85">
        <f>IF(OR($A136="",$B136=""),"",IF($F136="","No date",IF($G136&lt;0,"Overdue",IF($G136&lt;=30,"Due &lt;=30",IF($G136&lt;=60,"Due 31-60","OK")))))</f>
        <v/>
      </c>
      <c r="I136" s="54"/>
      <c r="J136" s="54"/>
      <c r="K136" s="54"/>
      <c r="L136" s="54"/>
      <c r="M136" s="105">
        <f>IF($F136="","",$F136+ROW()/100000)</f>
        <v/>
      </c>
    </row>
    <row r="137" spans="1:13">
      <c r="A137" s="54"/>
      <c r="B137" s="54"/>
      <c r="C137" s="52"/>
      <c r="D137" s="83">
        <f>IF($B137="","",IFERROR(IF(VLOOKUP($B137,Reference!$A$6:$C$27,3,FALSE)&gt;0,VLOOKUP($B137,Reference!$A$6:$C$27,3,FALSE),""),""))</f>
        <v/>
      </c>
      <c r="E137" s="53"/>
      <c r="F137" s="82">
        <f>IF(OR($A137="",$B137="",NOT(ISNUMBER($C137))),"",IF(ISNUMBER($E137),IF($E137&gt;0,EDATE($C137,$E137),""),IF(ISNUMBER($D137),EDATE($C137,$D137),"")))</f>
        <v/>
      </c>
      <c r="G137" s="83">
        <f>IF($F137="","",$F137-TODAY())</f>
        <v/>
      </c>
      <c r="H137" s="85">
        <f>IF(OR($A137="",$B137=""),"",IF($F137="","No date",IF($G137&lt;0,"Overdue",IF($G137&lt;=30,"Due &lt;=30",IF($G137&lt;=60,"Due 31-60","OK")))))</f>
        <v/>
      </c>
      <c r="I137" s="54"/>
      <c r="J137" s="54"/>
      <c r="K137" s="54"/>
      <c r="L137" s="54"/>
      <c r="M137" s="105">
        <f>IF($F137="","",$F137+ROW()/100000)</f>
        <v/>
      </c>
    </row>
    <row r="138" spans="1:13">
      <c r="A138" s="54"/>
      <c r="B138" s="54"/>
      <c r="C138" s="52"/>
      <c r="D138" s="83">
        <f>IF($B138="","",IFERROR(IF(VLOOKUP($B138,Reference!$A$6:$C$27,3,FALSE)&gt;0,VLOOKUP($B138,Reference!$A$6:$C$27,3,FALSE),""),""))</f>
        <v/>
      </c>
      <c r="E138" s="53"/>
      <c r="F138" s="82">
        <f>IF(OR($A138="",$B138="",NOT(ISNUMBER($C138))),"",IF(ISNUMBER($E138),IF($E138&gt;0,EDATE($C138,$E138),""),IF(ISNUMBER($D138),EDATE($C138,$D138),"")))</f>
        <v/>
      </c>
      <c r="G138" s="83">
        <f>IF($F138="","",$F138-TODAY())</f>
        <v/>
      </c>
      <c r="H138" s="85">
        <f>IF(OR($A138="",$B138=""),"",IF($F138="","No date",IF($G138&lt;0,"Overdue",IF($G138&lt;=30,"Due &lt;=30",IF($G138&lt;=60,"Due 31-60","OK")))))</f>
        <v/>
      </c>
      <c r="I138" s="54"/>
      <c r="J138" s="54"/>
      <c r="K138" s="54"/>
      <c r="L138" s="54"/>
      <c r="M138" s="105">
        <f>IF($F138="","",$F138+ROW()/100000)</f>
        <v/>
      </c>
    </row>
    <row r="139" spans="1:13">
      <c r="A139" s="54"/>
      <c r="B139" s="54"/>
      <c r="C139" s="52"/>
      <c r="D139" s="83">
        <f>IF($B139="","",IFERROR(IF(VLOOKUP($B139,Reference!$A$6:$C$27,3,FALSE)&gt;0,VLOOKUP($B139,Reference!$A$6:$C$27,3,FALSE),""),""))</f>
        <v/>
      </c>
      <c r="E139" s="53"/>
      <c r="F139" s="82">
        <f>IF(OR($A139="",$B139="",NOT(ISNUMBER($C139))),"",IF(ISNUMBER($E139),IF($E139&gt;0,EDATE($C139,$E139),""),IF(ISNUMBER($D139),EDATE($C139,$D139),"")))</f>
        <v/>
      </c>
      <c r="G139" s="83">
        <f>IF($F139="","",$F139-TODAY())</f>
        <v/>
      </c>
      <c r="H139" s="85">
        <f>IF(OR($A139="",$B139=""),"",IF($F139="","No date",IF($G139&lt;0,"Overdue",IF($G139&lt;=30,"Due &lt;=30",IF($G139&lt;=60,"Due 31-60","OK")))))</f>
        <v/>
      </c>
      <c r="I139" s="54"/>
      <c r="J139" s="54"/>
      <c r="K139" s="54"/>
      <c r="L139" s="54"/>
      <c r="M139" s="105">
        <f>IF($F139="","",$F139+ROW()/100000)</f>
        <v/>
      </c>
    </row>
    <row r="140" spans="1:13">
      <c r="A140" s="54"/>
      <c r="B140" s="54"/>
      <c r="C140" s="52"/>
      <c r="D140" s="83">
        <f>IF($B140="","",IFERROR(IF(VLOOKUP($B140,Reference!$A$6:$C$27,3,FALSE)&gt;0,VLOOKUP($B140,Reference!$A$6:$C$27,3,FALSE),""),""))</f>
        <v/>
      </c>
      <c r="E140" s="53"/>
      <c r="F140" s="82">
        <f>IF(OR($A140="",$B140="",NOT(ISNUMBER($C140))),"",IF(ISNUMBER($E140),IF($E140&gt;0,EDATE($C140,$E140),""),IF(ISNUMBER($D140),EDATE($C140,$D140),"")))</f>
        <v/>
      </c>
      <c r="G140" s="83">
        <f>IF($F140="","",$F140-TODAY())</f>
        <v/>
      </c>
      <c r="H140" s="85">
        <f>IF(OR($A140="",$B140=""),"",IF($F140="","No date",IF($G140&lt;0,"Overdue",IF($G140&lt;=30,"Due &lt;=30",IF($G140&lt;=60,"Due 31-60","OK")))))</f>
        <v/>
      </c>
      <c r="I140" s="54"/>
      <c r="J140" s="54"/>
      <c r="K140" s="54"/>
      <c r="L140" s="54"/>
      <c r="M140" s="105">
        <f>IF($F140="","",$F140+ROW()/100000)</f>
        <v/>
      </c>
    </row>
    <row r="141" spans="1:13">
      <c r="A141" s="54"/>
      <c r="B141" s="54"/>
      <c r="C141" s="52"/>
      <c r="D141" s="83">
        <f>IF($B141="","",IFERROR(IF(VLOOKUP($B141,Reference!$A$6:$C$27,3,FALSE)&gt;0,VLOOKUP($B141,Reference!$A$6:$C$27,3,FALSE),""),""))</f>
        <v/>
      </c>
      <c r="E141" s="53"/>
      <c r="F141" s="82">
        <f>IF(OR($A141="",$B141="",NOT(ISNUMBER($C141))),"",IF(ISNUMBER($E141),IF($E141&gt;0,EDATE($C141,$E141),""),IF(ISNUMBER($D141),EDATE($C141,$D141),"")))</f>
        <v/>
      </c>
      <c r="G141" s="83">
        <f>IF($F141="","",$F141-TODAY())</f>
        <v/>
      </c>
      <c r="H141" s="85">
        <f>IF(OR($A141="",$B141=""),"",IF($F141="","No date",IF($G141&lt;0,"Overdue",IF($G141&lt;=30,"Due &lt;=30",IF($G141&lt;=60,"Due 31-60","OK")))))</f>
        <v/>
      </c>
      <c r="I141" s="54"/>
      <c r="J141" s="54"/>
      <c r="K141" s="54"/>
      <c r="L141" s="54"/>
      <c r="M141" s="105">
        <f>IF($F141="","",$F141+ROW()/100000)</f>
        <v/>
      </c>
    </row>
    <row r="142" spans="1:13">
      <c r="A142" s="54"/>
      <c r="B142" s="54"/>
      <c r="C142" s="52"/>
      <c r="D142" s="83">
        <f>IF($B142="","",IFERROR(IF(VLOOKUP($B142,Reference!$A$6:$C$27,3,FALSE)&gt;0,VLOOKUP($B142,Reference!$A$6:$C$27,3,FALSE),""),""))</f>
        <v/>
      </c>
      <c r="E142" s="53"/>
      <c r="F142" s="82">
        <f>IF(OR($A142="",$B142="",NOT(ISNUMBER($C142))),"",IF(ISNUMBER($E142),IF($E142&gt;0,EDATE($C142,$E142),""),IF(ISNUMBER($D142),EDATE($C142,$D142),"")))</f>
        <v/>
      </c>
      <c r="G142" s="83">
        <f>IF($F142="","",$F142-TODAY())</f>
        <v/>
      </c>
      <c r="H142" s="85">
        <f>IF(OR($A142="",$B142=""),"",IF($F142="","No date",IF($G142&lt;0,"Overdue",IF($G142&lt;=30,"Due &lt;=30",IF($G142&lt;=60,"Due 31-60","OK")))))</f>
        <v/>
      </c>
      <c r="I142" s="54"/>
      <c r="J142" s="54"/>
      <c r="K142" s="54"/>
      <c r="L142" s="54"/>
      <c r="M142" s="105">
        <f>IF($F142="","",$F142+ROW()/100000)</f>
        <v/>
      </c>
    </row>
    <row r="143" spans="1:13">
      <c r="A143" s="54"/>
      <c r="B143" s="54"/>
      <c r="C143" s="52"/>
      <c r="D143" s="83">
        <f>IF($B143="","",IFERROR(IF(VLOOKUP($B143,Reference!$A$6:$C$27,3,FALSE)&gt;0,VLOOKUP($B143,Reference!$A$6:$C$27,3,FALSE),""),""))</f>
        <v/>
      </c>
      <c r="E143" s="53"/>
      <c r="F143" s="82">
        <f>IF(OR($A143="",$B143="",NOT(ISNUMBER($C143))),"",IF(ISNUMBER($E143),IF($E143&gt;0,EDATE($C143,$E143),""),IF(ISNUMBER($D143),EDATE($C143,$D143),"")))</f>
        <v/>
      </c>
      <c r="G143" s="83">
        <f>IF($F143="","",$F143-TODAY())</f>
        <v/>
      </c>
      <c r="H143" s="85">
        <f>IF(OR($A143="",$B143=""),"",IF($F143="","No date",IF($G143&lt;0,"Overdue",IF($G143&lt;=30,"Due &lt;=30",IF($G143&lt;=60,"Due 31-60","OK")))))</f>
        <v/>
      </c>
      <c r="I143" s="54"/>
      <c r="J143" s="54"/>
      <c r="K143" s="54"/>
      <c r="L143" s="54"/>
      <c r="M143" s="105">
        <f>IF($F143="","",$F143+ROW()/100000)</f>
        <v/>
      </c>
    </row>
    <row r="144" spans="1:13">
      <c r="A144" s="54"/>
      <c r="B144" s="54"/>
      <c r="C144" s="52"/>
      <c r="D144" s="83">
        <f>IF($B144="","",IFERROR(IF(VLOOKUP($B144,Reference!$A$6:$C$27,3,FALSE)&gt;0,VLOOKUP($B144,Reference!$A$6:$C$27,3,FALSE),""),""))</f>
        <v/>
      </c>
      <c r="E144" s="53"/>
      <c r="F144" s="82">
        <f>IF(OR($A144="",$B144="",NOT(ISNUMBER($C144))),"",IF(ISNUMBER($E144),IF($E144&gt;0,EDATE($C144,$E144),""),IF(ISNUMBER($D144),EDATE($C144,$D144),"")))</f>
        <v/>
      </c>
      <c r="G144" s="83">
        <f>IF($F144="","",$F144-TODAY())</f>
        <v/>
      </c>
      <c r="H144" s="85">
        <f>IF(OR($A144="",$B144=""),"",IF($F144="","No date",IF($G144&lt;0,"Overdue",IF($G144&lt;=30,"Due &lt;=30",IF($G144&lt;=60,"Due 31-60","OK")))))</f>
        <v/>
      </c>
      <c r="I144" s="54"/>
      <c r="J144" s="54"/>
      <c r="K144" s="54"/>
      <c r="L144" s="54"/>
      <c r="M144" s="105">
        <f>IF($F144="","",$F144+ROW()/100000)</f>
        <v/>
      </c>
    </row>
    <row r="145" spans="1:13">
      <c r="A145" s="54"/>
      <c r="B145" s="54"/>
      <c r="C145" s="52"/>
      <c r="D145" s="83">
        <f>IF($B145="","",IFERROR(IF(VLOOKUP($B145,Reference!$A$6:$C$27,3,FALSE)&gt;0,VLOOKUP($B145,Reference!$A$6:$C$27,3,FALSE),""),""))</f>
        <v/>
      </c>
      <c r="E145" s="53"/>
      <c r="F145" s="82">
        <f>IF(OR($A145="",$B145="",NOT(ISNUMBER($C145))),"",IF(ISNUMBER($E145),IF($E145&gt;0,EDATE($C145,$E145),""),IF(ISNUMBER($D145),EDATE($C145,$D145),"")))</f>
        <v/>
      </c>
      <c r="G145" s="83">
        <f>IF($F145="","",$F145-TODAY())</f>
        <v/>
      </c>
      <c r="H145" s="85">
        <f>IF(OR($A145="",$B145=""),"",IF($F145="","No date",IF($G145&lt;0,"Overdue",IF($G145&lt;=30,"Due &lt;=30",IF($G145&lt;=60,"Due 31-60","OK")))))</f>
        <v/>
      </c>
      <c r="I145" s="54"/>
      <c r="J145" s="54"/>
      <c r="K145" s="54"/>
      <c r="L145" s="54"/>
      <c r="M145" s="105">
        <f>IF($F145="","",$F145+ROW()/100000)</f>
        <v/>
      </c>
    </row>
    <row r="146" spans="1:13">
      <c r="A146" s="54"/>
      <c r="B146" s="54"/>
      <c r="C146" s="52"/>
      <c r="D146" s="83">
        <f>IF($B146="","",IFERROR(IF(VLOOKUP($B146,Reference!$A$6:$C$27,3,FALSE)&gt;0,VLOOKUP($B146,Reference!$A$6:$C$27,3,FALSE),""),""))</f>
        <v/>
      </c>
      <c r="E146" s="53"/>
      <c r="F146" s="82">
        <f>IF(OR($A146="",$B146="",NOT(ISNUMBER($C146))),"",IF(ISNUMBER($E146),IF($E146&gt;0,EDATE($C146,$E146),""),IF(ISNUMBER($D146),EDATE($C146,$D146),"")))</f>
        <v/>
      </c>
      <c r="G146" s="83">
        <f>IF($F146="","",$F146-TODAY())</f>
        <v/>
      </c>
      <c r="H146" s="85">
        <f>IF(OR($A146="",$B146=""),"",IF($F146="","No date",IF($G146&lt;0,"Overdue",IF($G146&lt;=30,"Due &lt;=30",IF($G146&lt;=60,"Due 31-60","OK")))))</f>
        <v/>
      </c>
      <c r="I146" s="54"/>
      <c r="J146" s="54"/>
      <c r="K146" s="54"/>
      <c r="L146" s="54"/>
      <c r="M146" s="105">
        <f>IF($F146="","",$F146+ROW()/100000)</f>
        <v/>
      </c>
    </row>
    <row r="147" spans="1:13">
      <c r="A147" s="54"/>
      <c r="B147" s="54"/>
      <c r="C147" s="52"/>
      <c r="D147" s="83">
        <f>IF($B147="","",IFERROR(IF(VLOOKUP($B147,Reference!$A$6:$C$27,3,FALSE)&gt;0,VLOOKUP($B147,Reference!$A$6:$C$27,3,FALSE),""),""))</f>
        <v/>
      </c>
      <c r="E147" s="53"/>
      <c r="F147" s="82">
        <f>IF(OR($A147="",$B147="",NOT(ISNUMBER($C147))),"",IF(ISNUMBER($E147),IF($E147&gt;0,EDATE($C147,$E147),""),IF(ISNUMBER($D147),EDATE($C147,$D147),"")))</f>
        <v/>
      </c>
      <c r="G147" s="83">
        <f>IF($F147="","",$F147-TODAY())</f>
        <v/>
      </c>
      <c r="H147" s="85">
        <f>IF(OR($A147="",$B147=""),"",IF($F147="","No date",IF($G147&lt;0,"Overdue",IF($G147&lt;=30,"Due &lt;=30",IF($G147&lt;=60,"Due 31-60","OK")))))</f>
        <v/>
      </c>
      <c r="I147" s="54"/>
      <c r="J147" s="54"/>
      <c r="K147" s="54"/>
      <c r="L147" s="54"/>
      <c r="M147" s="105">
        <f>IF($F147="","",$F147+ROW()/100000)</f>
        <v/>
      </c>
    </row>
    <row r="148" spans="1:13">
      <c r="A148" s="54"/>
      <c r="B148" s="54"/>
      <c r="C148" s="52"/>
      <c r="D148" s="83">
        <f>IF($B148="","",IFERROR(IF(VLOOKUP($B148,Reference!$A$6:$C$27,3,FALSE)&gt;0,VLOOKUP($B148,Reference!$A$6:$C$27,3,FALSE),""),""))</f>
        <v/>
      </c>
      <c r="E148" s="53"/>
      <c r="F148" s="82">
        <f>IF(OR($A148="",$B148="",NOT(ISNUMBER($C148))),"",IF(ISNUMBER($E148),IF($E148&gt;0,EDATE($C148,$E148),""),IF(ISNUMBER($D148),EDATE($C148,$D148),"")))</f>
        <v/>
      </c>
      <c r="G148" s="83">
        <f>IF($F148="","",$F148-TODAY())</f>
        <v/>
      </c>
      <c r="H148" s="85">
        <f>IF(OR($A148="",$B148=""),"",IF($F148="","No date",IF($G148&lt;0,"Overdue",IF($G148&lt;=30,"Due &lt;=30",IF($G148&lt;=60,"Due 31-60","OK")))))</f>
        <v/>
      </c>
      <c r="I148" s="54"/>
      <c r="J148" s="54"/>
      <c r="K148" s="54"/>
      <c r="L148" s="54"/>
      <c r="M148" s="105">
        <f>IF($F148="","",$F148+ROW()/100000)</f>
        <v/>
      </c>
    </row>
    <row r="149" spans="1:13">
      <c r="A149" s="54"/>
      <c r="B149" s="54"/>
      <c r="C149" s="52"/>
      <c r="D149" s="83">
        <f>IF($B149="","",IFERROR(IF(VLOOKUP($B149,Reference!$A$6:$C$27,3,FALSE)&gt;0,VLOOKUP($B149,Reference!$A$6:$C$27,3,FALSE),""),""))</f>
        <v/>
      </c>
      <c r="E149" s="53"/>
      <c r="F149" s="82">
        <f>IF(OR($A149="",$B149="",NOT(ISNUMBER($C149))),"",IF(ISNUMBER($E149),IF($E149&gt;0,EDATE($C149,$E149),""),IF(ISNUMBER($D149),EDATE($C149,$D149),"")))</f>
        <v/>
      </c>
      <c r="G149" s="83">
        <f>IF($F149="","",$F149-TODAY())</f>
        <v/>
      </c>
      <c r="H149" s="85">
        <f>IF(OR($A149="",$B149=""),"",IF($F149="","No date",IF($G149&lt;0,"Overdue",IF($G149&lt;=30,"Due &lt;=30",IF($G149&lt;=60,"Due 31-60","OK")))))</f>
        <v/>
      </c>
      <c r="I149" s="54"/>
      <c r="J149" s="54"/>
      <c r="K149" s="54"/>
      <c r="L149" s="54"/>
      <c r="M149" s="105">
        <f>IF($F149="","",$F149+ROW()/100000)</f>
        <v/>
      </c>
    </row>
    <row r="150" spans="1:13">
      <c r="A150" s="54"/>
      <c r="B150" s="54"/>
      <c r="C150" s="52"/>
      <c r="D150" s="83">
        <f>IF($B150="","",IFERROR(IF(VLOOKUP($B150,Reference!$A$6:$C$27,3,FALSE)&gt;0,VLOOKUP($B150,Reference!$A$6:$C$27,3,FALSE),""),""))</f>
        <v/>
      </c>
      <c r="E150" s="53"/>
      <c r="F150" s="82">
        <f>IF(OR($A150="",$B150="",NOT(ISNUMBER($C150))),"",IF(ISNUMBER($E150),IF($E150&gt;0,EDATE($C150,$E150),""),IF(ISNUMBER($D150),EDATE($C150,$D150),"")))</f>
        <v/>
      </c>
      <c r="G150" s="83">
        <f>IF($F150="","",$F150-TODAY())</f>
        <v/>
      </c>
      <c r="H150" s="85">
        <f>IF(OR($A150="",$B150=""),"",IF($F150="","No date",IF($G150&lt;0,"Overdue",IF($G150&lt;=30,"Due &lt;=30",IF($G150&lt;=60,"Due 31-60","OK")))))</f>
        <v/>
      </c>
      <c r="I150" s="54"/>
      <c r="J150" s="54"/>
      <c r="K150" s="54"/>
      <c r="L150" s="54"/>
      <c r="M150" s="105">
        <f>IF($F150="","",$F150+ROW()/100000)</f>
        <v/>
      </c>
    </row>
    <row r="151" spans="1:13">
      <c r="A151" s="54"/>
      <c r="B151" s="54"/>
      <c r="C151" s="52"/>
      <c r="D151" s="83">
        <f>IF($B151="","",IFERROR(IF(VLOOKUP($B151,Reference!$A$6:$C$27,3,FALSE)&gt;0,VLOOKUP($B151,Reference!$A$6:$C$27,3,FALSE),""),""))</f>
        <v/>
      </c>
      <c r="E151" s="53"/>
      <c r="F151" s="82">
        <f>IF(OR($A151="",$B151="",NOT(ISNUMBER($C151))),"",IF(ISNUMBER($E151),IF($E151&gt;0,EDATE($C151,$E151),""),IF(ISNUMBER($D151),EDATE($C151,$D151),"")))</f>
        <v/>
      </c>
      <c r="G151" s="83">
        <f>IF($F151="","",$F151-TODAY())</f>
        <v/>
      </c>
      <c r="H151" s="85">
        <f>IF(OR($A151="",$B151=""),"",IF($F151="","No date",IF($G151&lt;0,"Overdue",IF($G151&lt;=30,"Due &lt;=30",IF($G151&lt;=60,"Due 31-60","OK")))))</f>
        <v/>
      </c>
      <c r="I151" s="54"/>
      <c r="J151" s="54"/>
      <c r="K151" s="54"/>
      <c r="L151" s="54"/>
      <c r="M151" s="105">
        <f>IF($F151="","",$F151+ROW()/100000)</f>
        <v/>
      </c>
    </row>
    <row r="152" spans="1:13">
      <c r="A152" s="54"/>
      <c r="B152" s="54"/>
      <c r="C152" s="52"/>
      <c r="D152" s="83">
        <f>IF($B152="","",IFERROR(IF(VLOOKUP($B152,Reference!$A$6:$C$27,3,FALSE)&gt;0,VLOOKUP($B152,Reference!$A$6:$C$27,3,FALSE),""),""))</f>
        <v/>
      </c>
      <c r="E152" s="53"/>
      <c r="F152" s="82">
        <f>IF(OR($A152="",$B152="",NOT(ISNUMBER($C152))),"",IF(ISNUMBER($E152),IF($E152&gt;0,EDATE($C152,$E152),""),IF(ISNUMBER($D152),EDATE($C152,$D152),"")))</f>
        <v/>
      </c>
      <c r="G152" s="83">
        <f>IF($F152="","",$F152-TODAY())</f>
        <v/>
      </c>
      <c r="H152" s="85">
        <f>IF(OR($A152="",$B152=""),"",IF($F152="","No date",IF($G152&lt;0,"Overdue",IF($G152&lt;=30,"Due &lt;=30",IF($G152&lt;=60,"Due 31-60","OK")))))</f>
        <v/>
      </c>
      <c r="I152" s="54"/>
      <c r="J152" s="54"/>
      <c r="K152" s="54"/>
      <c r="L152" s="54"/>
      <c r="M152" s="105">
        <f>IF($F152="","",$F152+ROW()/100000)</f>
        <v/>
      </c>
    </row>
    <row r="153" spans="1:13">
      <c r="A153" s="54"/>
      <c r="B153" s="54"/>
      <c r="C153" s="52"/>
      <c r="D153" s="83">
        <f>IF($B153="","",IFERROR(IF(VLOOKUP($B153,Reference!$A$6:$C$27,3,FALSE)&gt;0,VLOOKUP($B153,Reference!$A$6:$C$27,3,FALSE),""),""))</f>
        <v/>
      </c>
      <c r="E153" s="53"/>
      <c r="F153" s="82">
        <f>IF(OR($A153="",$B153="",NOT(ISNUMBER($C153))),"",IF(ISNUMBER($E153),IF($E153&gt;0,EDATE($C153,$E153),""),IF(ISNUMBER($D153),EDATE($C153,$D153),"")))</f>
        <v/>
      </c>
      <c r="G153" s="83">
        <f>IF($F153="","",$F153-TODAY())</f>
        <v/>
      </c>
      <c r="H153" s="85">
        <f>IF(OR($A153="",$B153=""),"",IF($F153="","No date",IF($G153&lt;0,"Overdue",IF($G153&lt;=30,"Due &lt;=30",IF($G153&lt;=60,"Due 31-60","OK")))))</f>
        <v/>
      </c>
      <c r="I153" s="54"/>
      <c r="J153" s="54"/>
      <c r="K153" s="54"/>
      <c r="L153" s="54"/>
      <c r="M153" s="105">
        <f>IF($F153="","",$F153+ROW()/100000)</f>
        <v/>
      </c>
    </row>
    <row r="154" spans="1:13">
      <c r="A154" s="54"/>
      <c r="B154" s="54"/>
      <c r="C154" s="52"/>
      <c r="D154" s="83">
        <f>IF($B154="","",IFERROR(IF(VLOOKUP($B154,Reference!$A$6:$C$27,3,FALSE)&gt;0,VLOOKUP($B154,Reference!$A$6:$C$27,3,FALSE),""),""))</f>
        <v/>
      </c>
      <c r="E154" s="53"/>
      <c r="F154" s="82">
        <f>IF(OR($A154="",$B154="",NOT(ISNUMBER($C154))),"",IF(ISNUMBER($E154),IF($E154&gt;0,EDATE($C154,$E154),""),IF(ISNUMBER($D154),EDATE($C154,$D154),"")))</f>
        <v/>
      </c>
      <c r="G154" s="83">
        <f>IF($F154="","",$F154-TODAY())</f>
        <v/>
      </c>
      <c r="H154" s="85">
        <f>IF(OR($A154="",$B154=""),"",IF($F154="","No date",IF($G154&lt;0,"Overdue",IF($G154&lt;=30,"Due &lt;=30",IF($G154&lt;=60,"Due 31-60","OK")))))</f>
        <v/>
      </c>
      <c r="I154" s="54"/>
      <c r="J154" s="54"/>
      <c r="K154" s="54"/>
      <c r="L154" s="54"/>
      <c r="M154" s="105">
        <f>IF($F154="","",$F154+ROW()/100000)</f>
        <v/>
      </c>
    </row>
    <row r="155" spans="1:13">
      <c r="A155" s="54"/>
      <c r="B155" s="54"/>
      <c r="C155" s="52"/>
      <c r="D155" s="83">
        <f>IF($B155="","",IFERROR(IF(VLOOKUP($B155,Reference!$A$6:$C$27,3,FALSE)&gt;0,VLOOKUP($B155,Reference!$A$6:$C$27,3,FALSE),""),""))</f>
        <v/>
      </c>
      <c r="E155" s="53"/>
      <c r="F155" s="82">
        <f>IF(OR($A155="",$B155="",NOT(ISNUMBER($C155))),"",IF(ISNUMBER($E155),IF($E155&gt;0,EDATE($C155,$E155),""),IF(ISNUMBER($D155),EDATE($C155,$D155),"")))</f>
        <v/>
      </c>
      <c r="G155" s="83">
        <f>IF($F155="","",$F155-TODAY())</f>
        <v/>
      </c>
      <c r="H155" s="85">
        <f>IF(OR($A155="",$B155=""),"",IF($F155="","No date",IF($G155&lt;0,"Overdue",IF($G155&lt;=30,"Due &lt;=30",IF($G155&lt;=60,"Due 31-60","OK")))))</f>
        <v/>
      </c>
      <c r="I155" s="54"/>
      <c r="J155" s="54"/>
      <c r="K155" s="54"/>
      <c r="L155" s="54"/>
      <c r="M155" s="105">
        <f>IF($F155="","",$F155+ROW()/100000)</f>
        <v/>
      </c>
    </row>
    <row r="156" spans="1:13">
      <c r="A156" s="54"/>
      <c r="B156" s="54"/>
      <c r="C156" s="52"/>
      <c r="D156" s="83">
        <f>IF($B156="","",IFERROR(IF(VLOOKUP($B156,Reference!$A$6:$C$27,3,FALSE)&gt;0,VLOOKUP($B156,Reference!$A$6:$C$27,3,FALSE),""),""))</f>
        <v/>
      </c>
      <c r="E156" s="53"/>
      <c r="F156" s="82">
        <f>IF(OR($A156="",$B156="",NOT(ISNUMBER($C156))),"",IF(ISNUMBER($E156),IF($E156&gt;0,EDATE($C156,$E156),""),IF(ISNUMBER($D156),EDATE($C156,$D156),"")))</f>
        <v/>
      </c>
      <c r="G156" s="83">
        <f>IF($F156="","",$F156-TODAY())</f>
        <v/>
      </c>
      <c r="H156" s="85">
        <f>IF(OR($A156="",$B156=""),"",IF($F156="","No date",IF($G156&lt;0,"Overdue",IF($G156&lt;=30,"Due &lt;=30",IF($G156&lt;=60,"Due 31-60","OK")))))</f>
        <v/>
      </c>
      <c r="I156" s="54"/>
      <c r="J156" s="54"/>
      <c r="K156" s="54"/>
      <c r="L156" s="54"/>
      <c r="M156" s="105">
        <f>IF($F156="","",$F156+ROW()/100000)</f>
        <v/>
      </c>
    </row>
    <row r="157" spans="1:13">
      <c r="A157" s="54"/>
      <c r="B157" s="54"/>
      <c r="C157" s="52"/>
      <c r="D157" s="83">
        <f>IF($B157="","",IFERROR(IF(VLOOKUP($B157,Reference!$A$6:$C$27,3,FALSE)&gt;0,VLOOKUP($B157,Reference!$A$6:$C$27,3,FALSE),""),""))</f>
        <v/>
      </c>
      <c r="E157" s="53"/>
      <c r="F157" s="82">
        <f>IF(OR($A157="",$B157="",NOT(ISNUMBER($C157))),"",IF(ISNUMBER($E157),IF($E157&gt;0,EDATE($C157,$E157),""),IF(ISNUMBER($D157),EDATE($C157,$D157),"")))</f>
        <v/>
      </c>
      <c r="G157" s="83">
        <f>IF($F157="","",$F157-TODAY())</f>
        <v/>
      </c>
      <c r="H157" s="85">
        <f>IF(OR($A157="",$B157=""),"",IF($F157="","No date",IF($G157&lt;0,"Overdue",IF($G157&lt;=30,"Due &lt;=30",IF($G157&lt;=60,"Due 31-60","OK")))))</f>
        <v/>
      </c>
      <c r="I157" s="54"/>
      <c r="J157" s="54"/>
      <c r="K157" s="54"/>
      <c r="L157" s="54"/>
      <c r="M157" s="105">
        <f>IF($F157="","",$F157+ROW()/100000)</f>
        <v/>
      </c>
    </row>
    <row r="158" spans="1:13">
      <c r="A158" s="54"/>
      <c r="B158" s="54"/>
      <c r="C158" s="52"/>
      <c r="D158" s="83">
        <f>IF($B158="","",IFERROR(IF(VLOOKUP($B158,Reference!$A$6:$C$27,3,FALSE)&gt;0,VLOOKUP($B158,Reference!$A$6:$C$27,3,FALSE),""),""))</f>
        <v/>
      </c>
      <c r="E158" s="53"/>
      <c r="F158" s="82">
        <f>IF(OR($A158="",$B158="",NOT(ISNUMBER($C158))),"",IF(ISNUMBER($E158),IF($E158&gt;0,EDATE($C158,$E158),""),IF(ISNUMBER($D158),EDATE($C158,$D158),"")))</f>
        <v/>
      </c>
      <c r="G158" s="83">
        <f>IF($F158="","",$F158-TODAY())</f>
        <v/>
      </c>
      <c r="H158" s="85">
        <f>IF(OR($A158="",$B158=""),"",IF($F158="","No date",IF($G158&lt;0,"Overdue",IF($G158&lt;=30,"Due &lt;=30",IF($G158&lt;=60,"Due 31-60","OK")))))</f>
        <v/>
      </c>
      <c r="I158" s="54"/>
      <c r="J158" s="54"/>
      <c r="K158" s="54"/>
      <c r="L158" s="54"/>
      <c r="M158" s="105">
        <f>IF($F158="","",$F158+ROW()/100000)</f>
        <v/>
      </c>
    </row>
    <row r="159" spans="1:13">
      <c r="A159" s="54"/>
      <c r="B159" s="54"/>
      <c r="C159" s="52"/>
      <c r="D159" s="83">
        <f>IF($B159="","",IFERROR(IF(VLOOKUP($B159,Reference!$A$6:$C$27,3,FALSE)&gt;0,VLOOKUP($B159,Reference!$A$6:$C$27,3,FALSE),""),""))</f>
        <v/>
      </c>
      <c r="E159" s="53"/>
      <c r="F159" s="82">
        <f>IF(OR($A159="",$B159="",NOT(ISNUMBER($C159))),"",IF(ISNUMBER($E159),IF($E159&gt;0,EDATE($C159,$E159),""),IF(ISNUMBER($D159),EDATE($C159,$D159),"")))</f>
        <v/>
      </c>
      <c r="G159" s="83">
        <f>IF($F159="","",$F159-TODAY())</f>
        <v/>
      </c>
      <c r="H159" s="85">
        <f>IF(OR($A159="",$B159=""),"",IF($F159="","No date",IF($G159&lt;0,"Overdue",IF($G159&lt;=30,"Due &lt;=30",IF($G159&lt;=60,"Due 31-60","OK")))))</f>
        <v/>
      </c>
      <c r="I159" s="54"/>
      <c r="J159" s="54"/>
      <c r="K159" s="54"/>
      <c r="L159" s="54"/>
      <c r="M159" s="105">
        <f>IF($F159="","",$F159+ROW()/100000)</f>
        <v/>
      </c>
    </row>
    <row r="160" spans="1:13">
      <c r="A160" s="54"/>
      <c r="B160" s="54"/>
      <c r="C160" s="52"/>
      <c r="D160" s="83">
        <f>IF($B160="","",IFERROR(IF(VLOOKUP($B160,Reference!$A$6:$C$27,3,FALSE)&gt;0,VLOOKUP($B160,Reference!$A$6:$C$27,3,FALSE),""),""))</f>
        <v/>
      </c>
      <c r="E160" s="53"/>
      <c r="F160" s="82">
        <f>IF(OR($A160="",$B160="",NOT(ISNUMBER($C160))),"",IF(ISNUMBER($E160),IF($E160&gt;0,EDATE($C160,$E160),""),IF(ISNUMBER($D160),EDATE($C160,$D160),"")))</f>
        <v/>
      </c>
      <c r="G160" s="83">
        <f>IF($F160="","",$F160-TODAY())</f>
        <v/>
      </c>
      <c r="H160" s="85">
        <f>IF(OR($A160="",$B160=""),"",IF($F160="","No date",IF($G160&lt;0,"Overdue",IF($G160&lt;=30,"Due &lt;=30",IF($G160&lt;=60,"Due 31-60","OK")))))</f>
        <v/>
      </c>
      <c r="I160" s="54"/>
      <c r="J160" s="54"/>
      <c r="K160" s="54"/>
      <c r="L160" s="54"/>
      <c r="M160" s="105">
        <f>IF($F160="","",$F160+ROW()/100000)</f>
        <v/>
      </c>
    </row>
    <row r="161" spans="1:13">
      <c r="A161" s="54"/>
      <c r="B161" s="54"/>
      <c r="C161" s="52"/>
      <c r="D161" s="83">
        <f>IF($B161="","",IFERROR(IF(VLOOKUP($B161,Reference!$A$6:$C$27,3,FALSE)&gt;0,VLOOKUP($B161,Reference!$A$6:$C$27,3,FALSE),""),""))</f>
        <v/>
      </c>
      <c r="E161" s="53"/>
      <c r="F161" s="82">
        <f>IF(OR($A161="",$B161="",NOT(ISNUMBER($C161))),"",IF(ISNUMBER($E161),IF($E161&gt;0,EDATE($C161,$E161),""),IF(ISNUMBER($D161),EDATE($C161,$D161),"")))</f>
        <v/>
      </c>
      <c r="G161" s="83">
        <f>IF($F161="","",$F161-TODAY())</f>
        <v/>
      </c>
      <c r="H161" s="85">
        <f>IF(OR($A161="",$B161=""),"",IF($F161="","No date",IF($G161&lt;0,"Overdue",IF($G161&lt;=30,"Due &lt;=30",IF($G161&lt;=60,"Due 31-60","OK")))))</f>
        <v/>
      </c>
      <c r="I161" s="54"/>
      <c r="J161" s="54"/>
      <c r="K161" s="54"/>
      <c r="L161" s="54"/>
      <c r="M161" s="105">
        <f>IF($F161="","",$F161+ROW()/100000)</f>
        <v/>
      </c>
    </row>
    <row r="162" spans="1:13">
      <c r="A162" s="54"/>
      <c r="B162" s="54"/>
      <c r="C162" s="52"/>
      <c r="D162" s="83">
        <f>IF($B162="","",IFERROR(IF(VLOOKUP($B162,Reference!$A$6:$C$27,3,FALSE)&gt;0,VLOOKUP($B162,Reference!$A$6:$C$27,3,FALSE),""),""))</f>
        <v/>
      </c>
      <c r="E162" s="53"/>
      <c r="F162" s="82">
        <f>IF(OR($A162="",$B162="",NOT(ISNUMBER($C162))),"",IF(ISNUMBER($E162),IF($E162&gt;0,EDATE($C162,$E162),""),IF(ISNUMBER($D162),EDATE($C162,$D162),"")))</f>
        <v/>
      </c>
      <c r="G162" s="83">
        <f>IF($F162="","",$F162-TODAY())</f>
        <v/>
      </c>
      <c r="H162" s="85">
        <f>IF(OR($A162="",$B162=""),"",IF($F162="","No date",IF($G162&lt;0,"Overdue",IF($G162&lt;=30,"Due &lt;=30",IF($G162&lt;=60,"Due 31-60","OK")))))</f>
        <v/>
      </c>
      <c r="I162" s="54"/>
      <c r="J162" s="54"/>
      <c r="K162" s="54"/>
      <c r="L162" s="54"/>
      <c r="M162" s="105">
        <f>IF($F162="","",$F162+ROW()/100000)</f>
        <v/>
      </c>
    </row>
    <row r="163" spans="1:13">
      <c r="A163" s="54"/>
      <c r="B163" s="54"/>
      <c r="C163" s="52"/>
      <c r="D163" s="83">
        <f>IF($B163="","",IFERROR(IF(VLOOKUP($B163,Reference!$A$6:$C$27,3,FALSE)&gt;0,VLOOKUP($B163,Reference!$A$6:$C$27,3,FALSE),""),""))</f>
        <v/>
      </c>
      <c r="E163" s="53"/>
      <c r="F163" s="82">
        <f>IF(OR($A163="",$B163="",NOT(ISNUMBER($C163))),"",IF(ISNUMBER($E163),IF($E163&gt;0,EDATE($C163,$E163),""),IF(ISNUMBER($D163),EDATE($C163,$D163),"")))</f>
        <v/>
      </c>
      <c r="G163" s="83">
        <f>IF($F163="","",$F163-TODAY())</f>
        <v/>
      </c>
      <c r="H163" s="85">
        <f>IF(OR($A163="",$B163=""),"",IF($F163="","No date",IF($G163&lt;0,"Overdue",IF($G163&lt;=30,"Due &lt;=30",IF($G163&lt;=60,"Due 31-60","OK")))))</f>
        <v/>
      </c>
      <c r="I163" s="54"/>
      <c r="J163" s="54"/>
      <c r="K163" s="54"/>
      <c r="L163" s="54"/>
      <c r="M163" s="105">
        <f>IF($F163="","",$F163+ROW()/100000)</f>
        <v/>
      </c>
    </row>
    <row r="164" spans="1:13">
      <c r="A164" s="54"/>
      <c r="B164" s="54"/>
      <c r="C164" s="52"/>
      <c r="D164" s="83">
        <f>IF($B164="","",IFERROR(IF(VLOOKUP($B164,Reference!$A$6:$C$27,3,FALSE)&gt;0,VLOOKUP($B164,Reference!$A$6:$C$27,3,FALSE),""),""))</f>
        <v/>
      </c>
      <c r="E164" s="53"/>
      <c r="F164" s="82">
        <f>IF(OR($A164="",$B164="",NOT(ISNUMBER($C164))),"",IF(ISNUMBER($E164),IF($E164&gt;0,EDATE($C164,$E164),""),IF(ISNUMBER($D164),EDATE($C164,$D164),"")))</f>
        <v/>
      </c>
      <c r="G164" s="83">
        <f>IF($F164="","",$F164-TODAY())</f>
        <v/>
      </c>
      <c r="H164" s="85">
        <f>IF(OR($A164="",$B164=""),"",IF($F164="","No date",IF($G164&lt;0,"Overdue",IF($G164&lt;=30,"Due &lt;=30",IF($G164&lt;=60,"Due 31-60","OK")))))</f>
        <v/>
      </c>
      <c r="I164" s="54"/>
      <c r="J164" s="54"/>
      <c r="K164" s="54"/>
      <c r="L164" s="54"/>
      <c r="M164" s="105">
        <f>IF($F164="","",$F164+ROW()/100000)</f>
        <v/>
      </c>
    </row>
    <row r="165" spans="1:13">
      <c r="A165" s="54"/>
      <c r="B165" s="54"/>
      <c r="C165" s="52"/>
      <c r="D165" s="83">
        <f>IF($B165="","",IFERROR(IF(VLOOKUP($B165,Reference!$A$6:$C$27,3,FALSE)&gt;0,VLOOKUP($B165,Reference!$A$6:$C$27,3,FALSE),""),""))</f>
        <v/>
      </c>
      <c r="E165" s="53"/>
      <c r="F165" s="82">
        <f>IF(OR($A165="",$B165="",NOT(ISNUMBER($C165))),"",IF(ISNUMBER($E165),IF($E165&gt;0,EDATE($C165,$E165),""),IF(ISNUMBER($D165),EDATE($C165,$D165),"")))</f>
        <v/>
      </c>
      <c r="G165" s="83">
        <f>IF($F165="","",$F165-TODAY())</f>
        <v/>
      </c>
      <c r="H165" s="85">
        <f>IF(OR($A165="",$B165=""),"",IF($F165="","No date",IF($G165&lt;0,"Overdue",IF($G165&lt;=30,"Due &lt;=30",IF($G165&lt;=60,"Due 31-60","OK")))))</f>
        <v/>
      </c>
      <c r="I165" s="54"/>
      <c r="J165" s="54"/>
      <c r="K165" s="54"/>
      <c r="L165" s="54"/>
      <c r="M165" s="105">
        <f>IF($F165="","",$F165+ROW()/100000)</f>
        <v/>
      </c>
    </row>
    <row r="166" spans="1:13">
      <c r="A166" s="54"/>
      <c r="B166" s="54"/>
      <c r="C166" s="52"/>
      <c r="D166" s="83">
        <f>IF($B166="","",IFERROR(IF(VLOOKUP($B166,Reference!$A$6:$C$27,3,FALSE)&gt;0,VLOOKUP($B166,Reference!$A$6:$C$27,3,FALSE),""),""))</f>
        <v/>
      </c>
      <c r="E166" s="53"/>
      <c r="F166" s="82">
        <f>IF(OR($A166="",$B166="",NOT(ISNUMBER($C166))),"",IF(ISNUMBER($E166),IF($E166&gt;0,EDATE($C166,$E166),""),IF(ISNUMBER($D166),EDATE($C166,$D166),"")))</f>
        <v/>
      </c>
      <c r="G166" s="83">
        <f>IF($F166="","",$F166-TODAY())</f>
        <v/>
      </c>
      <c r="H166" s="85">
        <f>IF(OR($A166="",$B166=""),"",IF($F166="","No date",IF($G166&lt;0,"Overdue",IF($G166&lt;=30,"Due &lt;=30",IF($G166&lt;=60,"Due 31-60","OK")))))</f>
        <v/>
      </c>
      <c r="I166" s="54"/>
      <c r="J166" s="54"/>
      <c r="K166" s="54"/>
      <c r="L166" s="54"/>
      <c r="M166" s="105">
        <f>IF($F166="","",$F166+ROW()/100000)</f>
        <v/>
      </c>
    </row>
    <row r="167" spans="1:13">
      <c r="A167" s="54"/>
      <c r="B167" s="54"/>
      <c r="C167" s="52"/>
      <c r="D167" s="83">
        <f>IF($B167="","",IFERROR(IF(VLOOKUP($B167,Reference!$A$6:$C$27,3,FALSE)&gt;0,VLOOKUP($B167,Reference!$A$6:$C$27,3,FALSE),""),""))</f>
        <v/>
      </c>
      <c r="E167" s="53"/>
      <c r="F167" s="82">
        <f>IF(OR($A167="",$B167="",NOT(ISNUMBER($C167))),"",IF(ISNUMBER($E167),IF($E167&gt;0,EDATE($C167,$E167),""),IF(ISNUMBER($D167),EDATE($C167,$D167),"")))</f>
        <v/>
      </c>
      <c r="G167" s="83">
        <f>IF($F167="","",$F167-TODAY())</f>
        <v/>
      </c>
      <c r="H167" s="85">
        <f>IF(OR($A167="",$B167=""),"",IF($F167="","No date",IF($G167&lt;0,"Overdue",IF($G167&lt;=30,"Due &lt;=30",IF($G167&lt;=60,"Due 31-60","OK")))))</f>
        <v/>
      </c>
      <c r="I167" s="54"/>
      <c r="J167" s="54"/>
      <c r="K167" s="54"/>
      <c r="L167" s="54"/>
      <c r="M167" s="105">
        <f>IF($F167="","",$F167+ROW()/100000)</f>
        <v/>
      </c>
    </row>
    <row r="168" spans="1:13">
      <c r="A168" s="54"/>
      <c r="B168" s="54"/>
      <c r="C168" s="52"/>
      <c r="D168" s="83">
        <f>IF($B168="","",IFERROR(IF(VLOOKUP($B168,Reference!$A$6:$C$27,3,FALSE)&gt;0,VLOOKUP($B168,Reference!$A$6:$C$27,3,FALSE),""),""))</f>
        <v/>
      </c>
      <c r="E168" s="53"/>
      <c r="F168" s="82">
        <f>IF(OR($A168="",$B168="",NOT(ISNUMBER($C168))),"",IF(ISNUMBER($E168),IF($E168&gt;0,EDATE($C168,$E168),""),IF(ISNUMBER($D168),EDATE($C168,$D168),"")))</f>
        <v/>
      </c>
      <c r="G168" s="83">
        <f>IF($F168="","",$F168-TODAY())</f>
        <v/>
      </c>
      <c r="H168" s="85">
        <f>IF(OR($A168="",$B168=""),"",IF($F168="","No date",IF($G168&lt;0,"Overdue",IF($G168&lt;=30,"Due &lt;=30",IF($G168&lt;=60,"Due 31-60","OK")))))</f>
        <v/>
      </c>
      <c r="I168" s="54"/>
      <c r="J168" s="54"/>
      <c r="K168" s="54"/>
      <c r="L168" s="54"/>
      <c r="M168" s="105">
        <f>IF($F168="","",$F168+ROW()/100000)</f>
        <v/>
      </c>
    </row>
    <row r="169" spans="1:13">
      <c r="A169" s="54"/>
      <c r="B169" s="54"/>
      <c r="C169" s="52"/>
      <c r="D169" s="83">
        <f>IF($B169="","",IFERROR(IF(VLOOKUP($B169,Reference!$A$6:$C$27,3,FALSE)&gt;0,VLOOKUP($B169,Reference!$A$6:$C$27,3,FALSE),""),""))</f>
        <v/>
      </c>
      <c r="E169" s="53"/>
      <c r="F169" s="82">
        <f>IF(OR($A169="",$B169="",NOT(ISNUMBER($C169))),"",IF(ISNUMBER($E169),IF($E169&gt;0,EDATE($C169,$E169),""),IF(ISNUMBER($D169),EDATE($C169,$D169),"")))</f>
        <v/>
      </c>
      <c r="G169" s="83">
        <f>IF($F169="","",$F169-TODAY())</f>
        <v/>
      </c>
      <c r="H169" s="85">
        <f>IF(OR($A169="",$B169=""),"",IF($F169="","No date",IF($G169&lt;0,"Overdue",IF($G169&lt;=30,"Due &lt;=30",IF($G169&lt;=60,"Due 31-60","OK")))))</f>
        <v/>
      </c>
      <c r="I169" s="54"/>
      <c r="J169" s="54"/>
      <c r="K169" s="54"/>
      <c r="L169" s="54"/>
      <c r="M169" s="105">
        <f>IF($F169="","",$F169+ROW()/100000)</f>
        <v/>
      </c>
    </row>
    <row r="170" spans="1:13">
      <c r="A170" s="54"/>
      <c r="B170" s="54"/>
      <c r="C170" s="52"/>
      <c r="D170" s="83">
        <f>IF($B170="","",IFERROR(IF(VLOOKUP($B170,Reference!$A$6:$C$27,3,FALSE)&gt;0,VLOOKUP($B170,Reference!$A$6:$C$27,3,FALSE),""),""))</f>
        <v/>
      </c>
      <c r="E170" s="53"/>
      <c r="F170" s="82">
        <f>IF(OR($A170="",$B170="",NOT(ISNUMBER($C170))),"",IF(ISNUMBER($E170),IF($E170&gt;0,EDATE($C170,$E170),""),IF(ISNUMBER($D170),EDATE($C170,$D170),"")))</f>
        <v/>
      </c>
      <c r="G170" s="83">
        <f>IF($F170="","",$F170-TODAY())</f>
        <v/>
      </c>
      <c r="H170" s="85">
        <f>IF(OR($A170="",$B170=""),"",IF($F170="","No date",IF($G170&lt;0,"Overdue",IF($G170&lt;=30,"Due &lt;=30",IF($G170&lt;=60,"Due 31-60","OK")))))</f>
        <v/>
      </c>
      <c r="I170" s="54"/>
      <c r="J170" s="54"/>
      <c r="K170" s="54"/>
      <c r="L170" s="54"/>
      <c r="M170" s="105">
        <f>IF($F170="","",$F170+ROW()/100000)</f>
        <v/>
      </c>
    </row>
    <row r="171" spans="1:13">
      <c r="A171" s="54"/>
      <c r="B171" s="54"/>
      <c r="C171" s="52"/>
      <c r="D171" s="83">
        <f>IF($B171="","",IFERROR(IF(VLOOKUP($B171,Reference!$A$6:$C$27,3,FALSE)&gt;0,VLOOKUP($B171,Reference!$A$6:$C$27,3,FALSE),""),""))</f>
        <v/>
      </c>
      <c r="E171" s="53"/>
      <c r="F171" s="82">
        <f>IF(OR($A171="",$B171="",NOT(ISNUMBER($C171))),"",IF(ISNUMBER($E171),IF($E171&gt;0,EDATE($C171,$E171),""),IF(ISNUMBER($D171),EDATE($C171,$D171),"")))</f>
        <v/>
      </c>
      <c r="G171" s="83">
        <f>IF($F171="","",$F171-TODAY())</f>
        <v/>
      </c>
      <c r="H171" s="85">
        <f>IF(OR($A171="",$B171=""),"",IF($F171="","No date",IF($G171&lt;0,"Overdue",IF($G171&lt;=30,"Due &lt;=30",IF($G171&lt;=60,"Due 31-60","OK")))))</f>
        <v/>
      </c>
      <c r="I171" s="54"/>
      <c r="J171" s="54"/>
      <c r="K171" s="54"/>
      <c r="L171" s="54"/>
      <c r="M171" s="105">
        <f>IF($F171="","",$F171+ROW()/100000)</f>
        <v/>
      </c>
    </row>
    <row r="172" spans="1:13">
      <c r="A172" s="54"/>
      <c r="B172" s="54"/>
      <c r="C172" s="52"/>
      <c r="D172" s="83">
        <f>IF($B172="","",IFERROR(IF(VLOOKUP($B172,Reference!$A$6:$C$27,3,FALSE)&gt;0,VLOOKUP($B172,Reference!$A$6:$C$27,3,FALSE),""),""))</f>
        <v/>
      </c>
      <c r="E172" s="53"/>
      <c r="F172" s="82">
        <f>IF(OR($A172="",$B172="",NOT(ISNUMBER($C172))),"",IF(ISNUMBER($E172),IF($E172&gt;0,EDATE($C172,$E172),""),IF(ISNUMBER($D172),EDATE($C172,$D172),"")))</f>
        <v/>
      </c>
      <c r="G172" s="83">
        <f>IF($F172="","",$F172-TODAY())</f>
        <v/>
      </c>
      <c r="H172" s="85">
        <f>IF(OR($A172="",$B172=""),"",IF($F172="","No date",IF($G172&lt;0,"Overdue",IF($G172&lt;=30,"Due &lt;=30",IF($G172&lt;=60,"Due 31-60","OK")))))</f>
        <v/>
      </c>
      <c r="I172" s="54"/>
      <c r="J172" s="54"/>
      <c r="K172" s="54"/>
      <c r="L172" s="54"/>
      <c r="M172" s="105">
        <f>IF($F172="","",$F172+ROW()/100000)</f>
        <v/>
      </c>
    </row>
    <row r="173" spans="1:13">
      <c r="A173" s="54"/>
      <c r="B173" s="54"/>
      <c r="C173" s="52"/>
      <c r="D173" s="83">
        <f>IF($B173="","",IFERROR(IF(VLOOKUP($B173,Reference!$A$6:$C$27,3,FALSE)&gt;0,VLOOKUP($B173,Reference!$A$6:$C$27,3,FALSE),""),""))</f>
        <v/>
      </c>
      <c r="E173" s="53"/>
      <c r="F173" s="82">
        <f>IF(OR($A173="",$B173="",NOT(ISNUMBER($C173))),"",IF(ISNUMBER($E173),IF($E173&gt;0,EDATE($C173,$E173),""),IF(ISNUMBER($D173),EDATE($C173,$D173),"")))</f>
        <v/>
      </c>
      <c r="G173" s="83">
        <f>IF($F173="","",$F173-TODAY())</f>
        <v/>
      </c>
      <c r="H173" s="85">
        <f>IF(OR($A173="",$B173=""),"",IF($F173="","No date",IF($G173&lt;0,"Overdue",IF($G173&lt;=30,"Due &lt;=30",IF($G173&lt;=60,"Due 31-60","OK")))))</f>
        <v/>
      </c>
      <c r="I173" s="54"/>
      <c r="J173" s="54"/>
      <c r="K173" s="54"/>
      <c r="L173" s="54"/>
      <c r="M173" s="105">
        <f>IF($F173="","",$F173+ROW()/100000)</f>
        <v/>
      </c>
    </row>
    <row r="174" spans="1:13">
      <c r="A174" s="54"/>
      <c r="B174" s="54"/>
      <c r="C174" s="52"/>
      <c r="D174" s="83">
        <f>IF($B174="","",IFERROR(IF(VLOOKUP($B174,Reference!$A$6:$C$27,3,FALSE)&gt;0,VLOOKUP($B174,Reference!$A$6:$C$27,3,FALSE),""),""))</f>
        <v/>
      </c>
      <c r="E174" s="53"/>
      <c r="F174" s="82">
        <f>IF(OR($A174="",$B174="",NOT(ISNUMBER($C174))),"",IF(ISNUMBER($E174),IF($E174&gt;0,EDATE($C174,$E174),""),IF(ISNUMBER($D174),EDATE($C174,$D174),"")))</f>
        <v/>
      </c>
      <c r="G174" s="83">
        <f>IF($F174="","",$F174-TODAY())</f>
        <v/>
      </c>
      <c r="H174" s="85">
        <f>IF(OR($A174="",$B174=""),"",IF($F174="","No date",IF($G174&lt;0,"Overdue",IF($G174&lt;=30,"Due &lt;=30",IF($G174&lt;=60,"Due 31-60","OK")))))</f>
        <v/>
      </c>
      <c r="I174" s="54"/>
      <c r="J174" s="54"/>
      <c r="K174" s="54"/>
      <c r="L174" s="54"/>
      <c r="M174" s="105">
        <f>IF($F174="","",$F174+ROW()/100000)</f>
        <v/>
      </c>
    </row>
    <row r="175" spans="1:13">
      <c r="A175" s="54"/>
      <c r="B175" s="54"/>
      <c r="C175" s="52"/>
      <c r="D175" s="83">
        <f>IF($B175="","",IFERROR(IF(VLOOKUP($B175,Reference!$A$6:$C$27,3,FALSE)&gt;0,VLOOKUP($B175,Reference!$A$6:$C$27,3,FALSE),""),""))</f>
        <v/>
      </c>
      <c r="E175" s="53"/>
      <c r="F175" s="82">
        <f>IF(OR($A175="",$B175="",NOT(ISNUMBER($C175))),"",IF(ISNUMBER($E175),IF($E175&gt;0,EDATE($C175,$E175),""),IF(ISNUMBER($D175),EDATE($C175,$D175),"")))</f>
        <v/>
      </c>
      <c r="G175" s="83">
        <f>IF($F175="","",$F175-TODAY())</f>
        <v/>
      </c>
      <c r="H175" s="85">
        <f>IF(OR($A175="",$B175=""),"",IF($F175="","No date",IF($G175&lt;0,"Overdue",IF($G175&lt;=30,"Due &lt;=30",IF($G175&lt;=60,"Due 31-60","OK")))))</f>
        <v/>
      </c>
      <c r="I175" s="54"/>
      <c r="J175" s="54"/>
      <c r="K175" s="54"/>
      <c r="L175" s="54"/>
      <c r="M175" s="105">
        <f>IF($F175="","",$F175+ROW()/100000)</f>
        <v/>
      </c>
    </row>
    <row r="176" spans="1:13">
      <c r="A176" s="54"/>
      <c r="B176" s="54"/>
      <c r="C176" s="52"/>
      <c r="D176" s="83">
        <f>IF($B176="","",IFERROR(IF(VLOOKUP($B176,Reference!$A$6:$C$27,3,FALSE)&gt;0,VLOOKUP($B176,Reference!$A$6:$C$27,3,FALSE),""),""))</f>
        <v/>
      </c>
      <c r="E176" s="53"/>
      <c r="F176" s="82">
        <f>IF(OR($A176="",$B176="",NOT(ISNUMBER($C176))),"",IF(ISNUMBER($E176),IF($E176&gt;0,EDATE($C176,$E176),""),IF(ISNUMBER($D176),EDATE($C176,$D176),"")))</f>
        <v/>
      </c>
      <c r="G176" s="83">
        <f>IF($F176="","",$F176-TODAY())</f>
        <v/>
      </c>
      <c r="H176" s="85">
        <f>IF(OR($A176="",$B176=""),"",IF($F176="","No date",IF($G176&lt;0,"Overdue",IF($G176&lt;=30,"Due &lt;=30",IF($G176&lt;=60,"Due 31-60","OK")))))</f>
        <v/>
      </c>
      <c r="I176" s="54"/>
      <c r="J176" s="54"/>
      <c r="K176" s="54"/>
      <c r="L176" s="54"/>
      <c r="M176" s="105">
        <f>IF($F176="","",$F176+ROW()/100000)</f>
        <v/>
      </c>
    </row>
    <row r="177" spans="1:13">
      <c r="A177" s="54"/>
      <c r="B177" s="54"/>
      <c r="C177" s="52"/>
      <c r="D177" s="83">
        <f>IF($B177="","",IFERROR(IF(VLOOKUP($B177,Reference!$A$6:$C$27,3,FALSE)&gt;0,VLOOKUP($B177,Reference!$A$6:$C$27,3,FALSE),""),""))</f>
        <v/>
      </c>
      <c r="E177" s="53"/>
      <c r="F177" s="82">
        <f>IF(OR($A177="",$B177="",NOT(ISNUMBER($C177))),"",IF(ISNUMBER($E177),IF($E177&gt;0,EDATE($C177,$E177),""),IF(ISNUMBER($D177),EDATE($C177,$D177),"")))</f>
        <v/>
      </c>
      <c r="G177" s="83">
        <f>IF($F177="","",$F177-TODAY())</f>
        <v/>
      </c>
      <c r="H177" s="85">
        <f>IF(OR($A177="",$B177=""),"",IF($F177="","No date",IF($G177&lt;0,"Overdue",IF($G177&lt;=30,"Due &lt;=30",IF($G177&lt;=60,"Due 31-60","OK")))))</f>
        <v/>
      </c>
      <c r="I177" s="54"/>
      <c r="J177" s="54"/>
      <c r="K177" s="54"/>
      <c r="L177" s="54"/>
      <c r="M177" s="105">
        <f>IF($F177="","",$F177+ROW()/100000)</f>
        <v/>
      </c>
    </row>
    <row r="178" spans="1:13">
      <c r="A178" s="54"/>
      <c r="B178" s="54"/>
      <c r="C178" s="52"/>
      <c r="D178" s="83">
        <f>IF($B178="","",IFERROR(IF(VLOOKUP($B178,Reference!$A$6:$C$27,3,FALSE)&gt;0,VLOOKUP($B178,Reference!$A$6:$C$27,3,FALSE),""),""))</f>
        <v/>
      </c>
      <c r="E178" s="53"/>
      <c r="F178" s="82">
        <f>IF(OR($A178="",$B178="",NOT(ISNUMBER($C178))),"",IF(ISNUMBER($E178),IF($E178&gt;0,EDATE($C178,$E178),""),IF(ISNUMBER($D178),EDATE($C178,$D178),"")))</f>
        <v/>
      </c>
      <c r="G178" s="83">
        <f>IF($F178="","",$F178-TODAY())</f>
        <v/>
      </c>
      <c r="H178" s="85">
        <f>IF(OR($A178="",$B178=""),"",IF($F178="","No date",IF($G178&lt;0,"Overdue",IF($G178&lt;=30,"Due &lt;=30",IF($G178&lt;=60,"Due 31-60","OK")))))</f>
        <v/>
      </c>
      <c r="I178" s="54"/>
      <c r="J178" s="54"/>
      <c r="K178" s="54"/>
      <c r="L178" s="54"/>
      <c r="M178" s="105">
        <f>IF($F178="","",$F178+ROW()/100000)</f>
        <v/>
      </c>
    </row>
    <row r="179" spans="1:13">
      <c r="A179" s="54"/>
      <c r="B179" s="54"/>
      <c r="C179" s="52"/>
      <c r="D179" s="83">
        <f>IF($B179="","",IFERROR(IF(VLOOKUP($B179,Reference!$A$6:$C$27,3,FALSE)&gt;0,VLOOKUP($B179,Reference!$A$6:$C$27,3,FALSE),""),""))</f>
        <v/>
      </c>
      <c r="E179" s="53"/>
      <c r="F179" s="82">
        <f>IF(OR($A179="",$B179="",NOT(ISNUMBER($C179))),"",IF(ISNUMBER($E179),IF($E179&gt;0,EDATE($C179,$E179),""),IF(ISNUMBER($D179),EDATE($C179,$D179),"")))</f>
        <v/>
      </c>
      <c r="G179" s="83">
        <f>IF($F179="","",$F179-TODAY())</f>
        <v/>
      </c>
      <c r="H179" s="85">
        <f>IF(OR($A179="",$B179=""),"",IF($F179="","No date",IF($G179&lt;0,"Overdue",IF($G179&lt;=30,"Due &lt;=30",IF($G179&lt;=60,"Due 31-60","OK")))))</f>
        <v/>
      </c>
      <c r="I179" s="54"/>
      <c r="J179" s="54"/>
      <c r="K179" s="54"/>
      <c r="L179" s="54"/>
      <c r="M179" s="105">
        <f>IF($F179="","",$F179+ROW()/100000)</f>
        <v/>
      </c>
    </row>
    <row r="180" spans="1:13">
      <c r="A180" s="54"/>
      <c r="B180" s="54"/>
      <c r="C180" s="52"/>
      <c r="D180" s="83">
        <f>IF($B180="","",IFERROR(IF(VLOOKUP($B180,Reference!$A$6:$C$27,3,FALSE)&gt;0,VLOOKUP($B180,Reference!$A$6:$C$27,3,FALSE),""),""))</f>
        <v/>
      </c>
      <c r="E180" s="53"/>
      <c r="F180" s="82">
        <f>IF(OR($A180="",$B180="",NOT(ISNUMBER($C180))),"",IF(ISNUMBER($E180),IF($E180&gt;0,EDATE($C180,$E180),""),IF(ISNUMBER($D180),EDATE($C180,$D180),"")))</f>
        <v/>
      </c>
      <c r="G180" s="83">
        <f>IF($F180="","",$F180-TODAY())</f>
        <v/>
      </c>
      <c r="H180" s="85">
        <f>IF(OR($A180="",$B180=""),"",IF($F180="","No date",IF($G180&lt;0,"Overdue",IF($G180&lt;=30,"Due &lt;=30",IF($G180&lt;=60,"Due 31-60","OK")))))</f>
        <v/>
      </c>
      <c r="I180" s="54"/>
      <c r="J180" s="54"/>
      <c r="K180" s="54"/>
      <c r="L180" s="54"/>
      <c r="M180" s="105">
        <f>IF($F180="","",$F180+ROW()/100000)</f>
        <v/>
      </c>
    </row>
    <row r="181" spans="1:13">
      <c r="A181" s="54"/>
      <c r="B181" s="54"/>
      <c r="C181" s="52"/>
      <c r="D181" s="83">
        <f>IF($B181="","",IFERROR(IF(VLOOKUP($B181,Reference!$A$6:$C$27,3,FALSE)&gt;0,VLOOKUP($B181,Reference!$A$6:$C$27,3,FALSE),""),""))</f>
        <v/>
      </c>
      <c r="E181" s="53"/>
      <c r="F181" s="82">
        <f>IF(OR($A181="",$B181="",NOT(ISNUMBER($C181))),"",IF(ISNUMBER($E181),IF($E181&gt;0,EDATE($C181,$E181),""),IF(ISNUMBER($D181),EDATE($C181,$D181),"")))</f>
        <v/>
      </c>
      <c r="G181" s="83">
        <f>IF($F181="","",$F181-TODAY())</f>
        <v/>
      </c>
      <c r="H181" s="85">
        <f>IF(OR($A181="",$B181=""),"",IF($F181="","No date",IF($G181&lt;0,"Overdue",IF($G181&lt;=30,"Due &lt;=30",IF($G181&lt;=60,"Due 31-60","OK")))))</f>
        <v/>
      </c>
      <c r="I181" s="54"/>
      <c r="J181" s="54"/>
      <c r="K181" s="54"/>
      <c r="L181" s="54"/>
      <c r="M181" s="105">
        <f>IF($F181="","",$F181+ROW()/100000)</f>
        <v/>
      </c>
    </row>
    <row r="182" spans="1:13">
      <c r="A182" s="54"/>
      <c r="B182" s="54"/>
      <c r="C182" s="52"/>
      <c r="D182" s="83">
        <f>IF($B182="","",IFERROR(IF(VLOOKUP($B182,Reference!$A$6:$C$27,3,FALSE)&gt;0,VLOOKUP($B182,Reference!$A$6:$C$27,3,FALSE),""),""))</f>
        <v/>
      </c>
      <c r="E182" s="53"/>
      <c r="F182" s="82">
        <f>IF(OR($A182="",$B182="",NOT(ISNUMBER($C182))),"",IF(ISNUMBER($E182),IF($E182&gt;0,EDATE($C182,$E182),""),IF(ISNUMBER($D182),EDATE($C182,$D182),"")))</f>
        <v/>
      </c>
      <c r="G182" s="83">
        <f>IF($F182="","",$F182-TODAY())</f>
        <v/>
      </c>
      <c r="H182" s="85">
        <f>IF(OR($A182="",$B182=""),"",IF($F182="","No date",IF($G182&lt;0,"Overdue",IF($G182&lt;=30,"Due &lt;=30",IF($G182&lt;=60,"Due 31-60","OK")))))</f>
        <v/>
      </c>
      <c r="I182" s="54"/>
      <c r="J182" s="54"/>
      <c r="K182" s="54"/>
      <c r="L182" s="54"/>
      <c r="M182" s="105">
        <f>IF($F182="","",$F182+ROW()/100000)</f>
        <v/>
      </c>
    </row>
    <row r="183" spans="1:13">
      <c r="A183" s="54"/>
      <c r="B183" s="54"/>
      <c r="C183" s="52"/>
      <c r="D183" s="83">
        <f>IF($B183="","",IFERROR(IF(VLOOKUP($B183,Reference!$A$6:$C$27,3,FALSE)&gt;0,VLOOKUP($B183,Reference!$A$6:$C$27,3,FALSE),""),""))</f>
        <v/>
      </c>
      <c r="E183" s="53"/>
      <c r="F183" s="82">
        <f>IF(OR($A183="",$B183="",NOT(ISNUMBER($C183))),"",IF(ISNUMBER($E183),IF($E183&gt;0,EDATE($C183,$E183),""),IF(ISNUMBER($D183),EDATE($C183,$D183),"")))</f>
        <v/>
      </c>
      <c r="G183" s="83">
        <f>IF($F183="","",$F183-TODAY())</f>
        <v/>
      </c>
      <c r="H183" s="85">
        <f>IF(OR($A183="",$B183=""),"",IF($F183="","No date",IF($G183&lt;0,"Overdue",IF($G183&lt;=30,"Due &lt;=30",IF($G183&lt;=60,"Due 31-60","OK")))))</f>
        <v/>
      </c>
      <c r="I183" s="54"/>
      <c r="J183" s="54"/>
      <c r="K183" s="54"/>
      <c r="L183" s="54"/>
      <c r="M183" s="105">
        <f>IF($F183="","",$F183+ROW()/100000)</f>
        <v/>
      </c>
    </row>
    <row r="184" spans="1:13">
      <c r="A184" s="54"/>
      <c r="B184" s="54"/>
      <c r="C184" s="52"/>
      <c r="D184" s="83">
        <f>IF($B184="","",IFERROR(IF(VLOOKUP($B184,Reference!$A$6:$C$27,3,FALSE)&gt;0,VLOOKUP($B184,Reference!$A$6:$C$27,3,FALSE),""),""))</f>
        <v/>
      </c>
      <c r="E184" s="53"/>
      <c r="F184" s="82">
        <f>IF(OR($A184="",$B184="",NOT(ISNUMBER($C184))),"",IF(ISNUMBER($E184),IF($E184&gt;0,EDATE($C184,$E184),""),IF(ISNUMBER($D184),EDATE($C184,$D184),"")))</f>
        <v/>
      </c>
      <c r="G184" s="83">
        <f>IF($F184="","",$F184-TODAY())</f>
        <v/>
      </c>
      <c r="H184" s="85">
        <f>IF(OR($A184="",$B184=""),"",IF($F184="","No date",IF($G184&lt;0,"Overdue",IF($G184&lt;=30,"Due &lt;=30",IF($G184&lt;=60,"Due 31-60","OK")))))</f>
        <v/>
      </c>
      <c r="I184" s="54"/>
      <c r="J184" s="54"/>
      <c r="K184" s="54"/>
      <c r="L184" s="54"/>
      <c r="M184" s="105">
        <f>IF($F184="","",$F184+ROW()/100000)</f>
        <v/>
      </c>
    </row>
    <row r="185" spans="1:13">
      <c r="A185" s="54"/>
      <c r="B185" s="54"/>
      <c r="C185" s="52"/>
      <c r="D185" s="83">
        <f>IF($B185="","",IFERROR(IF(VLOOKUP($B185,Reference!$A$6:$C$27,3,FALSE)&gt;0,VLOOKUP($B185,Reference!$A$6:$C$27,3,FALSE),""),""))</f>
        <v/>
      </c>
      <c r="E185" s="53"/>
      <c r="F185" s="82">
        <f>IF(OR($A185="",$B185="",NOT(ISNUMBER($C185))),"",IF(ISNUMBER($E185),IF($E185&gt;0,EDATE($C185,$E185),""),IF(ISNUMBER($D185),EDATE($C185,$D185),"")))</f>
        <v/>
      </c>
      <c r="G185" s="83">
        <f>IF($F185="","",$F185-TODAY())</f>
        <v/>
      </c>
      <c r="H185" s="85">
        <f>IF(OR($A185="",$B185=""),"",IF($F185="","No date",IF($G185&lt;0,"Overdue",IF($G185&lt;=30,"Due &lt;=30",IF($G185&lt;=60,"Due 31-60","OK")))))</f>
        <v/>
      </c>
      <c r="I185" s="54"/>
      <c r="J185" s="54"/>
      <c r="K185" s="54"/>
      <c r="L185" s="54"/>
      <c r="M185" s="105">
        <f>IF($F185="","",$F185+ROW()/100000)</f>
        <v/>
      </c>
    </row>
    <row r="186" spans="1:13">
      <c r="A186" s="54"/>
      <c r="B186" s="54"/>
      <c r="C186" s="52"/>
      <c r="D186" s="83">
        <f>IF($B186="","",IFERROR(IF(VLOOKUP($B186,Reference!$A$6:$C$27,3,FALSE)&gt;0,VLOOKUP($B186,Reference!$A$6:$C$27,3,FALSE),""),""))</f>
        <v/>
      </c>
      <c r="E186" s="53"/>
      <c r="F186" s="82">
        <f>IF(OR($A186="",$B186="",NOT(ISNUMBER($C186))),"",IF(ISNUMBER($E186),IF($E186&gt;0,EDATE($C186,$E186),""),IF(ISNUMBER($D186),EDATE($C186,$D186),"")))</f>
        <v/>
      </c>
      <c r="G186" s="83">
        <f>IF($F186="","",$F186-TODAY())</f>
        <v/>
      </c>
      <c r="H186" s="85">
        <f>IF(OR($A186="",$B186=""),"",IF($F186="","No date",IF($G186&lt;0,"Overdue",IF($G186&lt;=30,"Due &lt;=30",IF($G186&lt;=60,"Due 31-60","OK")))))</f>
        <v/>
      </c>
      <c r="I186" s="54"/>
      <c r="J186" s="54"/>
      <c r="K186" s="54"/>
      <c r="L186" s="54"/>
      <c r="M186" s="105">
        <f>IF($F186="","",$F186+ROW()/100000)</f>
        <v/>
      </c>
    </row>
    <row r="187" spans="1:13">
      <c r="A187" s="54"/>
      <c r="B187" s="54"/>
      <c r="C187" s="52"/>
      <c r="D187" s="83">
        <f>IF($B187="","",IFERROR(IF(VLOOKUP($B187,Reference!$A$6:$C$27,3,FALSE)&gt;0,VLOOKUP($B187,Reference!$A$6:$C$27,3,FALSE),""),""))</f>
        <v/>
      </c>
      <c r="E187" s="53"/>
      <c r="F187" s="82">
        <f>IF(OR($A187="",$B187="",NOT(ISNUMBER($C187))),"",IF(ISNUMBER($E187),IF($E187&gt;0,EDATE($C187,$E187),""),IF(ISNUMBER($D187),EDATE($C187,$D187),"")))</f>
        <v/>
      </c>
      <c r="G187" s="83">
        <f>IF($F187="","",$F187-TODAY())</f>
        <v/>
      </c>
      <c r="H187" s="85">
        <f>IF(OR($A187="",$B187=""),"",IF($F187="","No date",IF($G187&lt;0,"Overdue",IF($G187&lt;=30,"Due &lt;=30",IF($G187&lt;=60,"Due 31-60","OK")))))</f>
        <v/>
      </c>
      <c r="I187" s="54"/>
      <c r="J187" s="54"/>
      <c r="K187" s="54"/>
      <c r="L187" s="54"/>
      <c r="M187" s="105">
        <f>IF($F187="","",$F187+ROW()/100000)</f>
        <v/>
      </c>
    </row>
    <row r="188" spans="1:13">
      <c r="A188" s="54"/>
      <c r="B188" s="54"/>
      <c r="C188" s="52"/>
      <c r="D188" s="83">
        <f>IF($B188="","",IFERROR(IF(VLOOKUP($B188,Reference!$A$6:$C$27,3,FALSE)&gt;0,VLOOKUP($B188,Reference!$A$6:$C$27,3,FALSE),""),""))</f>
        <v/>
      </c>
      <c r="E188" s="53"/>
      <c r="F188" s="82">
        <f>IF(OR($A188="",$B188="",NOT(ISNUMBER($C188))),"",IF(ISNUMBER($E188),IF($E188&gt;0,EDATE($C188,$E188),""),IF(ISNUMBER($D188),EDATE($C188,$D188),"")))</f>
        <v/>
      </c>
      <c r="G188" s="83">
        <f>IF($F188="","",$F188-TODAY())</f>
        <v/>
      </c>
      <c r="H188" s="85">
        <f>IF(OR($A188="",$B188=""),"",IF($F188="","No date",IF($G188&lt;0,"Overdue",IF($G188&lt;=30,"Due &lt;=30",IF($G188&lt;=60,"Due 31-60","OK")))))</f>
        <v/>
      </c>
      <c r="I188" s="54"/>
      <c r="J188" s="54"/>
      <c r="K188" s="54"/>
      <c r="L188" s="54"/>
      <c r="M188" s="105">
        <f>IF($F188="","",$F188+ROW()/100000)</f>
        <v/>
      </c>
    </row>
    <row r="189" spans="1:13">
      <c r="A189" s="54"/>
      <c r="B189" s="54"/>
      <c r="C189" s="52"/>
      <c r="D189" s="83">
        <f>IF($B189="","",IFERROR(IF(VLOOKUP($B189,Reference!$A$6:$C$27,3,FALSE)&gt;0,VLOOKUP($B189,Reference!$A$6:$C$27,3,FALSE),""),""))</f>
        <v/>
      </c>
      <c r="E189" s="53"/>
      <c r="F189" s="82">
        <f>IF(OR($A189="",$B189="",NOT(ISNUMBER($C189))),"",IF(ISNUMBER($E189),IF($E189&gt;0,EDATE($C189,$E189),""),IF(ISNUMBER($D189),EDATE($C189,$D189),"")))</f>
        <v/>
      </c>
      <c r="G189" s="83">
        <f>IF($F189="","",$F189-TODAY())</f>
        <v/>
      </c>
      <c r="H189" s="85">
        <f>IF(OR($A189="",$B189=""),"",IF($F189="","No date",IF($G189&lt;0,"Overdue",IF($G189&lt;=30,"Due &lt;=30",IF($G189&lt;=60,"Due 31-60","OK")))))</f>
        <v/>
      </c>
      <c r="I189" s="54"/>
      <c r="J189" s="54"/>
      <c r="K189" s="54"/>
      <c r="L189" s="54"/>
      <c r="M189" s="105">
        <f>IF($F189="","",$F189+ROW()/100000)</f>
        <v/>
      </c>
    </row>
    <row r="190" spans="1:13">
      <c r="A190" s="54"/>
      <c r="B190" s="54"/>
      <c r="C190" s="52"/>
      <c r="D190" s="83">
        <f>IF($B190="","",IFERROR(IF(VLOOKUP($B190,Reference!$A$6:$C$27,3,FALSE)&gt;0,VLOOKUP($B190,Reference!$A$6:$C$27,3,FALSE),""),""))</f>
        <v/>
      </c>
      <c r="E190" s="53"/>
      <c r="F190" s="82">
        <f>IF(OR($A190="",$B190="",NOT(ISNUMBER($C190))),"",IF(ISNUMBER($E190),IF($E190&gt;0,EDATE($C190,$E190),""),IF(ISNUMBER($D190),EDATE($C190,$D190),"")))</f>
        <v/>
      </c>
      <c r="G190" s="83">
        <f>IF($F190="","",$F190-TODAY())</f>
        <v/>
      </c>
      <c r="H190" s="85">
        <f>IF(OR($A190="",$B190=""),"",IF($F190="","No date",IF($G190&lt;0,"Overdue",IF($G190&lt;=30,"Due &lt;=30",IF($G190&lt;=60,"Due 31-60","OK")))))</f>
        <v/>
      </c>
      <c r="I190" s="54"/>
      <c r="J190" s="54"/>
      <c r="K190" s="54"/>
      <c r="L190" s="54"/>
      <c r="M190" s="105">
        <f>IF($F190="","",$F190+ROW()/100000)</f>
        <v/>
      </c>
    </row>
    <row r="191" spans="1:13">
      <c r="A191" s="54"/>
      <c r="B191" s="54"/>
      <c r="C191" s="52"/>
      <c r="D191" s="83">
        <f>IF($B191="","",IFERROR(IF(VLOOKUP($B191,Reference!$A$6:$C$27,3,FALSE)&gt;0,VLOOKUP($B191,Reference!$A$6:$C$27,3,FALSE),""),""))</f>
        <v/>
      </c>
      <c r="E191" s="53"/>
      <c r="F191" s="82">
        <f>IF(OR($A191="",$B191="",NOT(ISNUMBER($C191))),"",IF(ISNUMBER($E191),IF($E191&gt;0,EDATE($C191,$E191),""),IF(ISNUMBER($D191),EDATE($C191,$D191),"")))</f>
        <v/>
      </c>
      <c r="G191" s="83">
        <f>IF($F191="","",$F191-TODAY())</f>
        <v/>
      </c>
      <c r="H191" s="85">
        <f>IF(OR($A191="",$B191=""),"",IF($F191="","No date",IF($G191&lt;0,"Overdue",IF($G191&lt;=30,"Due &lt;=30",IF($G191&lt;=60,"Due 31-60","OK")))))</f>
        <v/>
      </c>
      <c r="I191" s="54"/>
      <c r="J191" s="54"/>
      <c r="K191" s="54"/>
      <c r="L191" s="54"/>
      <c r="M191" s="105">
        <f>IF($F191="","",$F191+ROW()/100000)</f>
        <v/>
      </c>
    </row>
    <row r="192" spans="1:13">
      <c r="A192" s="54"/>
      <c r="B192" s="54"/>
      <c r="C192" s="52"/>
      <c r="D192" s="83">
        <f>IF($B192="","",IFERROR(IF(VLOOKUP($B192,Reference!$A$6:$C$27,3,FALSE)&gt;0,VLOOKUP($B192,Reference!$A$6:$C$27,3,FALSE),""),""))</f>
        <v/>
      </c>
      <c r="E192" s="53"/>
      <c r="F192" s="82">
        <f>IF(OR($A192="",$B192="",NOT(ISNUMBER($C192))),"",IF(ISNUMBER($E192),IF($E192&gt;0,EDATE($C192,$E192),""),IF(ISNUMBER($D192),EDATE($C192,$D192),"")))</f>
        <v/>
      </c>
      <c r="G192" s="83">
        <f>IF($F192="","",$F192-TODAY())</f>
        <v/>
      </c>
      <c r="H192" s="85">
        <f>IF(OR($A192="",$B192=""),"",IF($F192="","No date",IF($G192&lt;0,"Overdue",IF($G192&lt;=30,"Due &lt;=30",IF($G192&lt;=60,"Due 31-60","OK")))))</f>
        <v/>
      </c>
      <c r="I192" s="54"/>
      <c r="J192" s="54"/>
      <c r="K192" s="54"/>
      <c r="L192" s="54"/>
      <c r="M192" s="105">
        <f>IF($F192="","",$F192+ROW()/100000)</f>
        <v/>
      </c>
    </row>
    <row r="193" spans="1:13">
      <c r="A193" s="54"/>
      <c r="B193" s="54"/>
      <c r="C193" s="52"/>
      <c r="D193" s="83">
        <f>IF($B193="","",IFERROR(IF(VLOOKUP($B193,Reference!$A$6:$C$27,3,FALSE)&gt;0,VLOOKUP($B193,Reference!$A$6:$C$27,3,FALSE),""),""))</f>
        <v/>
      </c>
      <c r="E193" s="53"/>
      <c r="F193" s="82">
        <f>IF(OR($A193="",$B193="",NOT(ISNUMBER($C193))),"",IF(ISNUMBER($E193),IF($E193&gt;0,EDATE($C193,$E193),""),IF(ISNUMBER($D193),EDATE($C193,$D193),"")))</f>
        <v/>
      </c>
      <c r="G193" s="83">
        <f>IF($F193="","",$F193-TODAY())</f>
        <v/>
      </c>
      <c r="H193" s="85">
        <f>IF(OR($A193="",$B193=""),"",IF($F193="","No date",IF($G193&lt;0,"Overdue",IF($G193&lt;=30,"Due &lt;=30",IF($G193&lt;=60,"Due 31-60","OK")))))</f>
        <v/>
      </c>
      <c r="I193" s="54"/>
      <c r="J193" s="54"/>
      <c r="K193" s="54"/>
      <c r="L193" s="54"/>
      <c r="M193" s="105">
        <f>IF($F193="","",$F193+ROW()/100000)</f>
        <v/>
      </c>
    </row>
    <row r="194" spans="1:13">
      <c r="A194" s="54"/>
      <c r="B194" s="54"/>
      <c r="C194" s="52"/>
      <c r="D194" s="83">
        <f>IF($B194="","",IFERROR(IF(VLOOKUP($B194,Reference!$A$6:$C$27,3,FALSE)&gt;0,VLOOKUP($B194,Reference!$A$6:$C$27,3,FALSE),""),""))</f>
        <v/>
      </c>
      <c r="E194" s="53"/>
      <c r="F194" s="82">
        <f>IF(OR($A194="",$B194="",NOT(ISNUMBER($C194))),"",IF(ISNUMBER($E194),IF($E194&gt;0,EDATE($C194,$E194),""),IF(ISNUMBER($D194),EDATE($C194,$D194),"")))</f>
        <v/>
      </c>
      <c r="G194" s="83">
        <f>IF($F194="","",$F194-TODAY())</f>
        <v/>
      </c>
      <c r="H194" s="85">
        <f>IF(OR($A194="",$B194=""),"",IF($F194="","No date",IF($G194&lt;0,"Overdue",IF($G194&lt;=30,"Due &lt;=30",IF($G194&lt;=60,"Due 31-60","OK")))))</f>
        <v/>
      </c>
      <c r="I194" s="54"/>
      <c r="J194" s="54"/>
      <c r="K194" s="54"/>
      <c r="L194" s="54"/>
      <c r="M194" s="105">
        <f>IF($F194="","",$F194+ROW()/100000)</f>
        <v/>
      </c>
    </row>
    <row r="195" spans="1:13">
      <c r="A195" s="54"/>
      <c r="B195" s="54"/>
      <c r="C195" s="52"/>
      <c r="D195" s="83">
        <f>IF($B195="","",IFERROR(IF(VLOOKUP($B195,Reference!$A$6:$C$27,3,FALSE)&gt;0,VLOOKUP($B195,Reference!$A$6:$C$27,3,FALSE),""),""))</f>
        <v/>
      </c>
      <c r="E195" s="53"/>
      <c r="F195" s="82">
        <f>IF(OR($A195="",$B195="",NOT(ISNUMBER($C195))),"",IF(ISNUMBER($E195),IF($E195&gt;0,EDATE($C195,$E195),""),IF(ISNUMBER($D195),EDATE($C195,$D195),"")))</f>
        <v/>
      </c>
      <c r="G195" s="83">
        <f>IF($F195="","",$F195-TODAY())</f>
        <v/>
      </c>
      <c r="H195" s="85">
        <f>IF(OR($A195="",$B195=""),"",IF($F195="","No date",IF($G195&lt;0,"Overdue",IF($G195&lt;=30,"Due &lt;=30",IF($G195&lt;=60,"Due 31-60","OK")))))</f>
        <v/>
      </c>
      <c r="I195" s="54"/>
      <c r="J195" s="54"/>
      <c r="K195" s="54"/>
      <c r="L195" s="54"/>
      <c r="M195" s="105">
        <f>IF($F195="","",$F195+ROW()/100000)</f>
        <v/>
      </c>
    </row>
    <row r="196" spans="1:13">
      <c r="A196" s="54"/>
      <c r="B196" s="54"/>
      <c r="C196" s="52"/>
      <c r="D196" s="83">
        <f>IF($B196="","",IFERROR(IF(VLOOKUP($B196,Reference!$A$6:$C$27,3,FALSE)&gt;0,VLOOKUP($B196,Reference!$A$6:$C$27,3,FALSE),""),""))</f>
        <v/>
      </c>
      <c r="E196" s="53"/>
      <c r="F196" s="82">
        <f>IF(OR($A196="",$B196="",NOT(ISNUMBER($C196))),"",IF(ISNUMBER($E196),IF($E196&gt;0,EDATE($C196,$E196),""),IF(ISNUMBER($D196),EDATE($C196,$D196),"")))</f>
        <v/>
      </c>
      <c r="G196" s="83">
        <f>IF($F196="","",$F196-TODAY())</f>
        <v/>
      </c>
      <c r="H196" s="85">
        <f>IF(OR($A196="",$B196=""),"",IF($F196="","No date",IF($G196&lt;0,"Overdue",IF($G196&lt;=30,"Due &lt;=30",IF($G196&lt;=60,"Due 31-60","OK")))))</f>
        <v/>
      </c>
      <c r="I196" s="54"/>
      <c r="J196" s="54"/>
      <c r="K196" s="54"/>
      <c r="L196" s="54"/>
      <c r="M196" s="105">
        <f>IF($F196="","",$F196+ROW()/100000)</f>
        <v/>
      </c>
    </row>
    <row r="197" spans="1:13">
      <c r="A197" s="54"/>
      <c r="B197" s="54"/>
      <c r="C197" s="52"/>
      <c r="D197" s="83">
        <f>IF($B197="","",IFERROR(IF(VLOOKUP($B197,Reference!$A$6:$C$27,3,FALSE)&gt;0,VLOOKUP($B197,Reference!$A$6:$C$27,3,FALSE),""),""))</f>
        <v/>
      </c>
      <c r="E197" s="53"/>
      <c r="F197" s="82">
        <f>IF(OR($A197="",$B197="",NOT(ISNUMBER($C197))),"",IF(ISNUMBER($E197),IF($E197&gt;0,EDATE($C197,$E197),""),IF(ISNUMBER($D197),EDATE($C197,$D197),"")))</f>
        <v/>
      </c>
      <c r="G197" s="83">
        <f>IF($F197="","",$F197-TODAY())</f>
        <v/>
      </c>
      <c r="H197" s="85">
        <f>IF(OR($A197="",$B197=""),"",IF($F197="","No date",IF($G197&lt;0,"Overdue",IF($G197&lt;=30,"Due &lt;=30",IF($G197&lt;=60,"Due 31-60","OK")))))</f>
        <v/>
      </c>
      <c r="I197" s="54"/>
      <c r="J197" s="54"/>
      <c r="K197" s="54"/>
      <c r="L197" s="54"/>
      <c r="M197" s="105">
        <f>IF($F197="","",$F197+ROW()/100000)</f>
        <v/>
      </c>
    </row>
    <row r="198" spans="1:13">
      <c r="A198" s="54"/>
      <c r="B198" s="54"/>
      <c r="C198" s="52"/>
      <c r="D198" s="83">
        <f>IF($B198="","",IFERROR(IF(VLOOKUP($B198,Reference!$A$6:$C$27,3,FALSE)&gt;0,VLOOKUP($B198,Reference!$A$6:$C$27,3,FALSE),""),""))</f>
        <v/>
      </c>
      <c r="E198" s="53"/>
      <c r="F198" s="82">
        <f>IF(OR($A198="",$B198="",NOT(ISNUMBER($C198))),"",IF(ISNUMBER($E198),IF($E198&gt;0,EDATE($C198,$E198),""),IF(ISNUMBER($D198),EDATE($C198,$D198),"")))</f>
        <v/>
      </c>
      <c r="G198" s="83">
        <f>IF($F198="","",$F198-TODAY())</f>
        <v/>
      </c>
      <c r="H198" s="85">
        <f>IF(OR($A198="",$B198=""),"",IF($F198="","No date",IF($G198&lt;0,"Overdue",IF($G198&lt;=30,"Due &lt;=30",IF($G198&lt;=60,"Due 31-60","OK")))))</f>
        <v/>
      </c>
      <c r="I198" s="54"/>
      <c r="J198" s="54"/>
      <c r="K198" s="54"/>
      <c r="L198" s="54"/>
      <c r="M198" s="105">
        <f>IF($F198="","",$F198+ROW()/100000)</f>
        <v/>
      </c>
    </row>
    <row r="199" spans="1:13">
      <c r="A199" s="54"/>
      <c r="B199" s="54"/>
      <c r="C199" s="52"/>
      <c r="D199" s="83">
        <f>IF($B199="","",IFERROR(IF(VLOOKUP($B199,Reference!$A$6:$C$27,3,FALSE)&gt;0,VLOOKUP($B199,Reference!$A$6:$C$27,3,FALSE),""),""))</f>
        <v/>
      </c>
      <c r="E199" s="53"/>
      <c r="F199" s="82">
        <f>IF(OR($A199="",$B199="",NOT(ISNUMBER($C199))),"",IF(ISNUMBER($E199),IF($E199&gt;0,EDATE($C199,$E199),""),IF(ISNUMBER($D199),EDATE($C199,$D199),"")))</f>
        <v/>
      </c>
      <c r="G199" s="83">
        <f>IF($F199="","",$F199-TODAY())</f>
        <v/>
      </c>
      <c r="H199" s="85">
        <f>IF(OR($A199="",$B199=""),"",IF($F199="","No date",IF($G199&lt;0,"Overdue",IF($G199&lt;=30,"Due &lt;=30",IF($G199&lt;=60,"Due 31-60","OK")))))</f>
        <v/>
      </c>
      <c r="I199" s="54"/>
      <c r="J199" s="54"/>
      <c r="K199" s="54"/>
      <c r="L199" s="54"/>
      <c r="M199" s="105">
        <f>IF($F199="","",$F199+ROW()/100000)</f>
        <v/>
      </c>
    </row>
    <row r="200" spans="1:13">
      <c r="A200" s="54"/>
      <c r="B200" s="54"/>
      <c r="C200" s="52"/>
      <c r="D200" s="83">
        <f>IF($B200="","",IFERROR(IF(VLOOKUP($B200,Reference!$A$6:$C$27,3,FALSE)&gt;0,VLOOKUP($B200,Reference!$A$6:$C$27,3,FALSE),""),""))</f>
        <v/>
      </c>
      <c r="E200" s="53"/>
      <c r="F200" s="82">
        <f>IF(OR($A200="",$B200="",NOT(ISNUMBER($C200))),"",IF(ISNUMBER($E200),IF($E200&gt;0,EDATE($C200,$E200),""),IF(ISNUMBER($D200),EDATE($C200,$D200),"")))</f>
        <v/>
      </c>
      <c r="G200" s="83">
        <f>IF($F200="","",$F200-TODAY())</f>
        <v/>
      </c>
      <c r="H200" s="85">
        <f>IF(OR($A200="",$B200=""),"",IF($F200="","No date",IF($G200&lt;0,"Overdue",IF($G200&lt;=30,"Due &lt;=30",IF($G200&lt;=60,"Due 31-60","OK")))))</f>
        <v/>
      </c>
      <c r="I200" s="54"/>
      <c r="J200" s="54"/>
      <c r="K200" s="54"/>
      <c r="L200" s="54"/>
      <c r="M200" s="105">
        <f>IF($F200="","",$F200+ROW()/100000)</f>
        <v/>
      </c>
    </row>
    <row r="201" spans="1:13">
      <c r="A201" s="54"/>
      <c r="B201" s="54"/>
      <c r="C201" s="52"/>
      <c r="D201" s="83">
        <f>IF($B201="","",IFERROR(IF(VLOOKUP($B201,Reference!$A$6:$C$27,3,FALSE)&gt;0,VLOOKUP($B201,Reference!$A$6:$C$27,3,FALSE),""),""))</f>
        <v/>
      </c>
      <c r="E201" s="53"/>
      <c r="F201" s="82">
        <f>IF(OR($A201="",$B201="",NOT(ISNUMBER($C201))),"",IF(ISNUMBER($E201),IF($E201&gt;0,EDATE($C201,$E201),""),IF(ISNUMBER($D201),EDATE($C201,$D201),"")))</f>
        <v/>
      </c>
      <c r="G201" s="83">
        <f>IF($F201="","",$F201-TODAY())</f>
        <v/>
      </c>
      <c r="H201" s="85">
        <f>IF(OR($A201="",$B201=""),"",IF($F201="","No date",IF($G201&lt;0,"Overdue",IF($G201&lt;=30,"Due &lt;=30",IF($G201&lt;=60,"Due 31-60","OK")))))</f>
        <v/>
      </c>
      <c r="I201" s="54"/>
      <c r="J201" s="54"/>
      <c r="K201" s="54"/>
      <c r="L201" s="54"/>
      <c r="M201" s="105">
        <f>IF($F201="","",$F201+ROW()/100000)</f>
        <v/>
      </c>
    </row>
    <row r="202" spans="1:13">
      <c r="A202" s="54"/>
      <c r="B202" s="54"/>
      <c r="C202" s="52"/>
      <c r="D202" s="83">
        <f>IF($B202="","",IFERROR(IF(VLOOKUP($B202,Reference!$A$6:$C$27,3,FALSE)&gt;0,VLOOKUP($B202,Reference!$A$6:$C$27,3,FALSE),""),""))</f>
        <v/>
      </c>
      <c r="E202" s="53"/>
      <c r="F202" s="82">
        <f>IF(OR($A202="",$B202="",NOT(ISNUMBER($C202))),"",IF(ISNUMBER($E202),IF($E202&gt;0,EDATE($C202,$E202),""),IF(ISNUMBER($D202),EDATE($C202,$D202),"")))</f>
        <v/>
      </c>
      <c r="G202" s="83">
        <f>IF($F202="","",$F202-TODAY())</f>
        <v/>
      </c>
      <c r="H202" s="85">
        <f>IF(OR($A202="",$B202=""),"",IF($F202="","No date",IF($G202&lt;0,"Overdue",IF($G202&lt;=30,"Due &lt;=30",IF($G202&lt;=60,"Due 31-60","OK")))))</f>
        <v/>
      </c>
      <c r="I202" s="54"/>
      <c r="J202" s="54"/>
      <c r="K202" s="54"/>
      <c r="L202" s="54"/>
      <c r="M202" s="105">
        <f>IF($F202="","",$F202+ROW()/100000)</f>
        <v/>
      </c>
    </row>
    <row r="203" spans="1:13">
      <c r="A203" s="54"/>
      <c r="B203" s="54"/>
      <c r="C203" s="52"/>
      <c r="D203" s="83">
        <f>IF($B203="","",IFERROR(IF(VLOOKUP($B203,Reference!$A$6:$C$27,3,FALSE)&gt;0,VLOOKUP($B203,Reference!$A$6:$C$27,3,FALSE),""),""))</f>
        <v/>
      </c>
      <c r="E203" s="53"/>
      <c r="F203" s="82">
        <f>IF(OR($A203="",$B203="",NOT(ISNUMBER($C203))),"",IF(ISNUMBER($E203),IF($E203&gt;0,EDATE($C203,$E203),""),IF(ISNUMBER($D203),EDATE($C203,$D203),"")))</f>
        <v/>
      </c>
      <c r="G203" s="83">
        <f>IF($F203="","",$F203-TODAY())</f>
        <v/>
      </c>
      <c r="H203" s="85">
        <f>IF(OR($A203="",$B203=""),"",IF($F203="","No date",IF($G203&lt;0,"Overdue",IF($G203&lt;=30,"Due &lt;=30",IF($G203&lt;=60,"Due 31-60","OK")))))</f>
        <v/>
      </c>
      <c r="I203" s="54"/>
      <c r="J203" s="54"/>
      <c r="K203" s="54"/>
      <c r="L203" s="54"/>
      <c r="M203" s="105">
        <f>IF($F203="","",$F203+ROW()/100000)</f>
        <v/>
      </c>
    </row>
    <row r="204" spans="1:13">
      <c r="A204" s="54"/>
      <c r="B204" s="54"/>
      <c r="C204" s="52"/>
      <c r="D204" s="83">
        <f>IF($B204="","",IFERROR(IF(VLOOKUP($B204,Reference!$A$6:$C$27,3,FALSE)&gt;0,VLOOKUP($B204,Reference!$A$6:$C$27,3,FALSE),""),""))</f>
        <v/>
      </c>
      <c r="E204" s="53"/>
      <c r="F204" s="82">
        <f>IF(OR($A204="",$B204="",NOT(ISNUMBER($C204))),"",IF(ISNUMBER($E204),IF($E204&gt;0,EDATE($C204,$E204),""),IF(ISNUMBER($D204),EDATE($C204,$D204),"")))</f>
        <v/>
      </c>
      <c r="G204" s="83">
        <f>IF($F204="","",$F204-TODAY())</f>
        <v/>
      </c>
      <c r="H204" s="85">
        <f>IF(OR($A204="",$B204=""),"",IF($F204="","No date",IF($G204&lt;0,"Overdue",IF($G204&lt;=30,"Due &lt;=30",IF($G204&lt;=60,"Due 31-60","OK")))))</f>
        <v/>
      </c>
      <c r="I204" s="54"/>
      <c r="J204" s="54"/>
      <c r="K204" s="54"/>
      <c r="L204" s="54"/>
      <c r="M204" s="105">
        <f>IF($F204="","",$F204+ROW()/100000)</f>
        <v/>
      </c>
    </row>
    <row r="205" spans="1:13">
      <c r="A205" s="54"/>
      <c r="B205" s="54"/>
      <c r="C205" s="52"/>
      <c r="D205" s="83">
        <f>IF($B205="","",IFERROR(IF(VLOOKUP($B205,Reference!$A$6:$C$27,3,FALSE)&gt;0,VLOOKUP($B205,Reference!$A$6:$C$27,3,FALSE),""),""))</f>
        <v/>
      </c>
      <c r="E205" s="53"/>
      <c r="F205" s="82">
        <f>IF(OR($A205="",$B205="",NOT(ISNUMBER($C205))),"",IF(ISNUMBER($E205),IF($E205&gt;0,EDATE($C205,$E205),""),IF(ISNUMBER($D205),EDATE($C205,$D205),"")))</f>
        <v/>
      </c>
      <c r="G205" s="83">
        <f>IF($F205="","",$F205-TODAY())</f>
        <v/>
      </c>
      <c r="H205" s="85">
        <f>IF(OR($A205="",$B205=""),"",IF($F205="","No date",IF($G205&lt;0,"Overdue",IF($G205&lt;=30,"Due &lt;=30",IF($G205&lt;=60,"Due 31-60","OK")))))</f>
        <v/>
      </c>
      <c r="I205" s="54"/>
      <c r="J205" s="54"/>
      <c r="K205" s="54"/>
      <c r="L205" s="54"/>
      <c r="M205" s="105">
        <f>IF($F205="","",$F205+ROW()/100000)</f>
        <v/>
      </c>
    </row>
    <row r="206" spans="1:13">
      <c r="A206" s="54"/>
      <c r="B206" s="54"/>
      <c r="C206" s="52"/>
      <c r="D206" s="83">
        <f>IF($B206="","",IFERROR(IF(VLOOKUP($B206,Reference!$A$6:$C$27,3,FALSE)&gt;0,VLOOKUP($B206,Reference!$A$6:$C$27,3,FALSE),""),""))</f>
        <v/>
      </c>
      <c r="E206" s="53"/>
      <c r="F206" s="82">
        <f>IF(OR($A206="",$B206="",NOT(ISNUMBER($C206))),"",IF(ISNUMBER($E206),IF($E206&gt;0,EDATE($C206,$E206),""),IF(ISNUMBER($D206),EDATE($C206,$D206),"")))</f>
        <v/>
      </c>
      <c r="G206" s="83">
        <f>IF($F206="","",$F206-TODAY())</f>
        <v/>
      </c>
      <c r="H206" s="85">
        <f>IF(OR($A206="",$B206=""),"",IF($F206="","No date",IF($G206&lt;0,"Overdue",IF($G206&lt;=30,"Due &lt;=30",IF($G206&lt;=60,"Due 31-60","OK")))))</f>
        <v/>
      </c>
      <c r="I206" s="54"/>
      <c r="J206" s="54"/>
      <c r="K206" s="54"/>
      <c r="L206" s="54"/>
      <c r="M206" s="105">
        <f>IF($F206="","",$F206+ROW()/100000)</f>
        <v/>
      </c>
    </row>
    <row r="207" spans="1:13">
      <c r="A207" s="54"/>
      <c r="B207" s="54"/>
      <c r="C207" s="52"/>
      <c r="D207" s="83">
        <f>IF($B207="","",IFERROR(IF(VLOOKUP($B207,Reference!$A$6:$C$27,3,FALSE)&gt;0,VLOOKUP($B207,Reference!$A$6:$C$27,3,FALSE),""),""))</f>
        <v/>
      </c>
      <c r="E207" s="53"/>
      <c r="F207" s="82">
        <f>IF(OR($A207="",$B207="",NOT(ISNUMBER($C207))),"",IF(ISNUMBER($E207),IF($E207&gt;0,EDATE($C207,$E207),""),IF(ISNUMBER($D207),EDATE($C207,$D207),"")))</f>
        <v/>
      </c>
      <c r="G207" s="83">
        <f>IF($F207="","",$F207-TODAY())</f>
        <v/>
      </c>
      <c r="H207" s="85">
        <f>IF(OR($A207="",$B207=""),"",IF($F207="","No date",IF($G207&lt;0,"Overdue",IF($G207&lt;=30,"Due &lt;=30",IF($G207&lt;=60,"Due 31-60","OK")))))</f>
        <v/>
      </c>
      <c r="I207" s="54"/>
      <c r="J207" s="54"/>
      <c r="K207" s="54"/>
      <c r="L207" s="54"/>
      <c r="M207" s="105">
        <f>IF($F207="","",$F207+ROW()/100000)</f>
        <v/>
      </c>
    </row>
    <row r="208" spans="1:13">
      <c r="A208" s="54"/>
      <c r="B208" s="54"/>
      <c r="C208" s="52"/>
      <c r="D208" s="83">
        <f>IF($B208="","",IFERROR(IF(VLOOKUP($B208,Reference!$A$6:$C$27,3,FALSE)&gt;0,VLOOKUP($B208,Reference!$A$6:$C$27,3,FALSE),""),""))</f>
        <v/>
      </c>
      <c r="E208" s="53"/>
      <c r="F208" s="82">
        <f>IF(OR($A208="",$B208="",NOT(ISNUMBER($C208))),"",IF(ISNUMBER($E208),IF($E208&gt;0,EDATE($C208,$E208),""),IF(ISNUMBER($D208),EDATE($C208,$D208),"")))</f>
        <v/>
      </c>
      <c r="G208" s="83">
        <f>IF($F208="","",$F208-TODAY())</f>
        <v/>
      </c>
      <c r="H208" s="85">
        <f>IF(OR($A208="",$B208=""),"",IF($F208="","No date",IF($G208&lt;0,"Overdue",IF($G208&lt;=30,"Due &lt;=30",IF($G208&lt;=60,"Due 31-60","OK")))))</f>
        <v/>
      </c>
      <c r="I208" s="54"/>
      <c r="J208" s="54"/>
      <c r="K208" s="54"/>
      <c r="L208" s="54"/>
      <c r="M208" s="105">
        <f>IF($F208="","",$F208+ROW()/100000)</f>
        <v/>
      </c>
    </row>
    <row r="209" spans="1:13">
      <c r="A209" s="54"/>
      <c r="B209" s="54"/>
      <c r="C209" s="52"/>
      <c r="D209" s="83">
        <f>IF($B209="","",IFERROR(IF(VLOOKUP($B209,Reference!$A$6:$C$27,3,FALSE)&gt;0,VLOOKUP($B209,Reference!$A$6:$C$27,3,FALSE),""),""))</f>
        <v/>
      </c>
      <c r="E209" s="53"/>
      <c r="F209" s="82">
        <f>IF(OR($A209="",$B209="",NOT(ISNUMBER($C209))),"",IF(ISNUMBER($E209),IF($E209&gt;0,EDATE($C209,$E209),""),IF(ISNUMBER($D209),EDATE($C209,$D209),"")))</f>
        <v/>
      </c>
      <c r="G209" s="83">
        <f>IF($F209="","",$F209-TODAY())</f>
        <v/>
      </c>
      <c r="H209" s="85">
        <f>IF(OR($A209="",$B209=""),"",IF($F209="","No date",IF($G209&lt;0,"Overdue",IF($G209&lt;=30,"Due &lt;=30",IF($G209&lt;=60,"Due 31-60","OK")))))</f>
        <v/>
      </c>
      <c r="I209" s="54"/>
      <c r="J209" s="54"/>
      <c r="K209" s="54"/>
      <c r="L209" s="54"/>
      <c r="M209" s="105">
        <f>IF($F209="","",$F209+ROW()/100000)</f>
        <v/>
      </c>
    </row>
    <row r="210" spans="1:13">
      <c r="A210" s="54"/>
      <c r="B210" s="54"/>
      <c r="C210" s="52"/>
      <c r="D210" s="83">
        <f>IF($B210="","",IFERROR(IF(VLOOKUP($B210,Reference!$A$6:$C$27,3,FALSE)&gt;0,VLOOKUP($B210,Reference!$A$6:$C$27,3,FALSE),""),""))</f>
        <v/>
      </c>
      <c r="E210" s="53"/>
      <c r="F210" s="82">
        <f>IF(OR($A210="",$B210="",NOT(ISNUMBER($C210))),"",IF(ISNUMBER($E210),IF($E210&gt;0,EDATE($C210,$E210),""),IF(ISNUMBER($D210),EDATE($C210,$D210),"")))</f>
        <v/>
      </c>
      <c r="G210" s="83">
        <f>IF($F210="","",$F210-TODAY())</f>
        <v/>
      </c>
      <c r="H210" s="85">
        <f>IF(OR($A210="",$B210=""),"",IF($F210="","No date",IF($G210&lt;0,"Overdue",IF($G210&lt;=30,"Due &lt;=30",IF($G210&lt;=60,"Due 31-60","OK")))))</f>
        <v/>
      </c>
      <c r="I210" s="54"/>
      <c r="J210" s="54"/>
      <c r="K210" s="54"/>
      <c r="L210" s="54"/>
      <c r="M210" s="105">
        <f>IF($F210="","",$F210+ROW()/100000)</f>
        <v/>
      </c>
    </row>
    <row r="211" spans="1:13">
      <c r="A211" s="54"/>
      <c r="B211" s="54"/>
      <c r="C211" s="52"/>
      <c r="D211" s="83">
        <f>IF($B211="","",IFERROR(IF(VLOOKUP($B211,Reference!$A$6:$C$27,3,FALSE)&gt;0,VLOOKUP($B211,Reference!$A$6:$C$27,3,FALSE),""),""))</f>
        <v/>
      </c>
      <c r="E211" s="53"/>
      <c r="F211" s="82">
        <f>IF(OR($A211="",$B211="",NOT(ISNUMBER($C211))),"",IF(ISNUMBER($E211),IF($E211&gt;0,EDATE($C211,$E211),""),IF(ISNUMBER($D211),EDATE($C211,$D211),"")))</f>
        <v/>
      </c>
      <c r="G211" s="83">
        <f>IF($F211="","",$F211-TODAY())</f>
        <v/>
      </c>
      <c r="H211" s="85">
        <f>IF(OR($A211="",$B211=""),"",IF($F211="","No date",IF($G211&lt;0,"Overdue",IF($G211&lt;=30,"Due &lt;=30",IF($G211&lt;=60,"Due 31-60","OK")))))</f>
        <v/>
      </c>
      <c r="I211" s="54"/>
      <c r="J211" s="54"/>
      <c r="K211" s="54"/>
      <c r="L211" s="54"/>
      <c r="M211" s="105">
        <f>IF($F211="","",$F211+ROW()/100000)</f>
        <v/>
      </c>
    </row>
    <row r="212" spans="1:13">
      <c r="A212" s="54"/>
      <c r="B212" s="54"/>
      <c r="C212" s="52"/>
      <c r="D212" s="83">
        <f>IF($B212="","",IFERROR(IF(VLOOKUP($B212,Reference!$A$6:$C$27,3,FALSE)&gt;0,VLOOKUP($B212,Reference!$A$6:$C$27,3,FALSE),""),""))</f>
        <v/>
      </c>
      <c r="E212" s="53"/>
      <c r="F212" s="82">
        <f>IF(OR($A212="",$B212="",NOT(ISNUMBER($C212))),"",IF(ISNUMBER($E212),IF($E212&gt;0,EDATE($C212,$E212),""),IF(ISNUMBER($D212),EDATE($C212,$D212),"")))</f>
        <v/>
      </c>
      <c r="G212" s="83">
        <f>IF($F212="","",$F212-TODAY())</f>
        <v/>
      </c>
      <c r="H212" s="85">
        <f>IF(OR($A212="",$B212=""),"",IF($F212="","No date",IF($G212&lt;0,"Overdue",IF($G212&lt;=30,"Due &lt;=30",IF($G212&lt;=60,"Due 31-60","OK")))))</f>
        <v/>
      </c>
      <c r="I212" s="54"/>
      <c r="J212" s="54"/>
      <c r="K212" s="54"/>
      <c r="L212" s="54"/>
      <c r="M212" s="105">
        <f>IF($F212="","",$F212+ROW()/100000)</f>
        <v/>
      </c>
    </row>
    <row r="213" spans="1:13">
      <c r="A213" s="54"/>
      <c r="B213" s="54"/>
      <c r="C213" s="52"/>
      <c r="D213" s="83">
        <f>IF($B213="","",IFERROR(IF(VLOOKUP($B213,Reference!$A$6:$C$27,3,FALSE)&gt;0,VLOOKUP($B213,Reference!$A$6:$C$27,3,FALSE),""),""))</f>
        <v/>
      </c>
      <c r="E213" s="53"/>
      <c r="F213" s="82">
        <f>IF(OR($A213="",$B213="",NOT(ISNUMBER($C213))),"",IF(ISNUMBER($E213),IF($E213&gt;0,EDATE($C213,$E213),""),IF(ISNUMBER($D213),EDATE($C213,$D213),"")))</f>
        <v/>
      </c>
      <c r="G213" s="83">
        <f>IF($F213="","",$F213-TODAY())</f>
        <v/>
      </c>
      <c r="H213" s="85">
        <f>IF(OR($A213="",$B213=""),"",IF($F213="","No date",IF($G213&lt;0,"Overdue",IF($G213&lt;=30,"Due &lt;=30",IF($G213&lt;=60,"Due 31-60","OK")))))</f>
        <v/>
      </c>
      <c r="I213" s="54"/>
      <c r="J213" s="54"/>
      <c r="K213" s="54"/>
      <c r="L213" s="54"/>
      <c r="M213" s="105">
        <f>IF($F213="","",$F213+ROW()/100000)</f>
        <v/>
      </c>
    </row>
    <row r="214" spans="1:13">
      <c r="A214" s="54"/>
      <c r="B214" s="54"/>
      <c r="C214" s="52"/>
      <c r="D214" s="83">
        <f>IF($B214="","",IFERROR(IF(VLOOKUP($B214,Reference!$A$6:$C$27,3,FALSE)&gt;0,VLOOKUP($B214,Reference!$A$6:$C$27,3,FALSE),""),""))</f>
        <v/>
      </c>
      <c r="E214" s="53"/>
      <c r="F214" s="82">
        <f>IF(OR($A214="",$B214="",NOT(ISNUMBER($C214))),"",IF(ISNUMBER($E214),IF($E214&gt;0,EDATE($C214,$E214),""),IF(ISNUMBER($D214),EDATE($C214,$D214),"")))</f>
        <v/>
      </c>
      <c r="G214" s="83">
        <f>IF($F214="","",$F214-TODAY())</f>
        <v/>
      </c>
      <c r="H214" s="85">
        <f>IF(OR($A214="",$B214=""),"",IF($F214="","No date",IF($G214&lt;0,"Overdue",IF($G214&lt;=30,"Due &lt;=30",IF($G214&lt;=60,"Due 31-60","OK")))))</f>
        <v/>
      </c>
      <c r="I214" s="54"/>
      <c r="J214" s="54"/>
      <c r="K214" s="54"/>
      <c r="L214" s="54"/>
      <c r="M214" s="105">
        <f>IF($F214="","",$F214+ROW()/100000)</f>
        <v/>
      </c>
    </row>
    <row r="215" spans="1:13">
      <c r="A215" s="54"/>
      <c r="B215" s="54"/>
      <c r="C215" s="52"/>
      <c r="D215" s="83">
        <f>IF($B215="","",IFERROR(IF(VLOOKUP($B215,Reference!$A$6:$C$27,3,FALSE)&gt;0,VLOOKUP($B215,Reference!$A$6:$C$27,3,FALSE),""),""))</f>
        <v/>
      </c>
      <c r="E215" s="53"/>
      <c r="F215" s="82">
        <f>IF(OR($A215="",$B215="",NOT(ISNUMBER($C215))),"",IF(ISNUMBER($E215),IF($E215&gt;0,EDATE($C215,$E215),""),IF(ISNUMBER($D215),EDATE($C215,$D215),"")))</f>
        <v/>
      </c>
      <c r="G215" s="83">
        <f>IF($F215="","",$F215-TODAY())</f>
        <v/>
      </c>
      <c r="H215" s="85">
        <f>IF(OR($A215="",$B215=""),"",IF($F215="","No date",IF($G215&lt;0,"Overdue",IF($G215&lt;=30,"Due &lt;=30",IF($G215&lt;=60,"Due 31-60","OK")))))</f>
        <v/>
      </c>
      <c r="I215" s="54"/>
      <c r="J215" s="54"/>
      <c r="K215" s="54"/>
      <c r="L215" s="54"/>
      <c r="M215" s="105">
        <f>IF($F215="","",$F215+ROW()/100000)</f>
        <v/>
      </c>
    </row>
    <row r="216" spans="1:13">
      <c r="A216" s="54"/>
      <c r="B216" s="54"/>
      <c r="C216" s="52"/>
      <c r="D216" s="83">
        <f>IF($B216="","",IFERROR(IF(VLOOKUP($B216,Reference!$A$6:$C$27,3,FALSE)&gt;0,VLOOKUP($B216,Reference!$A$6:$C$27,3,FALSE),""),""))</f>
        <v/>
      </c>
      <c r="E216" s="53"/>
      <c r="F216" s="82">
        <f>IF(OR($A216="",$B216="",NOT(ISNUMBER($C216))),"",IF(ISNUMBER($E216),IF($E216&gt;0,EDATE($C216,$E216),""),IF(ISNUMBER($D216),EDATE($C216,$D216),"")))</f>
        <v/>
      </c>
      <c r="G216" s="83">
        <f>IF($F216="","",$F216-TODAY())</f>
        <v/>
      </c>
      <c r="H216" s="85">
        <f>IF(OR($A216="",$B216=""),"",IF($F216="","No date",IF($G216&lt;0,"Overdue",IF($G216&lt;=30,"Due &lt;=30",IF($G216&lt;=60,"Due 31-60","OK")))))</f>
        <v/>
      </c>
      <c r="I216" s="54"/>
      <c r="J216" s="54"/>
      <c r="K216" s="54"/>
      <c r="L216" s="54"/>
      <c r="M216" s="105">
        <f>IF($F216="","",$F216+ROW()/100000)</f>
        <v/>
      </c>
    </row>
    <row r="217" spans="1:13">
      <c r="A217" s="54"/>
      <c r="B217" s="54"/>
      <c r="C217" s="52"/>
      <c r="D217" s="83">
        <f>IF($B217="","",IFERROR(IF(VLOOKUP($B217,Reference!$A$6:$C$27,3,FALSE)&gt;0,VLOOKUP($B217,Reference!$A$6:$C$27,3,FALSE),""),""))</f>
        <v/>
      </c>
      <c r="E217" s="53"/>
      <c r="F217" s="82">
        <f>IF(OR($A217="",$B217="",NOT(ISNUMBER($C217))),"",IF(ISNUMBER($E217),IF($E217&gt;0,EDATE($C217,$E217),""),IF(ISNUMBER($D217),EDATE($C217,$D217),"")))</f>
        <v/>
      </c>
      <c r="G217" s="83">
        <f>IF($F217="","",$F217-TODAY())</f>
        <v/>
      </c>
      <c r="H217" s="85">
        <f>IF(OR($A217="",$B217=""),"",IF($F217="","No date",IF($G217&lt;0,"Overdue",IF($G217&lt;=30,"Due &lt;=30",IF($G217&lt;=60,"Due 31-60","OK")))))</f>
        <v/>
      </c>
      <c r="I217" s="54"/>
      <c r="J217" s="54"/>
      <c r="K217" s="54"/>
      <c r="L217" s="54"/>
      <c r="M217" s="105">
        <f>IF($F217="","",$F217+ROW()/100000)</f>
        <v/>
      </c>
    </row>
    <row r="218" spans="1:13">
      <c r="A218" s="54"/>
      <c r="B218" s="54"/>
      <c r="C218" s="52"/>
      <c r="D218" s="83">
        <f>IF($B218="","",IFERROR(IF(VLOOKUP($B218,Reference!$A$6:$C$27,3,FALSE)&gt;0,VLOOKUP($B218,Reference!$A$6:$C$27,3,FALSE),""),""))</f>
        <v/>
      </c>
      <c r="E218" s="53"/>
      <c r="F218" s="82">
        <f>IF(OR($A218="",$B218="",NOT(ISNUMBER($C218))),"",IF(ISNUMBER($E218),IF($E218&gt;0,EDATE($C218,$E218),""),IF(ISNUMBER($D218),EDATE($C218,$D218),"")))</f>
        <v/>
      </c>
      <c r="G218" s="83">
        <f>IF($F218="","",$F218-TODAY())</f>
        <v/>
      </c>
      <c r="H218" s="85">
        <f>IF(OR($A218="",$B218=""),"",IF($F218="","No date",IF($G218&lt;0,"Overdue",IF($G218&lt;=30,"Due &lt;=30",IF($G218&lt;=60,"Due 31-60","OK")))))</f>
        <v/>
      </c>
      <c r="I218" s="54"/>
      <c r="J218" s="54"/>
      <c r="K218" s="54"/>
      <c r="L218" s="54"/>
      <c r="M218" s="105">
        <f>IF($F218="","",$F218+ROW()/100000)</f>
        <v/>
      </c>
    </row>
    <row r="219" spans="1:13">
      <c r="A219" s="54"/>
      <c r="B219" s="54"/>
      <c r="C219" s="52"/>
      <c r="D219" s="83">
        <f>IF($B219="","",IFERROR(IF(VLOOKUP($B219,Reference!$A$6:$C$27,3,FALSE)&gt;0,VLOOKUP($B219,Reference!$A$6:$C$27,3,FALSE),""),""))</f>
        <v/>
      </c>
      <c r="E219" s="53"/>
      <c r="F219" s="82">
        <f>IF(OR($A219="",$B219="",NOT(ISNUMBER($C219))),"",IF(ISNUMBER($E219),IF($E219&gt;0,EDATE($C219,$E219),""),IF(ISNUMBER($D219),EDATE($C219,$D219),"")))</f>
        <v/>
      </c>
      <c r="G219" s="83">
        <f>IF($F219="","",$F219-TODAY())</f>
        <v/>
      </c>
      <c r="H219" s="85">
        <f>IF(OR($A219="",$B219=""),"",IF($F219="","No date",IF($G219&lt;0,"Overdue",IF($G219&lt;=30,"Due &lt;=30",IF($G219&lt;=60,"Due 31-60","OK")))))</f>
        <v/>
      </c>
      <c r="I219" s="54"/>
      <c r="J219" s="54"/>
      <c r="K219" s="54"/>
      <c r="L219" s="54"/>
      <c r="M219" s="105">
        <f>IF($F219="","",$F219+ROW()/100000)</f>
        <v/>
      </c>
    </row>
    <row r="220" spans="1:13">
      <c r="A220" s="54"/>
      <c r="B220" s="54"/>
      <c r="C220" s="52"/>
      <c r="D220" s="83">
        <f>IF($B220="","",IFERROR(IF(VLOOKUP($B220,Reference!$A$6:$C$27,3,FALSE)&gt;0,VLOOKUP($B220,Reference!$A$6:$C$27,3,FALSE),""),""))</f>
        <v/>
      </c>
      <c r="E220" s="53"/>
      <c r="F220" s="82">
        <f>IF(OR($A220="",$B220="",NOT(ISNUMBER($C220))),"",IF(ISNUMBER($E220),IF($E220&gt;0,EDATE($C220,$E220),""),IF(ISNUMBER($D220),EDATE($C220,$D220),"")))</f>
        <v/>
      </c>
      <c r="G220" s="83">
        <f>IF($F220="","",$F220-TODAY())</f>
        <v/>
      </c>
      <c r="H220" s="85">
        <f>IF(OR($A220="",$B220=""),"",IF($F220="","No date",IF($G220&lt;0,"Overdue",IF($G220&lt;=30,"Due &lt;=30",IF($G220&lt;=60,"Due 31-60","OK")))))</f>
        <v/>
      </c>
      <c r="I220" s="54"/>
      <c r="J220" s="54"/>
      <c r="K220" s="54"/>
      <c r="L220" s="54"/>
      <c r="M220" s="105">
        <f>IF($F220="","",$F220+ROW()/100000)</f>
        <v/>
      </c>
    </row>
    <row r="221" spans="1:13">
      <c r="A221" s="54"/>
      <c r="B221" s="54"/>
      <c r="C221" s="52"/>
      <c r="D221" s="83">
        <f>IF($B221="","",IFERROR(IF(VLOOKUP($B221,Reference!$A$6:$C$27,3,FALSE)&gt;0,VLOOKUP($B221,Reference!$A$6:$C$27,3,FALSE),""),""))</f>
        <v/>
      </c>
      <c r="E221" s="53"/>
      <c r="F221" s="82">
        <f>IF(OR($A221="",$B221="",NOT(ISNUMBER($C221))),"",IF(ISNUMBER($E221),IF($E221&gt;0,EDATE($C221,$E221),""),IF(ISNUMBER($D221),EDATE($C221,$D221),"")))</f>
        <v/>
      </c>
      <c r="G221" s="83">
        <f>IF($F221="","",$F221-TODAY())</f>
        <v/>
      </c>
      <c r="H221" s="85">
        <f>IF(OR($A221="",$B221=""),"",IF($F221="","No date",IF($G221&lt;0,"Overdue",IF($G221&lt;=30,"Due &lt;=30",IF($G221&lt;=60,"Due 31-60","OK")))))</f>
        <v/>
      </c>
      <c r="I221" s="54"/>
      <c r="J221" s="54"/>
      <c r="K221" s="54"/>
      <c r="L221" s="54"/>
      <c r="M221" s="105">
        <f>IF($F221="","",$F221+ROW()/100000)</f>
        <v/>
      </c>
    </row>
    <row r="222" spans="1:13">
      <c r="A222" s="54"/>
      <c r="B222" s="54"/>
      <c r="C222" s="52"/>
      <c r="D222" s="83">
        <f>IF($B222="","",IFERROR(IF(VLOOKUP($B222,Reference!$A$6:$C$27,3,FALSE)&gt;0,VLOOKUP($B222,Reference!$A$6:$C$27,3,FALSE),""),""))</f>
        <v/>
      </c>
      <c r="E222" s="53"/>
      <c r="F222" s="82">
        <f>IF(OR($A222="",$B222="",NOT(ISNUMBER($C222))),"",IF(ISNUMBER($E222),IF($E222&gt;0,EDATE($C222,$E222),""),IF(ISNUMBER($D222),EDATE($C222,$D222),"")))</f>
        <v/>
      </c>
      <c r="G222" s="83">
        <f>IF($F222="","",$F222-TODAY())</f>
        <v/>
      </c>
      <c r="H222" s="85">
        <f>IF(OR($A222="",$B222=""),"",IF($F222="","No date",IF($G222&lt;0,"Overdue",IF($G222&lt;=30,"Due &lt;=30",IF($G222&lt;=60,"Due 31-60","OK")))))</f>
        <v/>
      </c>
      <c r="I222" s="54"/>
      <c r="J222" s="54"/>
      <c r="K222" s="54"/>
      <c r="L222" s="54"/>
      <c r="M222" s="105">
        <f>IF($F222="","",$F222+ROW()/100000)</f>
        <v/>
      </c>
    </row>
    <row r="223" spans="1:13">
      <c r="A223" s="54"/>
      <c r="B223" s="54"/>
      <c r="C223" s="52"/>
      <c r="D223" s="83">
        <f>IF($B223="","",IFERROR(IF(VLOOKUP($B223,Reference!$A$6:$C$27,3,FALSE)&gt;0,VLOOKUP($B223,Reference!$A$6:$C$27,3,FALSE),""),""))</f>
        <v/>
      </c>
      <c r="E223" s="53"/>
      <c r="F223" s="82">
        <f>IF(OR($A223="",$B223="",NOT(ISNUMBER($C223))),"",IF(ISNUMBER($E223),IF($E223&gt;0,EDATE($C223,$E223),""),IF(ISNUMBER($D223),EDATE($C223,$D223),"")))</f>
        <v/>
      </c>
      <c r="G223" s="83">
        <f>IF($F223="","",$F223-TODAY())</f>
        <v/>
      </c>
      <c r="H223" s="85">
        <f>IF(OR($A223="",$B223=""),"",IF($F223="","No date",IF($G223&lt;0,"Overdue",IF($G223&lt;=30,"Due &lt;=30",IF($G223&lt;=60,"Due 31-60","OK")))))</f>
        <v/>
      </c>
      <c r="I223" s="54"/>
      <c r="J223" s="54"/>
      <c r="K223" s="54"/>
      <c r="L223" s="54"/>
      <c r="M223" s="105">
        <f>IF($F223="","",$F223+ROW()/100000)</f>
        <v/>
      </c>
    </row>
    <row r="224" spans="1:13">
      <c r="A224" s="54"/>
      <c r="B224" s="54"/>
      <c r="C224" s="52"/>
      <c r="D224" s="83">
        <f>IF($B224="","",IFERROR(IF(VLOOKUP($B224,Reference!$A$6:$C$27,3,FALSE)&gt;0,VLOOKUP($B224,Reference!$A$6:$C$27,3,FALSE),""),""))</f>
        <v/>
      </c>
      <c r="E224" s="53"/>
      <c r="F224" s="82">
        <f>IF(OR($A224="",$B224="",NOT(ISNUMBER($C224))),"",IF(ISNUMBER($E224),IF($E224&gt;0,EDATE($C224,$E224),""),IF(ISNUMBER($D224),EDATE($C224,$D224),"")))</f>
        <v/>
      </c>
      <c r="G224" s="83">
        <f>IF($F224="","",$F224-TODAY())</f>
        <v/>
      </c>
      <c r="H224" s="85">
        <f>IF(OR($A224="",$B224=""),"",IF($F224="","No date",IF($G224&lt;0,"Overdue",IF($G224&lt;=30,"Due &lt;=30",IF($G224&lt;=60,"Due 31-60","OK")))))</f>
        <v/>
      </c>
      <c r="I224" s="54"/>
      <c r="J224" s="54"/>
      <c r="K224" s="54"/>
      <c r="L224" s="54"/>
      <c r="M224" s="105">
        <f>IF($F224="","",$F224+ROW()/100000)</f>
        <v/>
      </c>
    </row>
    <row r="225" spans="1:13">
      <c r="A225" s="54"/>
      <c r="B225" s="54"/>
      <c r="C225" s="52"/>
      <c r="D225" s="83">
        <f>IF($B225="","",IFERROR(IF(VLOOKUP($B225,Reference!$A$6:$C$27,3,FALSE)&gt;0,VLOOKUP($B225,Reference!$A$6:$C$27,3,FALSE),""),""))</f>
        <v/>
      </c>
      <c r="E225" s="53"/>
      <c r="F225" s="82">
        <f>IF(OR($A225="",$B225="",NOT(ISNUMBER($C225))),"",IF(ISNUMBER($E225),IF($E225&gt;0,EDATE($C225,$E225),""),IF(ISNUMBER($D225),EDATE($C225,$D225),"")))</f>
        <v/>
      </c>
      <c r="G225" s="83">
        <f>IF($F225="","",$F225-TODAY())</f>
        <v/>
      </c>
      <c r="H225" s="85">
        <f>IF(OR($A225="",$B225=""),"",IF($F225="","No date",IF($G225&lt;0,"Overdue",IF($G225&lt;=30,"Due &lt;=30",IF($G225&lt;=60,"Due 31-60","OK")))))</f>
        <v/>
      </c>
      <c r="I225" s="54"/>
      <c r="J225" s="54"/>
      <c r="K225" s="54"/>
      <c r="L225" s="54"/>
      <c r="M225" s="105">
        <f>IF($F225="","",$F225+ROW()/100000)</f>
        <v/>
      </c>
    </row>
    <row r="226" spans="1:13">
      <c r="A226" s="54"/>
      <c r="B226" s="54"/>
      <c r="C226" s="52"/>
      <c r="D226" s="83">
        <f>IF($B226="","",IFERROR(IF(VLOOKUP($B226,Reference!$A$6:$C$27,3,FALSE)&gt;0,VLOOKUP($B226,Reference!$A$6:$C$27,3,FALSE),""),""))</f>
        <v/>
      </c>
      <c r="E226" s="53"/>
      <c r="F226" s="82">
        <f>IF(OR($A226="",$B226="",NOT(ISNUMBER($C226))),"",IF(ISNUMBER($E226),IF($E226&gt;0,EDATE($C226,$E226),""),IF(ISNUMBER($D226),EDATE($C226,$D226),"")))</f>
        <v/>
      </c>
      <c r="G226" s="83">
        <f>IF($F226="","",$F226-TODAY())</f>
        <v/>
      </c>
      <c r="H226" s="85">
        <f>IF(OR($A226="",$B226=""),"",IF($F226="","No date",IF($G226&lt;0,"Overdue",IF($G226&lt;=30,"Due &lt;=30",IF($G226&lt;=60,"Due 31-60","OK")))))</f>
        <v/>
      </c>
      <c r="I226" s="54"/>
      <c r="J226" s="54"/>
      <c r="K226" s="54"/>
      <c r="L226" s="54"/>
      <c r="M226" s="105">
        <f>IF($F226="","",$F226+ROW()/100000)</f>
        <v/>
      </c>
    </row>
    <row r="227" spans="1:13">
      <c r="A227" s="54"/>
      <c r="B227" s="54"/>
      <c r="C227" s="52"/>
      <c r="D227" s="83">
        <f>IF($B227="","",IFERROR(IF(VLOOKUP($B227,Reference!$A$6:$C$27,3,FALSE)&gt;0,VLOOKUP($B227,Reference!$A$6:$C$27,3,FALSE),""),""))</f>
        <v/>
      </c>
      <c r="E227" s="53"/>
      <c r="F227" s="82">
        <f>IF(OR($A227="",$B227="",NOT(ISNUMBER($C227))),"",IF(ISNUMBER($E227),IF($E227&gt;0,EDATE($C227,$E227),""),IF(ISNUMBER($D227),EDATE($C227,$D227),"")))</f>
        <v/>
      </c>
      <c r="G227" s="83">
        <f>IF($F227="","",$F227-TODAY())</f>
        <v/>
      </c>
      <c r="H227" s="85">
        <f>IF(OR($A227="",$B227=""),"",IF($F227="","No date",IF($G227&lt;0,"Overdue",IF($G227&lt;=30,"Due &lt;=30",IF($G227&lt;=60,"Due 31-60","OK")))))</f>
        <v/>
      </c>
      <c r="I227" s="54"/>
      <c r="J227" s="54"/>
      <c r="K227" s="54"/>
      <c r="L227" s="54"/>
      <c r="M227" s="105">
        <f>IF($F227="","",$F227+ROW()/100000)</f>
        <v/>
      </c>
    </row>
    <row r="228" spans="1:13">
      <c r="A228" s="54"/>
      <c r="B228" s="54"/>
      <c r="C228" s="52"/>
      <c r="D228" s="83">
        <f>IF($B228="","",IFERROR(IF(VLOOKUP($B228,Reference!$A$6:$C$27,3,FALSE)&gt;0,VLOOKUP($B228,Reference!$A$6:$C$27,3,FALSE),""),""))</f>
        <v/>
      </c>
      <c r="E228" s="53"/>
      <c r="F228" s="82">
        <f>IF(OR($A228="",$B228="",NOT(ISNUMBER($C228))),"",IF(ISNUMBER($E228),IF($E228&gt;0,EDATE($C228,$E228),""),IF(ISNUMBER($D228),EDATE($C228,$D228),"")))</f>
        <v/>
      </c>
      <c r="G228" s="83">
        <f>IF($F228="","",$F228-TODAY())</f>
        <v/>
      </c>
      <c r="H228" s="85">
        <f>IF(OR($A228="",$B228=""),"",IF($F228="","No date",IF($G228&lt;0,"Overdue",IF($G228&lt;=30,"Due &lt;=30",IF($G228&lt;=60,"Due 31-60","OK")))))</f>
        <v/>
      </c>
      <c r="I228" s="54"/>
      <c r="J228" s="54"/>
      <c r="K228" s="54"/>
      <c r="L228" s="54"/>
      <c r="M228" s="105">
        <f>IF($F228="","",$F228+ROW()/100000)</f>
        <v/>
      </c>
    </row>
    <row r="229" spans="1:13">
      <c r="A229" s="54"/>
      <c r="B229" s="54"/>
      <c r="C229" s="52"/>
      <c r="D229" s="83">
        <f>IF($B229="","",IFERROR(IF(VLOOKUP($B229,Reference!$A$6:$C$27,3,FALSE)&gt;0,VLOOKUP($B229,Reference!$A$6:$C$27,3,FALSE),""),""))</f>
        <v/>
      </c>
      <c r="E229" s="53"/>
      <c r="F229" s="82">
        <f>IF(OR($A229="",$B229="",NOT(ISNUMBER($C229))),"",IF(ISNUMBER($E229),IF($E229&gt;0,EDATE($C229,$E229),""),IF(ISNUMBER($D229),EDATE($C229,$D229),"")))</f>
        <v/>
      </c>
      <c r="G229" s="83">
        <f>IF($F229="","",$F229-TODAY())</f>
        <v/>
      </c>
      <c r="H229" s="85">
        <f>IF(OR($A229="",$B229=""),"",IF($F229="","No date",IF($G229&lt;0,"Overdue",IF($G229&lt;=30,"Due &lt;=30",IF($G229&lt;=60,"Due 31-60","OK")))))</f>
        <v/>
      </c>
      <c r="I229" s="54"/>
      <c r="J229" s="54"/>
      <c r="K229" s="54"/>
      <c r="L229" s="54"/>
      <c r="M229" s="105">
        <f>IF($F229="","",$F229+ROW()/100000)</f>
        <v/>
      </c>
    </row>
    <row r="230" spans="1:13">
      <c r="A230" s="54"/>
      <c r="B230" s="54"/>
      <c r="C230" s="52"/>
      <c r="D230" s="83">
        <f>IF($B230="","",IFERROR(IF(VLOOKUP($B230,Reference!$A$6:$C$27,3,FALSE)&gt;0,VLOOKUP($B230,Reference!$A$6:$C$27,3,FALSE),""),""))</f>
        <v/>
      </c>
      <c r="E230" s="53"/>
      <c r="F230" s="82">
        <f>IF(OR($A230="",$B230="",NOT(ISNUMBER($C230))),"",IF(ISNUMBER($E230),IF($E230&gt;0,EDATE($C230,$E230),""),IF(ISNUMBER($D230),EDATE($C230,$D230),"")))</f>
        <v/>
      </c>
      <c r="G230" s="83">
        <f>IF($F230="","",$F230-TODAY())</f>
        <v/>
      </c>
      <c r="H230" s="85">
        <f>IF(OR($A230="",$B230=""),"",IF($F230="","No date",IF($G230&lt;0,"Overdue",IF($G230&lt;=30,"Due &lt;=30",IF($G230&lt;=60,"Due 31-60","OK")))))</f>
        <v/>
      </c>
      <c r="I230" s="54"/>
      <c r="J230" s="54"/>
      <c r="K230" s="54"/>
      <c r="L230" s="54"/>
      <c r="M230" s="105">
        <f>IF($F230="","",$F230+ROW()/100000)</f>
        <v/>
      </c>
    </row>
    <row r="231" spans="1:13">
      <c r="A231" s="54"/>
      <c r="B231" s="54"/>
      <c r="C231" s="52"/>
      <c r="D231" s="83">
        <f>IF($B231="","",IFERROR(IF(VLOOKUP($B231,Reference!$A$6:$C$27,3,FALSE)&gt;0,VLOOKUP($B231,Reference!$A$6:$C$27,3,FALSE),""),""))</f>
        <v/>
      </c>
      <c r="E231" s="53"/>
      <c r="F231" s="82">
        <f>IF(OR($A231="",$B231="",NOT(ISNUMBER($C231))),"",IF(ISNUMBER($E231),IF($E231&gt;0,EDATE($C231,$E231),""),IF(ISNUMBER($D231),EDATE($C231,$D231),"")))</f>
        <v/>
      </c>
      <c r="G231" s="83">
        <f>IF($F231="","",$F231-TODAY())</f>
        <v/>
      </c>
      <c r="H231" s="85">
        <f>IF(OR($A231="",$B231=""),"",IF($F231="","No date",IF($G231&lt;0,"Overdue",IF($G231&lt;=30,"Due &lt;=30",IF($G231&lt;=60,"Due 31-60","OK")))))</f>
        <v/>
      </c>
      <c r="I231" s="54"/>
      <c r="J231" s="54"/>
      <c r="K231" s="54"/>
      <c r="L231" s="54"/>
      <c r="M231" s="105">
        <f>IF($F231="","",$F231+ROW()/100000)</f>
        <v/>
      </c>
    </row>
    <row r="232" spans="1:13">
      <c r="A232" s="54"/>
      <c r="B232" s="54"/>
      <c r="C232" s="52"/>
      <c r="D232" s="83">
        <f>IF($B232="","",IFERROR(IF(VLOOKUP($B232,Reference!$A$6:$C$27,3,FALSE)&gt;0,VLOOKUP($B232,Reference!$A$6:$C$27,3,FALSE),""),""))</f>
        <v/>
      </c>
      <c r="E232" s="53"/>
      <c r="F232" s="82">
        <f>IF(OR($A232="",$B232="",NOT(ISNUMBER($C232))),"",IF(ISNUMBER($E232),IF($E232&gt;0,EDATE($C232,$E232),""),IF(ISNUMBER($D232),EDATE($C232,$D232),"")))</f>
        <v/>
      </c>
      <c r="G232" s="83">
        <f>IF($F232="","",$F232-TODAY())</f>
        <v/>
      </c>
      <c r="H232" s="85">
        <f>IF(OR($A232="",$B232=""),"",IF($F232="","No date",IF($G232&lt;0,"Overdue",IF($G232&lt;=30,"Due &lt;=30",IF($G232&lt;=60,"Due 31-60","OK")))))</f>
        <v/>
      </c>
      <c r="I232" s="54"/>
      <c r="J232" s="54"/>
      <c r="K232" s="54"/>
      <c r="L232" s="54"/>
      <c r="M232" s="105">
        <f>IF($F232="","",$F232+ROW()/100000)</f>
        <v/>
      </c>
    </row>
    <row r="233" spans="1:13">
      <c r="A233" s="54"/>
      <c r="B233" s="54"/>
      <c r="C233" s="52"/>
      <c r="D233" s="83">
        <f>IF($B233="","",IFERROR(IF(VLOOKUP($B233,Reference!$A$6:$C$27,3,FALSE)&gt;0,VLOOKUP($B233,Reference!$A$6:$C$27,3,FALSE),""),""))</f>
        <v/>
      </c>
      <c r="E233" s="53"/>
      <c r="F233" s="82">
        <f>IF(OR($A233="",$B233="",NOT(ISNUMBER($C233))),"",IF(ISNUMBER($E233),IF($E233&gt;0,EDATE($C233,$E233),""),IF(ISNUMBER($D233),EDATE($C233,$D233),"")))</f>
        <v/>
      </c>
      <c r="G233" s="83">
        <f>IF($F233="","",$F233-TODAY())</f>
        <v/>
      </c>
      <c r="H233" s="85">
        <f>IF(OR($A233="",$B233=""),"",IF($F233="","No date",IF($G233&lt;0,"Overdue",IF($G233&lt;=30,"Due &lt;=30",IF($G233&lt;=60,"Due 31-60","OK")))))</f>
        <v/>
      </c>
      <c r="I233" s="54"/>
      <c r="J233" s="54"/>
      <c r="K233" s="54"/>
      <c r="L233" s="54"/>
      <c r="M233" s="105">
        <f>IF($F233="","",$F233+ROW()/100000)</f>
        <v/>
      </c>
    </row>
    <row r="234" spans="1:13">
      <c r="A234" s="54"/>
      <c r="B234" s="54"/>
      <c r="C234" s="52"/>
      <c r="D234" s="83">
        <f>IF($B234="","",IFERROR(IF(VLOOKUP($B234,Reference!$A$6:$C$27,3,FALSE)&gt;0,VLOOKUP($B234,Reference!$A$6:$C$27,3,FALSE),""),""))</f>
        <v/>
      </c>
      <c r="E234" s="53"/>
      <c r="F234" s="82">
        <f>IF(OR($A234="",$B234="",NOT(ISNUMBER($C234))),"",IF(ISNUMBER($E234),IF($E234&gt;0,EDATE($C234,$E234),""),IF(ISNUMBER($D234),EDATE($C234,$D234),"")))</f>
        <v/>
      </c>
      <c r="G234" s="83">
        <f>IF($F234="","",$F234-TODAY())</f>
        <v/>
      </c>
      <c r="H234" s="85">
        <f>IF(OR($A234="",$B234=""),"",IF($F234="","No date",IF($G234&lt;0,"Overdue",IF($G234&lt;=30,"Due &lt;=30",IF($G234&lt;=60,"Due 31-60","OK")))))</f>
        <v/>
      </c>
      <c r="I234" s="54"/>
      <c r="J234" s="54"/>
      <c r="K234" s="54"/>
      <c r="L234" s="54"/>
      <c r="M234" s="105">
        <f>IF($F234="","",$F234+ROW()/100000)</f>
        <v/>
      </c>
    </row>
    <row r="235" spans="1:13">
      <c r="A235" s="54"/>
      <c r="B235" s="54"/>
      <c r="C235" s="52"/>
      <c r="D235" s="83">
        <f>IF($B235="","",IFERROR(IF(VLOOKUP($B235,Reference!$A$6:$C$27,3,FALSE)&gt;0,VLOOKUP($B235,Reference!$A$6:$C$27,3,FALSE),""),""))</f>
        <v/>
      </c>
      <c r="E235" s="53"/>
      <c r="F235" s="82">
        <f>IF(OR($A235="",$B235="",NOT(ISNUMBER($C235))),"",IF(ISNUMBER($E235),IF($E235&gt;0,EDATE($C235,$E235),""),IF(ISNUMBER($D235),EDATE($C235,$D235),"")))</f>
        <v/>
      </c>
      <c r="G235" s="83">
        <f>IF($F235="","",$F235-TODAY())</f>
        <v/>
      </c>
      <c r="H235" s="85">
        <f>IF(OR($A235="",$B235=""),"",IF($F235="","No date",IF($G235&lt;0,"Overdue",IF($G235&lt;=30,"Due &lt;=30",IF($G235&lt;=60,"Due 31-60","OK")))))</f>
        <v/>
      </c>
      <c r="I235" s="54"/>
      <c r="J235" s="54"/>
      <c r="K235" s="54"/>
      <c r="L235" s="54"/>
      <c r="M235" s="105">
        <f>IF($F235="","",$F235+ROW()/100000)</f>
        <v/>
      </c>
    </row>
    <row r="236" spans="1:13">
      <c r="A236" s="54"/>
      <c r="B236" s="54"/>
      <c r="C236" s="52"/>
      <c r="D236" s="83">
        <f>IF($B236="","",IFERROR(IF(VLOOKUP($B236,Reference!$A$6:$C$27,3,FALSE)&gt;0,VLOOKUP($B236,Reference!$A$6:$C$27,3,FALSE),""),""))</f>
        <v/>
      </c>
      <c r="E236" s="53"/>
      <c r="F236" s="82">
        <f>IF(OR($A236="",$B236="",NOT(ISNUMBER($C236))),"",IF(ISNUMBER($E236),IF($E236&gt;0,EDATE($C236,$E236),""),IF(ISNUMBER($D236),EDATE($C236,$D236),"")))</f>
        <v/>
      </c>
      <c r="G236" s="83">
        <f>IF($F236="","",$F236-TODAY())</f>
        <v/>
      </c>
      <c r="H236" s="85">
        <f>IF(OR($A236="",$B236=""),"",IF($F236="","No date",IF($G236&lt;0,"Overdue",IF($G236&lt;=30,"Due &lt;=30",IF($G236&lt;=60,"Due 31-60","OK")))))</f>
        <v/>
      </c>
      <c r="I236" s="54"/>
      <c r="J236" s="54"/>
      <c r="K236" s="54"/>
      <c r="L236" s="54"/>
      <c r="M236" s="105">
        <f>IF($F236="","",$F236+ROW()/100000)</f>
        <v/>
      </c>
    </row>
    <row r="237" spans="1:13">
      <c r="A237" s="54"/>
      <c r="B237" s="54"/>
      <c r="C237" s="52"/>
      <c r="D237" s="83">
        <f>IF($B237="","",IFERROR(IF(VLOOKUP($B237,Reference!$A$6:$C$27,3,FALSE)&gt;0,VLOOKUP($B237,Reference!$A$6:$C$27,3,FALSE),""),""))</f>
        <v/>
      </c>
      <c r="E237" s="53"/>
      <c r="F237" s="82">
        <f>IF(OR($A237="",$B237="",NOT(ISNUMBER($C237))),"",IF(ISNUMBER($E237),IF($E237&gt;0,EDATE($C237,$E237),""),IF(ISNUMBER($D237),EDATE($C237,$D237),"")))</f>
        <v/>
      </c>
      <c r="G237" s="83">
        <f>IF($F237="","",$F237-TODAY())</f>
        <v/>
      </c>
      <c r="H237" s="85">
        <f>IF(OR($A237="",$B237=""),"",IF($F237="","No date",IF($G237&lt;0,"Overdue",IF($G237&lt;=30,"Due &lt;=30",IF($G237&lt;=60,"Due 31-60","OK")))))</f>
        <v/>
      </c>
      <c r="I237" s="54"/>
      <c r="J237" s="54"/>
      <c r="K237" s="54"/>
      <c r="L237" s="54"/>
      <c r="M237" s="105">
        <f>IF($F237="","",$F237+ROW()/100000)</f>
        <v/>
      </c>
    </row>
    <row r="238" spans="1:13">
      <c r="A238" s="54"/>
      <c r="B238" s="54"/>
      <c r="C238" s="52"/>
      <c r="D238" s="83">
        <f>IF($B238="","",IFERROR(IF(VLOOKUP($B238,Reference!$A$6:$C$27,3,FALSE)&gt;0,VLOOKUP($B238,Reference!$A$6:$C$27,3,FALSE),""),""))</f>
        <v/>
      </c>
      <c r="E238" s="53"/>
      <c r="F238" s="82">
        <f>IF(OR($A238="",$B238="",NOT(ISNUMBER($C238))),"",IF(ISNUMBER($E238),IF($E238&gt;0,EDATE($C238,$E238),""),IF(ISNUMBER($D238),EDATE($C238,$D238),"")))</f>
        <v/>
      </c>
      <c r="G238" s="83">
        <f>IF($F238="","",$F238-TODAY())</f>
        <v/>
      </c>
      <c r="H238" s="85">
        <f>IF(OR($A238="",$B238=""),"",IF($F238="","No date",IF($G238&lt;0,"Overdue",IF($G238&lt;=30,"Due &lt;=30",IF($G238&lt;=60,"Due 31-60","OK")))))</f>
        <v/>
      </c>
      <c r="I238" s="54"/>
      <c r="J238" s="54"/>
      <c r="K238" s="54"/>
      <c r="L238" s="54"/>
      <c r="M238" s="105">
        <f>IF($F238="","",$F238+ROW()/100000)</f>
        <v/>
      </c>
    </row>
    <row r="239" spans="1:13">
      <c r="A239" s="54"/>
      <c r="B239" s="54"/>
      <c r="C239" s="52"/>
      <c r="D239" s="83">
        <f>IF($B239="","",IFERROR(IF(VLOOKUP($B239,Reference!$A$6:$C$27,3,FALSE)&gt;0,VLOOKUP($B239,Reference!$A$6:$C$27,3,FALSE),""),""))</f>
        <v/>
      </c>
      <c r="E239" s="53"/>
      <c r="F239" s="82">
        <f>IF(OR($A239="",$B239="",NOT(ISNUMBER($C239))),"",IF(ISNUMBER($E239),IF($E239&gt;0,EDATE($C239,$E239),""),IF(ISNUMBER($D239),EDATE($C239,$D239),"")))</f>
        <v/>
      </c>
      <c r="G239" s="83">
        <f>IF($F239="","",$F239-TODAY())</f>
        <v/>
      </c>
      <c r="H239" s="85">
        <f>IF(OR($A239="",$B239=""),"",IF($F239="","No date",IF($G239&lt;0,"Overdue",IF($G239&lt;=30,"Due &lt;=30",IF($G239&lt;=60,"Due 31-60","OK")))))</f>
        <v/>
      </c>
      <c r="I239" s="54"/>
      <c r="J239" s="54"/>
      <c r="K239" s="54"/>
      <c r="L239" s="54"/>
      <c r="M239" s="105">
        <f>IF($F239="","",$F239+ROW()/100000)</f>
        <v/>
      </c>
    </row>
    <row r="240" spans="1:13">
      <c r="A240" s="54"/>
      <c r="B240" s="54"/>
      <c r="C240" s="52"/>
      <c r="D240" s="83">
        <f>IF($B240="","",IFERROR(IF(VLOOKUP($B240,Reference!$A$6:$C$27,3,FALSE)&gt;0,VLOOKUP($B240,Reference!$A$6:$C$27,3,FALSE),""),""))</f>
        <v/>
      </c>
      <c r="E240" s="53"/>
      <c r="F240" s="82">
        <f>IF(OR($A240="",$B240="",NOT(ISNUMBER($C240))),"",IF(ISNUMBER($E240),IF($E240&gt;0,EDATE($C240,$E240),""),IF(ISNUMBER($D240),EDATE($C240,$D240),"")))</f>
        <v/>
      </c>
      <c r="G240" s="83">
        <f>IF($F240="","",$F240-TODAY())</f>
        <v/>
      </c>
      <c r="H240" s="85">
        <f>IF(OR($A240="",$B240=""),"",IF($F240="","No date",IF($G240&lt;0,"Overdue",IF($G240&lt;=30,"Due &lt;=30",IF($G240&lt;=60,"Due 31-60","OK")))))</f>
        <v/>
      </c>
      <c r="I240" s="54"/>
      <c r="J240" s="54"/>
      <c r="K240" s="54"/>
      <c r="L240" s="54"/>
      <c r="M240" s="105">
        <f>IF($F240="","",$F240+ROW()/100000)</f>
        <v/>
      </c>
    </row>
    <row r="241" spans="1:13">
      <c r="A241" s="54"/>
      <c r="B241" s="54"/>
      <c r="C241" s="52"/>
      <c r="D241" s="83">
        <f>IF($B241="","",IFERROR(IF(VLOOKUP($B241,Reference!$A$6:$C$27,3,FALSE)&gt;0,VLOOKUP($B241,Reference!$A$6:$C$27,3,FALSE),""),""))</f>
        <v/>
      </c>
      <c r="E241" s="53"/>
      <c r="F241" s="82">
        <f>IF(OR($A241="",$B241="",NOT(ISNUMBER($C241))),"",IF(ISNUMBER($E241),IF($E241&gt;0,EDATE($C241,$E241),""),IF(ISNUMBER($D241),EDATE($C241,$D241),"")))</f>
        <v/>
      </c>
      <c r="G241" s="83">
        <f>IF($F241="","",$F241-TODAY())</f>
        <v/>
      </c>
      <c r="H241" s="85">
        <f>IF(OR($A241="",$B241=""),"",IF($F241="","No date",IF($G241&lt;0,"Overdue",IF($G241&lt;=30,"Due &lt;=30",IF($G241&lt;=60,"Due 31-60","OK")))))</f>
        <v/>
      </c>
      <c r="I241" s="54"/>
      <c r="J241" s="54"/>
      <c r="K241" s="54"/>
      <c r="L241" s="54"/>
      <c r="M241" s="105">
        <f>IF($F241="","",$F241+ROW()/100000)</f>
        <v/>
      </c>
    </row>
    <row r="242" spans="1:13">
      <c r="A242" s="54"/>
      <c r="B242" s="54"/>
      <c r="C242" s="52"/>
      <c r="D242" s="83">
        <f>IF($B242="","",IFERROR(IF(VLOOKUP($B242,Reference!$A$6:$C$27,3,FALSE)&gt;0,VLOOKUP($B242,Reference!$A$6:$C$27,3,FALSE),""),""))</f>
        <v/>
      </c>
      <c r="E242" s="53"/>
      <c r="F242" s="82">
        <f>IF(OR($A242="",$B242="",NOT(ISNUMBER($C242))),"",IF(ISNUMBER($E242),IF($E242&gt;0,EDATE($C242,$E242),""),IF(ISNUMBER($D242),EDATE($C242,$D242),"")))</f>
        <v/>
      </c>
      <c r="G242" s="83">
        <f>IF($F242="","",$F242-TODAY())</f>
        <v/>
      </c>
      <c r="H242" s="85">
        <f>IF(OR($A242="",$B242=""),"",IF($F242="","No date",IF($G242&lt;0,"Overdue",IF($G242&lt;=30,"Due &lt;=30",IF($G242&lt;=60,"Due 31-60","OK")))))</f>
        <v/>
      </c>
      <c r="I242" s="54"/>
      <c r="J242" s="54"/>
      <c r="K242" s="54"/>
      <c r="L242" s="54"/>
      <c r="M242" s="105">
        <f>IF($F242="","",$F242+ROW()/100000)</f>
        <v/>
      </c>
    </row>
    <row r="243" spans="1:13">
      <c r="A243" s="54"/>
      <c r="B243" s="54"/>
      <c r="C243" s="52"/>
      <c r="D243" s="83">
        <f>IF($B243="","",IFERROR(IF(VLOOKUP($B243,Reference!$A$6:$C$27,3,FALSE)&gt;0,VLOOKUP($B243,Reference!$A$6:$C$27,3,FALSE),""),""))</f>
        <v/>
      </c>
      <c r="E243" s="53"/>
      <c r="F243" s="82">
        <f>IF(OR($A243="",$B243="",NOT(ISNUMBER($C243))),"",IF(ISNUMBER($E243),IF($E243&gt;0,EDATE($C243,$E243),""),IF(ISNUMBER($D243),EDATE($C243,$D243),"")))</f>
        <v/>
      </c>
      <c r="G243" s="83">
        <f>IF($F243="","",$F243-TODAY())</f>
        <v/>
      </c>
      <c r="H243" s="85">
        <f>IF(OR($A243="",$B243=""),"",IF($F243="","No date",IF($G243&lt;0,"Overdue",IF($G243&lt;=30,"Due &lt;=30",IF($G243&lt;=60,"Due 31-60","OK")))))</f>
        <v/>
      </c>
      <c r="I243" s="54"/>
      <c r="J243" s="54"/>
      <c r="K243" s="54"/>
      <c r="L243" s="54"/>
      <c r="M243" s="105">
        <f>IF($F243="","",$F243+ROW()/100000)</f>
        <v/>
      </c>
    </row>
    <row r="244" spans="1:13">
      <c r="A244" s="54"/>
      <c r="B244" s="54"/>
      <c r="C244" s="52"/>
      <c r="D244" s="83">
        <f>IF($B244="","",IFERROR(IF(VLOOKUP($B244,Reference!$A$6:$C$27,3,FALSE)&gt;0,VLOOKUP($B244,Reference!$A$6:$C$27,3,FALSE),""),""))</f>
        <v/>
      </c>
      <c r="E244" s="53"/>
      <c r="F244" s="82">
        <f>IF(OR($A244="",$B244="",NOT(ISNUMBER($C244))),"",IF(ISNUMBER($E244),IF($E244&gt;0,EDATE($C244,$E244),""),IF(ISNUMBER($D244),EDATE($C244,$D244),"")))</f>
        <v/>
      </c>
      <c r="G244" s="83">
        <f>IF($F244="","",$F244-TODAY())</f>
        <v/>
      </c>
      <c r="H244" s="85">
        <f>IF(OR($A244="",$B244=""),"",IF($F244="","No date",IF($G244&lt;0,"Overdue",IF($G244&lt;=30,"Due &lt;=30",IF($G244&lt;=60,"Due 31-60","OK")))))</f>
        <v/>
      </c>
      <c r="I244" s="54"/>
      <c r="J244" s="54"/>
      <c r="K244" s="54"/>
      <c r="L244" s="54"/>
      <c r="M244" s="105">
        <f>IF($F244="","",$F244+ROW()/100000)</f>
        <v/>
      </c>
    </row>
    <row r="245" spans="1:13">
      <c r="A245" s="54"/>
      <c r="B245" s="54"/>
      <c r="C245" s="52"/>
      <c r="D245" s="83">
        <f>IF($B245="","",IFERROR(IF(VLOOKUP($B245,Reference!$A$6:$C$27,3,FALSE)&gt;0,VLOOKUP($B245,Reference!$A$6:$C$27,3,FALSE),""),""))</f>
        <v/>
      </c>
      <c r="E245" s="53"/>
      <c r="F245" s="82">
        <f>IF(OR($A245="",$B245="",NOT(ISNUMBER($C245))),"",IF(ISNUMBER($E245),IF($E245&gt;0,EDATE($C245,$E245),""),IF(ISNUMBER($D245),EDATE($C245,$D245),"")))</f>
        <v/>
      </c>
      <c r="G245" s="83">
        <f>IF($F245="","",$F245-TODAY())</f>
        <v/>
      </c>
      <c r="H245" s="85">
        <f>IF(OR($A245="",$B245=""),"",IF($F245="","No date",IF($G245&lt;0,"Overdue",IF($G245&lt;=30,"Due &lt;=30",IF($G245&lt;=60,"Due 31-60","OK")))))</f>
        <v/>
      </c>
      <c r="I245" s="54"/>
      <c r="J245" s="54"/>
      <c r="K245" s="54"/>
      <c r="L245" s="54"/>
      <c r="M245" s="105">
        <f>IF($F245="","",$F245+ROW()/100000)</f>
        <v/>
      </c>
    </row>
    <row r="246" spans="1:13">
      <c r="A246" s="54"/>
      <c r="B246" s="54"/>
      <c r="C246" s="52"/>
      <c r="D246" s="83">
        <f>IF($B246="","",IFERROR(IF(VLOOKUP($B246,Reference!$A$6:$C$27,3,FALSE)&gt;0,VLOOKUP($B246,Reference!$A$6:$C$27,3,FALSE),""),""))</f>
        <v/>
      </c>
      <c r="E246" s="53"/>
      <c r="F246" s="82">
        <f>IF(OR($A246="",$B246="",NOT(ISNUMBER($C246))),"",IF(ISNUMBER($E246),IF($E246&gt;0,EDATE($C246,$E246),""),IF(ISNUMBER($D246),EDATE($C246,$D246),"")))</f>
        <v/>
      </c>
      <c r="G246" s="83">
        <f>IF($F246="","",$F246-TODAY())</f>
        <v/>
      </c>
      <c r="H246" s="85">
        <f>IF(OR($A246="",$B246=""),"",IF($F246="","No date",IF($G246&lt;0,"Overdue",IF($G246&lt;=30,"Due &lt;=30",IF($G246&lt;=60,"Due 31-60","OK")))))</f>
        <v/>
      </c>
      <c r="I246" s="54"/>
      <c r="J246" s="54"/>
      <c r="K246" s="54"/>
      <c r="L246" s="54"/>
      <c r="M246" s="105">
        <f>IF($F246="","",$F246+ROW()/100000)</f>
        <v/>
      </c>
    </row>
    <row r="247" spans="1:13">
      <c r="A247" s="54"/>
      <c r="B247" s="54"/>
      <c r="C247" s="52"/>
      <c r="D247" s="83">
        <f>IF($B247="","",IFERROR(IF(VLOOKUP($B247,Reference!$A$6:$C$27,3,FALSE)&gt;0,VLOOKUP($B247,Reference!$A$6:$C$27,3,FALSE),""),""))</f>
        <v/>
      </c>
      <c r="E247" s="53"/>
      <c r="F247" s="82">
        <f>IF(OR($A247="",$B247="",NOT(ISNUMBER($C247))),"",IF(ISNUMBER($E247),IF($E247&gt;0,EDATE($C247,$E247),""),IF(ISNUMBER($D247),EDATE($C247,$D247),"")))</f>
        <v/>
      </c>
      <c r="G247" s="83">
        <f>IF($F247="","",$F247-TODAY())</f>
        <v/>
      </c>
      <c r="H247" s="85">
        <f>IF(OR($A247="",$B247=""),"",IF($F247="","No date",IF($G247&lt;0,"Overdue",IF($G247&lt;=30,"Due &lt;=30",IF($G247&lt;=60,"Due 31-60","OK")))))</f>
        <v/>
      </c>
      <c r="I247" s="54"/>
      <c r="J247" s="54"/>
      <c r="K247" s="54"/>
      <c r="L247" s="54"/>
      <c r="M247" s="105">
        <f>IF($F247="","",$F247+ROW()/100000)</f>
        <v/>
      </c>
    </row>
    <row r="248" spans="1:13">
      <c r="A248" s="54"/>
      <c r="B248" s="54"/>
      <c r="C248" s="52"/>
      <c r="D248" s="83">
        <f>IF($B248="","",IFERROR(IF(VLOOKUP($B248,Reference!$A$6:$C$27,3,FALSE)&gt;0,VLOOKUP($B248,Reference!$A$6:$C$27,3,FALSE),""),""))</f>
        <v/>
      </c>
      <c r="E248" s="53"/>
      <c r="F248" s="82">
        <f>IF(OR($A248="",$B248="",NOT(ISNUMBER($C248))),"",IF(ISNUMBER($E248),IF($E248&gt;0,EDATE($C248,$E248),""),IF(ISNUMBER($D248),EDATE($C248,$D248),"")))</f>
        <v/>
      </c>
      <c r="G248" s="83">
        <f>IF($F248="","",$F248-TODAY())</f>
        <v/>
      </c>
      <c r="H248" s="85">
        <f>IF(OR($A248="",$B248=""),"",IF($F248="","No date",IF($G248&lt;0,"Overdue",IF($G248&lt;=30,"Due &lt;=30",IF($G248&lt;=60,"Due 31-60","OK")))))</f>
        <v/>
      </c>
      <c r="I248" s="54"/>
      <c r="J248" s="54"/>
      <c r="K248" s="54"/>
      <c r="L248" s="54"/>
      <c r="M248" s="105">
        <f>IF($F248="","",$F248+ROW()/100000)</f>
        <v/>
      </c>
    </row>
    <row r="249" spans="1:13">
      <c r="A249" s="54"/>
      <c r="B249" s="54"/>
      <c r="C249" s="52"/>
      <c r="D249" s="83">
        <f>IF($B249="","",IFERROR(IF(VLOOKUP($B249,Reference!$A$6:$C$27,3,FALSE)&gt;0,VLOOKUP($B249,Reference!$A$6:$C$27,3,FALSE),""),""))</f>
        <v/>
      </c>
      <c r="E249" s="53"/>
      <c r="F249" s="82">
        <f>IF(OR($A249="",$B249="",NOT(ISNUMBER($C249))),"",IF(ISNUMBER($E249),IF($E249&gt;0,EDATE($C249,$E249),""),IF(ISNUMBER($D249),EDATE($C249,$D249),"")))</f>
        <v/>
      </c>
      <c r="G249" s="83">
        <f>IF($F249="","",$F249-TODAY())</f>
        <v/>
      </c>
      <c r="H249" s="85">
        <f>IF(OR($A249="",$B249=""),"",IF($F249="","No date",IF($G249&lt;0,"Overdue",IF($G249&lt;=30,"Due &lt;=30",IF($G249&lt;=60,"Due 31-60","OK")))))</f>
        <v/>
      </c>
      <c r="I249" s="54"/>
      <c r="J249" s="54"/>
      <c r="K249" s="54"/>
      <c r="L249" s="54"/>
      <c r="M249" s="105">
        <f>IF($F249="","",$F249+ROW()/100000)</f>
        <v/>
      </c>
    </row>
    <row r="250" spans="1:13">
      <c r="A250" s="54"/>
      <c r="B250" s="54"/>
      <c r="C250" s="52"/>
      <c r="D250" s="83">
        <f>IF($B250="","",IFERROR(IF(VLOOKUP($B250,Reference!$A$6:$C$27,3,FALSE)&gt;0,VLOOKUP($B250,Reference!$A$6:$C$27,3,FALSE),""),""))</f>
        <v/>
      </c>
      <c r="E250" s="53"/>
      <c r="F250" s="82">
        <f>IF(OR($A250="",$B250="",NOT(ISNUMBER($C250))),"",IF(ISNUMBER($E250),IF($E250&gt;0,EDATE($C250,$E250),""),IF(ISNUMBER($D250),EDATE($C250,$D250),"")))</f>
        <v/>
      </c>
      <c r="G250" s="83">
        <f>IF($F250="","",$F250-TODAY())</f>
        <v/>
      </c>
      <c r="H250" s="85">
        <f>IF(OR($A250="",$B250=""),"",IF($F250="","No date",IF($G250&lt;0,"Overdue",IF($G250&lt;=30,"Due &lt;=30",IF($G250&lt;=60,"Due 31-60","OK")))))</f>
        <v/>
      </c>
      <c r="I250" s="54"/>
      <c r="J250" s="54"/>
      <c r="K250" s="54"/>
      <c r="L250" s="54"/>
      <c r="M250" s="105">
        <f>IF($F250="","",$F250+ROW()/100000)</f>
        <v/>
      </c>
    </row>
    <row r="251" spans="1:13">
      <c r="A251" s="54"/>
      <c r="B251" s="54"/>
      <c r="C251" s="52"/>
      <c r="D251" s="83">
        <f>IF($B251="","",IFERROR(IF(VLOOKUP($B251,Reference!$A$6:$C$27,3,FALSE)&gt;0,VLOOKUP($B251,Reference!$A$6:$C$27,3,FALSE),""),""))</f>
        <v/>
      </c>
      <c r="E251" s="53"/>
      <c r="F251" s="82">
        <f>IF(OR($A251="",$B251="",NOT(ISNUMBER($C251))),"",IF(ISNUMBER($E251),IF($E251&gt;0,EDATE($C251,$E251),""),IF(ISNUMBER($D251),EDATE($C251,$D251),"")))</f>
        <v/>
      </c>
      <c r="G251" s="83">
        <f>IF($F251="","",$F251-TODAY())</f>
        <v/>
      </c>
      <c r="H251" s="85">
        <f>IF(OR($A251="",$B251=""),"",IF($F251="","No date",IF($G251&lt;0,"Overdue",IF($G251&lt;=30,"Due &lt;=30",IF($G251&lt;=60,"Due 31-60","OK")))))</f>
        <v/>
      </c>
      <c r="I251" s="54"/>
      <c r="J251" s="54"/>
      <c r="K251" s="54"/>
      <c r="L251" s="54"/>
      <c r="M251" s="105">
        <f>IF($F251="","",$F251+ROW()/100000)</f>
        <v/>
      </c>
    </row>
    <row r="252" spans="1:13">
      <c r="A252" s="54"/>
      <c r="B252" s="54"/>
      <c r="C252" s="52"/>
      <c r="D252" s="83">
        <f>IF($B252="","",IFERROR(IF(VLOOKUP($B252,Reference!$A$6:$C$27,3,FALSE)&gt;0,VLOOKUP($B252,Reference!$A$6:$C$27,3,FALSE),""),""))</f>
        <v/>
      </c>
      <c r="E252" s="53"/>
      <c r="F252" s="82">
        <f>IF(OR($A252="",$B252="",NOT(ISNUMBER($C252))),"",IF(ISNUMBER($E252),IF($E252&gt;0,EDATE($C252,$E252),""),IF(ISNUMBER($D252),EDATE($C252,$D252),"")))</f>
        <v/>
      </c>
      <c r="G252" s="83">
        <f>IF($F252="","",$F252-TODAY())</f>
        <v/>
      </c>
      <c r="H252" s="85">
        <f>IF(OR($A252="",$B252=""),"",IF($F252="","No date",IF($G252&lt;0,"Overdue",IF($G252&lt;=30,"Due &lt;=30",IF($G252&lt;=60,"Due 31-60","OK")))))</f>
        <v/>
      </c>
      <c r="I252" s="54"/>
      <c r="J252" s="54"/>
      <c r="K252" s="54"/>
      <c r="L252" s="54"/>
      <c r="M252" s="105">
        <f>IF($F252="","",$F252+ROW()/100000)</f>
        <v/>
      </c>
    </row>
    <row r="253" spans="1:13">
      <c r="A253" s="54"/>
      <c r="B253" s="54"/>
      <c r="C253" s="52"/>
      <c r="D253" s="83">
        <f>IF($B253="","",IFERROR(IF(VLOOKUP($B253,Reference!$A$6:$C$27,3,FALSE)&gt;0,VLOOKUP($B253,Reference!$A$6:$C$27,3,FALSE),""),""))</f>
        <v/>
      </c>
      <c r="E253" s="53"/>
      <c r="F253" s="82">
        <f>IF(OR($A253="",$B253="",NOT(ISNUMBER($C253))),"",IF(ISNUMBER($E253),IF($E253&gt;0,EDATE($C253,$E253),""),IF(ISNUMBER($D253),EDATE($C253,$D253),"")))</f>
        <v/>
      </c>
      <c r="G253" s="83">
        <f>IF($F253="","",$F253-TODAY())</f>
        <v/>
      </c>
      <c r="H253" s="85">
        <f>IF(OR($A253="",$B253=""),"",IF($F253="","No date",IF($G253&lt;0,"Overdue",IF($G253&lt;=30,"Due &lt;=30",IF($G253&lt;=60,"Due 31-60","OK")))))</f>
        <v/>
      </c>
      <c r="I253" s="54"/>
      <c r="J253" s="54"/>
      <c r="K253" s="54"/>
      <c r="L253" s="54"/>
      <c r="M253" s="105">
        <f>IF($F253="","",$F253+ROW()/100000)</f>
        <v/>
      </c>
    </row>
    <row r="254" spans="1:13">
      <c r="A254" s="54"/>
      <c r="B254" s="54"/>
      <c r="C254" s="52"/>
      <c r="D254" s="83">
        <f>IF($B254="","",IFERROR(IF(VLOOKUP($B254,Reference!$A$6:$C$27,3,FALSE)&gt;0,VLOOKUP($B254,Reference!$A$6:$C$27,3,FALSE),""),""))</f>
        <v/>
      </c>
      <c r="E254" s="53"/>
      <c r="F254" s="82">
        <f>IF(OR($A254="",$B254="",NOT(ISNUMBER($C254))),"",IF(ISNUMBER($E254),IF($E254&gt;0,EDATE($C254,$E254),""),IF(ISNUMBER($D254),EDATE($C254,$D254),"")))</f>
        <v/>
      </c>
      <c r="G254" s="83">
        <f>IF($F254="","",$F254-TODAY())</f>
        <v/>
      </c>
      <c r="H254" s="85">
        <f>IF(OR($A254="",$B254=""),"",IF($F254="","No date",IF($G254&lt;0,"Overdue",IF($G254&lt;=30,"Due &lt;=30",IF($G254&lt;=60,"Due 31-60","OK")))))</f>
        <v/>
      </c>
      <c r="I254" s="54"/>
      <c r="J254" s="54"/>
      <c r="K254" s="54"/>
      <c r="L254" s="54"/>
      <c r="M254" s="105">
        <f>IF($F254="","",$F254+ROW()/100000)</f>
        <v/>
      </c>
    </row>
    <row r="255" spans="1:13">
      <c r="A255" s="54"/>
      <c r="B255" s="54"/>
      <c r="C255" s="52"/>
      <c r="D255" s="83">
        <f>IF($B255="","",IFERROR(IF(VLOOKUP($B255,Reference!$A$6:$C$27,3,FALSE)&gt;0,VLOOKUP($B255,Reference!$A$6:$C$27,3,FALSE),""),""))</f>
        <v/>
      </c>
      <c r="E255" s="53"/>
      <c r="F255" s="82">
        <f>IF(OR($A255="",$B255="",NOT(ISNUMBER($C255))),"",IF(ISNUMBER($E255),IF($E255&gt;0,EDATE($C255,$E255),""),IF(ISNUMBER($D255),EDATE($C255,$D255),"")))</f>
        <v/>
      </c>
      <c r="G255" s="83">
        <f>IF($F255="","",$F255-TODAY())</f>
        <v/>
      </c>
      <c r="H255" s="85">
        <f>IF(OR($A255="",$B255=""),"",IF($F255="","No date",IF($G255&lt;0,"Overdue",IF($G255&lt;=30,"Due &lt;=30",IF($G255&lt;=60,"Due 31-60","OK")))))</f>
        <v/>
      </c>
      <c r="I255" s="54"/>
      <c r="J255" s="54"/>
      <c r="K255" s="54"/>
      <c r="L255" s="54"/>
      <c r="M255" s="105">
        <f>IF($F255="","",$F255+ROW()/100000)</f>
        <v/>
      </c>
    </row>
    <row r="256" spans="1:13">
      <c r="A256" s="54"/>
      <c r="B256" s="54"/>
      <c r="C256" s="52"/>
      <c r="D256" s="83">
        <f>IF($B256="","",IFERROR(IF(VLOOKUP($B256,Reference!$A$6:$C$27,3,FALSE)&gt;0,VLOOKUP($B256,Reference!$A$6:$C$27,3,FALSE),""),""))</f>
        <v/>
      </c>
      <c r="E256" s="53"/>
      <c r="F256" s="82">
        <f>IF(OR($A256="",$B256="",NOT(ISNUMBER($C256))),"",IF(ISNUMBER($E256),IF($E256&gt;0,EDATE($C256,$E256),""),IF(ISNUMBER($D256),EDATE($C256,$D256),"")))</f>
        <v/>
      </c>
      <c r="G256" s="83">
        <f>IF($F256="","",$F256-TODAY())</f>
        <v/>
      </c>
      <c r="H256" s="85">
        <f>IF(OR($A256="",$B256=""),"",IF($F256="","No date",IF($G256&lt;0,"Overdue",IF($G256&lt;=30,"Due &lt;=30",IF($G256&lt;=60,"Due 31-60","OK")))))</f>
        <v/>
      </c>
      <c r="I256" s="54"/>
      <c r="J256" s="54"/>
      <c r="K256" s="54"/>
      <c r="L256" s="54"/>
      <c r="M256" s="105">
        <f>IF($F256="","",$F256+ROW()/100000)</f>
        <v/>
      </c>
    </row>
    <row r="257" spans="1:13">
      <c r="A257" s="54"/>
      <c r="B257" s="54"/>
      <c r="C257" s="52"/>
      <c r="D257" s="83">
        <f>IF($B257="","",IFERROR(IF(VLOOKUP($B257,Reference!$A$6:$C$27,3,FALSE)&gt;0,VLOOKUP($B257,Reference!$A$6:$C$27,3,FALSE),""),""))</f>
        <v/>
      </c>
      <c r="E257" s="53"/>
      <c r="F257" s="82">
        <f>IF(OR($A257="",$B257="",NOT(ISNUMBER($C257))),"",IF(ISNUMBER($E257),IF($E257&gt;0,EDATE($C257,$E257),""),IF(ISNUMBER($D257),EDATE($C257,$D257),"")))</f>
        <v/>
      </c>
      <c r="G257" s="83">
        <f>IF($F257="","",$F257-TODAY())</f>
        <v/>
      </c>
      <c r="H257" s="85">
        <f>IF(OR($A257="",$B257=""),"",IF($F257="","No date",IF($G257&lt;0,"Overdue",IF($G257&lt;=30,"Due &lt;=30",IF($G257&lt;=60,"Due 31-60","OK")))))</f>
        <v/>
      </c>
      <c r="I257" s="54"/>
      <c r="J257" s="54"/>
      <c r="K257" s="54"/>
      <c r="L257" s="54"/>
      <c r="M257" s="105">
        <f>IF($F257="","",$F257+ROW()/100000)</f>
        <v/>
      </c>
    </row>
    <row r="258" spans="1:13">
      <c r="A258" s="54"/>
      <c r="B258" s="54"/>
      <c r="C258" s="52"/>
      <c r="D258" s="83">
        <f>IF($B258="","",IFERROR(IF(VLOOKUP($B258,Reference!$A$6:$C$27,3,FALSE)&gt;0,VLOOKUP($B258,Reference!$A$6:$C$27,3,FALSE),""),""))</f>
        <v/>
      </c>
      <c r="E258" s="53"/>
      <c r="F258" s="82">
        <f>IF(OR($A258="",$B258="",NOT(ISNUMBER($C258))),"",IF(ISNUMBER($E258),IF($E258&gt;0,EDATE($C258,$E258),""),IF(ISNUMBER($D258),EDATE($C258,$D258),"")))</f>
        <v/>
      </c>
      <c r="G258" s="83">
        <f>IF($F258="","",$F258-TODAY())</f>
        <v/>
      </c>
      <c r="H258" s="85">
        <f>IF(OR($A258="",$B258=""),"",IF($F258="","No date",IF($G258&lt;0,"Overdue",IF($G258&lt;=30,"Due &lt;=30",IF($G258&lt;=60,"Due 31-60","OK")))))</f>
        <v/>
      </c>
      <c r="I258" s="54"/>
      <c r="J258" s="54"/>
      <c r="K258" s="54"/>
      <c r="L258" s="54"/>
      <c r="M258" s="105">
        <f>IF($F258="","",$F258+ROW()/100000)</f>
        <v/>
      </c>
    </row>
    <row r="259" spans="1:13">
      <c r="A259" s="54"/>
      <c r="B259" s="54"/>
      <c r="C259" s="52"/>
      <c r="D259" s="83">
        <f>IF($B259="","",IFERROR(IF(VLOOKUP($B259,Reference!$A$6:$C$27,3,FALSE)&gt;0,VLOOKUP($B259,Reference!$A$6:$C$27,3,FALSE),""),""))</f>
        <v/>
      </c>
      <c r="E259" s="53"/>
      <c r="F259" s="82">
        <f>IF(OR($A259="",$B259="",NOT(ISNUMBER($C259))),"",IF(ISNUMBER($E259),IF($E259&gt;0,EDATE($C259,$E259),""),IF(ISNUMBER($D259),EDATE($C259,$D259),"")))</f>
        <v/>
      </c>
      <c r="G259" s="83">
        <f>IF($F259="","",$F259-TODAY())</f>
        <v/>
      </c>
      <c r="H259" s="85">
        <f>IF(OR($A259="",$B259=""),"",IF($F259="","No date",IF($G259&lt;0,"Overdue",IF($G259&lt;=30,"Due &lt;=30",IF($G259&lt;=60,"Due 31-60","OK")))))</f>
        <v/>
      </c>
      <c r="I259" s="54"/>
      <c r="J259" s="54"/>
      <c r="K259" s="54"/>
      <c r="L259" s="54"/>
      <c r="M259" s="105">
        <f>IF($F259="","",$F259+ROW()/100000)</f>
        <v/>
      </c>
    </row>
    <row r="260" spans="1:13">
      <c r="A260" s="54"/>
      <c r="B260" s="54"/>
      <c r="C260" s="52"/>
      <c r="D260" s="83">
        <f>IF($B260="","",IFERROR(IF(VLOOKUP($B260,Reference!$A$6:$C$27,3,FALSE)&gt;0,VLOOKUP($B260,Reference!$A$6:$C$27,3,FALSE),""),""))</f>
        <v/>
      </c>
      <c r="E260" s="53"/>
      <c r="F260" s="82">
        <f>IF(OR($A260="",$B260="",NOT(ISNUMBER($C260))),"",IF(ISNUMBER($E260),IF($E260&gt;0,EDATE($C260,$E260),""),IF(ISNUMBER($D260),EDATE($C260,$D260),"")))</f>
        <v/>
      </c>
      <c r="G260" s="83">
        <f>IF($F260="","",$F260-TODAY())</f>
        <v/>
      </c>
      <c r="H260" s="85">
        <f>IF(OR($A260="",$B260=""),"",IF($F260="","No date",IF($G260&lt;0,"Overdue",IF($G260&lt;=30,"Due &lt;=30",IF($G260&lt;=60,"Due 31-60","OK")))))</f>
        <v/>
      </c>
      <c r="I260" s="54"/>
      <c r="J260" s="54"/>
      <c r="K260" s="54"/>
      <c r="L260" s="54"/>
      <c r="M260" s="105">
        <f>IF($F260="","",$F260+ROW()/100000)</f>
        <v/>
      </c>
    </row>
    <row r="261" spans="1:13">
      <c r="A261" s="54"/>
      <c r="B261" s="54"/>
      <c r="C261" s="52"/>
      <c r="D261" s="83">
        <f>IF($B261="","",IFERROR(IF(VLOOKUP($B261,Reference!$A$6:$C$27,3,FALSE)&gt;0,VLOOKUP($B261,Reference!$A$6:$C$27,3,FALSE),""),""))</f>
        <v/>
      </c>
      <c r="E261" s="53"/>
      <c r="F261" s="82">
        <f>IF(OR($A261="",$B261="",NOT(ISNUMBER($C261))),"",IF(ISNUMBER($E261),IF($E261&gt;0,EDATE($C261,$E261),""),IF(ISNUMBER($D261),EDATE($C261,$D261),"")))</f>
        <v/>
      </c>
      <c r="G261" s="83">
        <f>IF($F261="","",$F261-TODAY())</f>
        <v/>
      </c>
      <c r="H261" s="85">
        <f>IF(OR($A261="",$B261=""),"",IF($F261="","No date",IF($G261&lt;0,"Overdue",IF($G261&lt;=30,"Due &lt;=30",IF($G261&lt;=60,"Due 31-60","OK")))))</f>
        <v/>
      </c>
      <c r="I261" s="54"/>
      <c r="J261" s="54"/>
      <c r="K261" s="54"/>
      <c r="L261" s="54"/>
      <c r="M261" s="105">
        <f>IF($F261="","",$F261+ROW()/100000)</f>
        <v/>
      </c>
    </row>
    <row r="262" spans="1:13">
      <c r="A262" s="54"/>
      <c r="B262" s="54"/>
      <c r="C262" s="52"/>
      <c r="D262" s="83">
        <f>IF($B262="","",IFERROR(IF(VLOOKUP($B262,Reference!$A$6:$C$27,3,FALSE)&gt;0,VLOOKUP($B262,Reference!$A$6:$C$27,3,FALSE),""),""))</f>
        <v/>
      </c>
      <c r="E262" s="53"/>
      <c r="F262" s="82">
        <f>IF(OR($A262="",$B262="",NOT(ISNUMBER($C262))),"",IF(ISNUMBER($E262),IF($E262&gt;0,EDATE($C262,$E262),""),IF(ISNUMBER($D262),EDATE($C262,$D262),"")))</f>
        <v/>
      </c>
      <c r="G262" s="83">
        <f>IF($F262="","",$F262-TODAY())</f>
        <v/>
      </c>
      <c r="H262" s="85">
        <f>IF(OR($A262="",$B262=""),"",IF($F262="","No date",IF($G262&lt;0,"Overdue",IF($G262&lt;=30,"Due &lt;=30",IF($G262&lt;=60,"Due 31-60","OK")))))</f>
        <v/>
      </c>
      <c r="I262" s="54"/>
      <c r="J262" s="54"/>
      <c r="K262" s="54"/>
      <c r="L262" s="54"/>
      <c r="M262" s="105">
        <f>IF($F262="","",$F262+ROW()/100000)</f>
        <v/>
      </c>
    </row>
    <row r="263" spans="1:13">
      <c r="A263" s="54"/>
      <c r="B263" s="54"/>
      <c r="C263" s="52"/>
      <c r="D263" s="83">
        <f>IF($B263="","",IFERROR(IF(VLOOKUP($B263,Reference!$A$6:$C$27,3,FALSE)&gt;0,VLOOKUP($B263,Reference!$A$6:$C$27,3,FALSE),""),""))</f>
        <v/>
      </c>
      <c r="E263" s="53"/>
      <c r="F263" s="82">
        <f>IF(OR($A263="",$B263="",NOT(ISNUMBER($C263))),"",IF(ISNUMBER($E263),IF($E263&gt;0,EDATE($C263,$E263),""),IF(ISNUMBER($D263),EDATE($C263,$D263),"")))</f>
        <v/>
      </c>
      <c r="G263" s="83">
        <f>IF($F263="","",$F263-TODAY())</f>
        <v/>
      </c>
      <c r="H263" s="85">
        <f>IF(OR($A263="",$B263=""),"",IF($F263="","No date",IF($G263&lt;0,"Overdue",IF($G263&lt;=30,"Due &lt;=30",IF($G263&lt;=60,"Due 31-60","OK")))))</f>
        <v/>
      </c>
      <c r="I263" s="54"/>
      <c r="J263" s="54"/>
      <c r="K263" s="54"/>
      <c r="L263" s="54"/>
      <c r="M263" s="105">
        <f>IF($F263="","",$F263+ROW()/100000)</f>
        <v/>
      </c>
    </row>
    <row r="264" spans="1:13">
      <c r="A264" s="54"/>
      <c r="B264" s="54"/>
      <c r="C264" s="52"/>
      <c r="D264" s="83">
        <f>IF($B264="","",IFERROR(IF(VLOOKUP($B264,Reference!$A$6:$C$27,3,FALSE)&gt;0,VLOOKUP($B264,Reference!$A$6:$C$27,3,FALSE),""),""))</f>
        <v/>
      </c>
      <c r="E264" s="53"/>
      <c r="F264" s="82">
        <f>IF(OR($A264="",$B264="",NOT(ISNUMBER($C264))),"",IF(ISNUMBER($E264),IF($E264&gt;0,EDATE($C264,$E264),""),IF(ISNUMBER($D264),EDATE($C264,$D264),"")))</f>
        <v/>
      </c>
      <c r="G264" s="83">
        <f>IF($F264="","",$F264-TODAY())</f>
        <v/>
      </c>
      <c r="H264" s="85">
        <f>IF(OR($A264="",$B264=""),"",IF($F264="","No date",IF($G264&lt;0,"Overdue",IF($G264&lt;=30,"Due &lt;=30",IF($G264&lt;=60,"Due 31-60","OK")))))</f>
        <v/>
      </c>
      <c r="I264" s="54"/>
      <c r="J264" s="54"/>
      <c r="K264" s="54"/>
      <c r="L264" s="54"/>
      <c r="M264" s="105">
        <f>IF($F264="","",$F264+ROW()/100000)</f>
        <v/>
      </c>
    </row>
    <row r="265" spans="1:13">
      <c r="A265" s="54"/>
      <c r="B265" s="54"/>
      <c r="C265" s="52"/>
      <c r="D265" s="83">
        <f>IF($B265="","",IFERROR(IF(VLOOKUP($B265,Reference!$A$6:$C$27,3,FALSE)&gt;0,VLOOKUP($B265,Reference!$A$6:$C$27,3,FALSE),""),""))</f>
        <v/>
      </c>
      <c r="E265" s="53"/>
      <c r="F265" s="82">
        <f>IF(OR($A265="",$B265="",NOT(ISNUMBER($C265))),"",IF(ISNUMBER($E265),IF($E265&gt;0,EDATE($C265,$E265),""),IF(ISNUMBER($D265),EDATE($C265,$D265),"")))</f>
        <v/>
      </c>
      <c r="G265" s="83">
        <f>IF($F265="","",$F265-TODAY())</f>
        <v/>
      </c>
      <c r="H265" s="85">
        <f>IF(OR($A265="",$B265=""),"",IF($F265="","No date",IF($G265&lt;0,"Overdue",IF($G265&lt;=30,"Due &lt;=30",IF($G265&lt;=60,"Due 31-60","OK")))))</f>
        <v/>
      </c>
      <c r="I265" s="54"/>
      <c r="J265" s="54"/>
      <c r="K265" s="54"/>
      <c r="L265" s="54"/>
      <c r="M265" s="105">
        <f>IF($F265="","",$F265+ROW()/100000)</f>
        <v/>
      </c>
    </row>
    <row r="266" spans="1:13">
      <c r="A266" s="54"/>
      <c r="B266" s="54"/>
      <c r="C266" s="52"/>
      <c r="D266" s="83">
        <f>IF($B266="","",IFERROR(IF(VLOOKUP($B266,Reference!$A$6:$C$27,3,FALSE)&gt;0,VLOOKUP($B266,Reference!$A$6:$C$27,3,FALSE),""),""))</f>
        <v/>
      </c>
      <c r="E266" s="53"/>
      <c r="F266" s="82">
        <f>IF(OR($A266="",$B266="",NOT(ISNUMBER($C266))),"",IF(ISNUMBER($E266),IF($E266&gt;0,EDATE($C266,$E266),""),IF(ISNUMBER($D266),EDATE($C266,$D266),"")))</f>
        <v/>
      </c>
      <c r="G266" s="83">
        <f>IF($F266="","",$F266-TODAY())</f>
        <v/>
      </c>
      <c r="H266" s="85">
        <f>IF(OR($A266="",$B266=""),"",IF($F266="","No date",IF($G266&lt;0,"Overdue",IF($G266&lt;=30,"Due &lt;=30",IF($G266&lt;=60,"Due 31-60","OK")))))</f>
        <v/>
      </c>
      <c r="I266" s="54"/>
      <c r="J266" s="54"/>
      <c r="K266" s="54"/>
      <c r="L266" s="54"/>
      <c r="M266" s="105">
        <f>IF($F266="","",$F266+ROW()/100000)</f>
        <v/>
      </c>
    </row>
    <row r="267" spans="1:13">
      <c r="A267" s="54"/>
      <c r="B267" s="54"/>
      <c r="C267" s="52"/>
      <c r="D267" s="83">
        <f>IF($B267="","",IFERROR(IF(VLOOKUP($B267,Reference!$A$6:$C$27,3,FALSE)&gt;0,VLOOKUP($B267,Reference!$A$6:$C$27,3,FALSE),""),""))</f>
        <v/>
      </c>
      <c r="E267" s="53"/>
      <c r="F267" s="82">
        <f>IF(OR($A267="",$B267="",NOT(ISNUMBER($C267))),"",IF(ISNUMBER($E267),IF($E267&gt;0,EDATE($C267,$E267),""),IF(ISNUMBER($D267),EDATE($C267,$D267),"")))</f>
        <v/>
      </c>
      <c r="G267" s="83">
        <f>IF($F267="","",$F267-TODAY())</f>
        <v/>
      </c>
      <c r="H267" s="85">
        <f>IF(OR($A267="",$B267=""),"",IF($F267="","No date",IF($G267&lt;0,"Overdue",IF($G267&lt;=30,"Due &lt;=30",IF($G267&lt;=60,"Due 31-60","OK")))))</f>
        <v/>
      </c>
      <c r="I267" s="54"/>
      <c r="J267" s="54"/>
      <c r="K267" s="54"/>
      <c r="L267" s="54"/>
      <c r="M267" s="105">
        <f>IF($F267="","",$F267+ROW()/100000)</f>
        <v/>
      </c>
    </row>
    <row r="268" spans="1:13">
      <c r="A268" s="54"/>
      <c r="B268" s="54"/>
      <c r="C268" s="52"/>
      <c r="D268" s="83">
        <f>IF($B268="","",IFERROR(IF(VLOOKUP($B268,Reference!$A$6:$C$27,3,FALSE)&gt;0,VLOOKUP($B268,Reference!$A$6:$C$27,3,FALSE),""),""))</f>
        <v/>
      </c>
      <c r="E268" s="53"/>
      <c r="F268" s="82">
        <f>IF(OR($A268="",$B268="",NOT(ISNUMBER($C268))),"",IF(ISNUMBER($E268),IF($E268&gt;0,EDATE($C268,$E268),""),IF(ISNUMBER($D268),EDATE($C268,$D268),"")))</f>
        <v/>
      </c>
      <c r="G268" s="83">
        <f>IF($F268="","",$F268-TODAY())</f>
        <v/>
      </c>
      <c r="H268" s="85">
        <f>IF(OR($A268="",$B268=""),"",IF($F268="","No date",IF($G268&lt;0,"Overdue",IF($G268&lt;=30,"Due &lt;=30",IF($G268&lt;=60,"Due 31-60","OK")))))</f>
        <v/>
      </c>
      <c r="I268" s="54"/>
      <c r="J268" s="54"/>
      <c r="K268" s="54"/>
      <c r="L268" s="54"/>
      <c r="M268" s="105">
        <f>IF($F268="","",$F268+ROW()/100000)</f>
        <v/>
      </c>
    </row>
    <row r="269" spans="1:13">
      <c r="A269" s="54"/>
      <c r="B269" s="54"/>
      <c r="C269" s="52"/>
      <c r="D269" s="83">
        <f>IF($B269="","",IFERROR(IF(VLOOKUP($B269,Reference!$A$6:$C$27,3,FALSE)&gt;0,VLOOKUP($B269,Reference!$A$6:$C$27,3,FALSE),""),""))</f>
        <v/>
      </c>
      <c r="E269" s="53"/>
      <c r="F269" s="82">
        <f>IF(OR($A269="",$B269="",NOT(ISNUMBER($C269))),"",IF(ISNUMBER($E269),IF($E269&gt;0,EDATE($C269,$E269),""),IF(ISNUMBER($D269),EDATE($C269,$D269),"")))</f>
        <v/>
      </c>
      <c r="G269" s="83">
        <f>IF($F269="","",$F269-TODAY())</f>
        <v/>
      </c>
      <c r="H269" s="85">
        <f>IF(OR($A269="",$B269=""),"",IF($F269="","No date",IF($G269&lt;0,"Overdue",IF($G269&lt;=30,"Due &lt;=30",IF($G269&lt;=60,"Due 31-60","OK")))))</f>
        <v/>
      </c>
      <c r="I269" s="54"/>
      <c r="J269" s="54"/>
      <c r="K269" s="54"/>
      <c r="L269" s="54"/>
      <c r="M269" s="105">
        <f>IF($F269="","",$F269+ROW()/100000)</f>
        <v/>
      </c>
    </row>
    <row r="270" spans="1:13">
      <c r="A270" s="54"/>
      <c r="B270" s="54"/>
      <c r="C270" s="52"/>
      <c r="D270" s="83">
        <f>IF($B270="","",IFERROR(IF(VLOOKUP($B270,Reference!$A$6:$C$27,3,FALSE)&gt;0,VLOOKUP($B270,Reference!$A$6:$C$27,3,FALSE),""),""))</f>
        <v/>
      </c>
      <c r="E270" s="53"/>
      <c r="F270" s="82">
        <f>IF(OR($A270="",$B270="",NOT(ISNUMBER($C270))),"",IF(ISNUMBER($E270),IF($E270&gt;0,EDATE($C270,$E270),""),IF(ISNUMBER($D270),EDATE($C270,$D270),"")))</f>
        <v/>
      </c>
      <c r="G270" s="83">
        <f>IF($F270="","",$F270-TODAY())</f>
        <v/>
      </c>
      <c r="H270" s="85">
        <f>IF(OR($A270="",$B270=""),"",IF($F270="","No date",IF($G270&lt;0,"Overdue",IF($G270&lt;=30,"Due &lt;=30",IF($G270&lt;=60,"Due 31-60","OK")))))</f>
        <v/>
      </c>
      <c r="I270" s="54"/>
      <c r="J270" s="54"/>
      <c r="K270" s="54"/>
      <c r="L270" s="54"/>
      <c r="M270" s="105">
        <f>IF($F270="","",$F270+ROW()/100000)</f>
        <v/>
      </c>
    </row>
    <row r="271" spans="1:13">
      <c r="A271" s="54"/>
      <c r="B271" s="54"/>
      <c r="C271" s="52"/>
      <c r="D271" s="83">
        <f>IF($B271="","",IFERROR(IF(VLOOKUP($B271,Reference!$A$6:$C$27,3,FALSE)&gt;0,VLOOKUP($B271,Reference!$A$6:$C$27,3,FALSE),""),""))</f>
        <v/>
      </c>
      <c r="E271" s="53"/>
      <c r="F271" s="82">
        <f>IF(OR($A271="",$B271="",NOT(ISNUMBER($C271))),"",IF(ISNUMBER($E271),IF($E271&gt;0,EDATE($C271,$E271),""),IF(ISNUMBER($D271),EDATE($C271,$D271),"")))</f>
        <v/>
      </c>
      <c r="G271" s="83">
        <f>IF($F271="","",$F271-TODAY())</f>
        <v/>
      </c>
      <c r="H271" s="85">
        <f>IF(OR($A271="",$B271=""),"",IF($F271="","No date",IF($G271&lt;0,"Overdue",IF($G271&lt;=30,"Due &lt;=30",IF($G271&lt;=60,"Due 31-60","OK")))))</f>
        <v/>
      </c>
      <c r="I271" s="54"/>
      <c r="J271" s="54"/>
      <c r="K271" s="54"/>
      <c r="L271" s="54"/>
      <c r="M271" s="105">
        <f>IF($F271="","",$F271+ROW()/100000)</f>
        <v/>
      </c>
    </row>
    <row r="272" spans="1:13">
      <c r="A272" s="54"/>
      <c r="B272" s="54"/>
      <c r="C272" s="52"/>
      <c r="D272" s="83">
        <f>IF($B272="","",IFERROR(IF(VLOOKUP($B272,Reference!$A$6:$C$27,3,FALSE)&gt;0,VLOOKUP($B272,Reference!$A$6:$C$27,3,FALSE),""),""))</f>
        <v/>
      </c>
      <c r="E272" s="53"/>
      <c r="F272" s="82">
        <f>IF(OR($A272="",$B272="",NOT(ISNUMBER($C272))),"",IF(ISNUMBER($E272),IF($E272&gt;0,EDATE($C272,$E272),""),IF(ISNUMBER($D272),EDATE($C272,$D272),"")))</f>
        <v/>
      </c>
      <c r="G272" s="83">
        <f>IF($F272="","",$F272-TODAY())</f>
        <v/>
      </c>
      <c r="H272" s="85">
        <f>IF(OR($A272="",$B272=""),"",IF($F272="","No date",IF($G272&lt;0,"Overdue",IF($G272&lt;=30,"Due &lt;=30",IF($G272&lt;=60,"Due 31-60","OK")))))</f>
        <v/>
      </c>
      <c r="I272" s="54"/>
      <c r="J272" s="54"/>
      <c r="K272" s="54"/>
      <c r="L272" s="54"/>
      <c r="M272" s="105">
        <f>IF($F272="","",$F272+ROW()/100000)</f>
        <v/>
      </c>
    </row>
    <row r="273" spans="1:13">
      <c r="A273" s="54"/>
      <c r="B273" s="54"/>
      <c r="C273" s="52"/>
      <c r="D273" s="83">
        <f>IF($B273="","",IFERROR(IF(VLOOKUP($B273,Reference!$A$6:$C$27,3,FALSE)&gt;0,VLOOKUP($B273,Reference!$A$6:$C$27,3,FALSE),""),""))</f>
        <v/>
      </c>
      <c r="E273" s="53"/>
      <c r="F273" s="82">
        <f>IF(OR($A273="",$B273="",NOT(ISNUMBER($C273))),"",IF(ISNUMBER($E273),IF($E273&gt;0,EDATE($C273,$E273),""),IF(ISNUMBER($D273),EDATE($C273,$D273),"")))</f>
        <v/>
      </c>
      <c r="G273" s="83">
        <f>IF($F273="","",$F273-TODAY())</f>
        <v/>
      </c>
      <c r="H273" s="85">
        <f>IF(OR($A273="",$B273=""),"",IF($F273="","No date",IF($G273&lt;0,"Overdue",IF($G273&lt;=30,"Due &lt;=30",IF($G273&lt;=60,"Due 31-60","OK")))))</f>
        <v/>
      </c>
      <c r="I273" s="54"/>
      <c r="J273" s="54"/>
      <c r="K273" s="54"/>
      <c r="L273" s="54"/>
      <c r="M273" s="105">
        <f>IF($F273="","",$F273+ROW()/100000)</f>
        <v/>
      </c>
    </row>
    <row r="274" spans="1:13">
      <c r="A274" s="54"/>
      <c r="B274" s="54"/>
      <c r="C274" s="52"/>
      <c r="D274" s="83">
        <f>IF($B274="","",IFERROR(IF(VLOOKUP($B274,Reference!$A$6:$C$27,3,FALSE)&gt;0,VLOOKUP($B274,Reference!$A$6:$C$27,3,FALSE),""),""))</f>
        <v/>
      </c>
      <c r="E274" s="53"/>
      <c r="F274" s="82">
        <f>IF(OR($A274="",$B274="",NOT(ISNUMBER($C274))),"",IF(ISNUMBER($E274),IF($E274&gt;0,EDATE($C274,$E274),""),IF(ISNUMBER($D274),EDATE($C274,$D274),"")))</f>
        <v/>
      </c>
      <c r="G274" s="83">
        <f>IF($F274="","",$F274-TODAY())</f>
        <v/>
      </c>
      <c r="H274" s="85">
        <f>IF(OR($A274="",$B274=""),"",IF($F274="","No date",IF($G274&lt;0,"Overdue",IF($G274&lt;=30,"Due &lt;=30",IF($G274&lt;=60,"Due 31-60","OK")))))</f>
        <v/>
      </c>
      <c r="I274" s="54"/>
      <c r="J274" s="54"/>
      <c r="K274" s="54"/>
      <c r="L274" s="54"/>
      <c r="M274" s="105">
        <f>IF($F274="","",$F274+ROW()/100000)</f>
        <v/>
      </c>
    </row>
    <row r="275" spans="1:13">
      <c r="A275" s="54"/>
      <c r="B275" s="54"/>
      <c r="C275" s="52"/>
      <c r="D275" s="83">
        <f>IF($B275="","",IFERROR(IF(VLOOKUP($B275,Reference!$A$6:$C$27,3,FALSE)&gt;0,VLOOKUP($B275,Reference!$A$6:$C$27,3,FALSE),""),""))</f>
        <v/>
      </c>
      <c r="E275" s="53"/>
      <c r="F275" s="82">
        <f>IF(OR($A275="",$B275="",NOT(ISNUMBER($C275))),"",IF(ISNUMBER($E275),IF($E275&gt;0,EDATE($C275,$E275),""),IF(ISNUMBER($D275),EDATE($C275,$D275),"")))</f>
        <v/>
      </c>
      <c r="G275" s="83">
        <f>IF($F275="","",$F275-TODAY())</f>
        <v/>
      </c>
      <c r="H275" s="85">
        <f>IF(OR($A275="",$B275=""),"",IF($F275="","No date",IF($G275&lt;0,"Overdue",IF($G275&lt;=30,"Due &lt;=30",IF($G275&lt;=60,"Due 31-60","OK")))))</f>
        <v/>
      </c>
      <c r="I275" s="54"/>
      <c r="J275" s="54"/>
      <c r="K275" s="54"/>
      <c r="L275" s="54"/>
      <c r="M275" s="105">
        <f>IF($F275="","",$F275+ROW()/100000)</f>
        <v/>
      </c>
    </row>
    <row r="276" spans="1:13">
      <c r="A276" s="54"/>
      <c r="B276" s="54"/>
      <c r="C276" s="52"/>
      <c r="D276" s="83">
        <f>IF($B276="","",IFERROR(IF(VLOOKUP($B276,Reference!$A$6:$C$27,3,FALSE)&gt;0,VLOOKUP($B276,Reference!$A$6:$C$27,3,FALSE),""),""))</f>
        <v/>
      </c>
      <c r="E276" s="53"/>
      <c r="F276" s="82">
        <f>IF(OR($A276="",$B276="",NOT(ISNUMBER($C276))),"",IF(ISNUMBER($E276),IF($E276&gt;0,EDATE($C276,$E276),""),IF(ISNUMBER($D276),EDATE($C276,$D276),"")))</f>
        <v/>
      </c>
      <c r="G276" s="83">
        <f>IF($F276="","",$F276-TODAY())</f>
        <v/>
      </c>
      <c r="H276" s="85">
        <f>IF(OR($A276="",$B276=""),"",IF($F276="","No date",IF($G276&lt;0,"Overdue",IF($G276&lt;=30,"Due &lt;=30",IF($G276&lt;=60,"Due 31-60","OK")))))</f>
        <v/>
      </c>
      <c r="I276" s="54"/>
      <c r="J276" s="54"/>
      <c r="K276" s="54"/>
      <c r="L276" s="54"/>
      <c r="M276" s="105">
        <f>IF($F276="","",$F276+ROW()/100000)</f>
        <v/>
      </c>
    </row>
    <row r="277" spans="1:13">
      <c r="A277" s="54"/>
      <c r="B277" s="54"/>
      <c r="C277" s="52"/>
      <c r="D277" s="83">
        <f>IF($B277="","",IFERROR(IF(VLOOKUP($B277,Reference!$A$6:$C$27,3,FALSE)&gt;0,VLOOKUP($B277,Reference!$A$6:$C$27,3,FALSE),""),""))</f>
        <v/>
      </c>
      <c r="E277" s="53"/>
      <c r="F277" s="82">
        <f>IF(OR($A277="",$B277="",NOT(ISNUMBER($C277))),"",IF(ISNUMBER($E277),IF($E277&gt;0,EDATE($C277,$E277),""),IF(ISNUMBER($D277),EDATE($C277,$D277),"")))</f>
        <v/>
      </c>
      <c r="G277" s="83">
        <f>IF($F277="","",$F277-TODAY())</f>
        <v/>
      </c>
      <c r="H277" s="85">
        <f>IF(OR($A277="",$B277=""),"",IF($F277="","No date",IF($G277&lt;0,"Overdue",IF($G277&lt;=30,"Due &lt;=30",IF($G277&lt;=60,"Due 31-60","OK")))))</f>
        <v/>
      </c>
      <c r="I277" s="54"/>
      <c r="J277" s="54"/>
      <c r="K277" s="54"/>
      <c r="L277" s="54"/>
      <c r="M277" s="105">
        <f>IF($F277="","",$F277+ROW()/100000)</f>
        <v/>
      </c>
    </row>
    <row r="278" spans="1:13">
      <c r="A278" s="54"/>
      <c r="B278" s="54"/>
      <c r="C278" s="52"/>
      <c r="D278" s="83">
        <f>IF($B278="","",IFERROR(IF(VLOOKUP($B278,Reference!$A$6:$C$27,3,FALSE)&gt;0,VLOOKUP($B278,Reference!$A$6:$C$27,3,FALSE),""),""))</f>
        <v/>
      </c>
      <c r="E278" s="53"/>
      <c r="F278" s="82">
        <f>IF(OR($A278="",$B278="",NOT(ISNUMBER($C278))),"",IF(ISNUMBER($E278),IF($E278&gt;0,EDATE($C278,$E278),""),IF(ISNUMBER($D278),EDATE($C278,$D278),"")))</f>
        <v/>
      </c>
      <c r="G278" s="83">
        <f>IF($F278="","",$F278-TODAY())</f>
        <v/>
      </c>
      <c r="H278" s="85">
        <f>IF(OR($A278="",$B278=""),"",IF($F278="","No date",IF($G278&lt;0,"Overdue",IF($G278&lt;=30,"Due &lt;=30",IF($G278&lt;=60,"Due 31-60","OK")))))</f>
        <v/>
      </c>
      <c r="I278" s="54"/>
      <c r="J278" s="54"/>
      <c r="K278" s="54"/>
      <c r="L278" s="54"/>
      <c r="M278" s="105">
        <f>IF($F278="","",$F278+ROW()/100000)</f>
        <v/>
      </c>
    </row>
    <row r="279" spans="1:13">
      <c r="A279" s="54"/>
      <c r="B279" s="54"/>
      <c r="C279" s="52"/>
      <c r="D279" s="83">
        <f>IF($B279="","",IFERROR(IF(VLOOKUP($B279,Reference!$A$6:$C$27,3,FALSE)&gt;0,VLOOKUP($B279,Reference!$A$6:$C$27,3,FALSE),""),""))</f>
        <v/>
      </c>
      <c r="E279" s="53"/>
      <c r="F279" s="82">
        <f>IF(OR($A279="",$B279="",NOT(ISNUMBER($C279))),"",IF(ISNUMBER($E279),IF($E279&gt;0,EDATE($C279,$E279),""),IF(ISNUMBER($D279),EDATE($C279,$D279),"")))</f>
        <v/>
      </c>
      <c r="G279" s="83">
        <f>IF($F279="","",$F279-TODAY())</f>
        <v/>
      </c>
      <c r="H279" s="85">
        <f>IF(OR($A279="",$B279=""),"",IF($F279="","No date",IF($G279&lt;0,"Overdue",IF($G279&lt;=30,"Due &lt;=30",IF($G279&lt;=60,"Due 31-60","OK")))))</f>
        <v/>
      </c>
      <c r="I279" s="54"/>
      <c r="J279" s="54"/>
      <c r="K279" s="54"/>
      <c r="L279" s="54"/>
      <c r="M279" s="105">
        <f>IF($F279="","",$F279+ROW()/100000)</f>
        <v/>
      </c>
    </row>
    <row r="280" spans="1:13">
      <c r="A280" s="54"/>
      <c r="B280" s="54"/>
      <c r="C280" s="52"/>
      <c r="D280" s="83">
        <f>IF($B280="","",IFERROR(IF(VLOOKUP($B280,Reference!$A$6:$C$27,3,FALSE)&gt;0,VLOOKUP($B280,Reference!$A$6:$C$27,3,FALSE),""),""))</f>
        <v/>
      </c>
      <c r="E280" s="53"/>
      <c r="F280" s="82">
        <f>IF(OR($A280="",$B280="",NOT(ISNUMBER($C280))),"",IF(ISNUMBER($E280),IF($E280&gt;0,EDATE($C280,$E280),""),IF(ISNUMBER($D280),EDATE($C280,$D280),"")))</f>
        <v/>
      </c>
      <c r="G280" s="83">
        <f>IF($F280="","",$F280-TODAY())</f>
        <v/>
      </c>
      <c r="H280" s="85">
        <f>IF(OR($A280="",$B280=""),"",IF($F280="","No date",IF($G280&lt;0,"Overdue",IF($G280&lt;=30,"Due &lt;=30",IF($G280&lt;=60,"Due 31-60","OK")))))</f>
        <v/>
      </c>
      <c r="I280" s="54"/>
      <c r="J280" s="54"/>
      <c r="K280" s="54"/>
      <c r="L280" s="54"/>
      <c r="M280" s="105">
        <f>IF($F280="","",$F280+ROW()/100000)</f>
        <v/>
      </c>
    </row>
    <row r="281" spans="1:13">
      <c r="A281" s="54"/>
      <c r="B281" s="54"/>
      <c r="C281" s="52"/>
      <c r="D281" s="83">
        <f>IF($B281="","",IFERROR(IF(VLOOKUP($B281,Reference!$A$6:$C$27,3,FALSE)&gt;0,VLOOKUP($B281,Reference!$A$6:$C$27,3,FALSE),""),""))</f>
        <v/>
      </c>
      <c r="E281" s="53"/>
      <c r="F281" s="82">
        <f>IF(OR($A281="",$B281="",NOT(ISNUMBER($C281))),"",IF(ISNUMBER($E281),IF($E281&gt;0,EDATE($C281,$E281),""),IF(ISNUMBER($D281),EDATE($C281,$D281),"")))</f>
        <v/>
      </c>
      <c r="G281" s="83">
        <f>IF($F281="","",$F281-TODAY())</f>
        <v/>
      </c>
      <c r="H281" s="85">
        <f>IF(OR($A281="",$B281=""),"",IF($F281="","No date",IF($G281&lt;0,"Overdue",IF($G281&lt;=30,"Due &lt;=30",IF($G281&lt;=60,"Due 31-60","OK")))))</f>
        <v/>
      </c>
      <c r="I281" s="54"/>
      <c r="J281" s="54"/>
      <c r="K281" s="54"/>
      <c r="L281" s="54"/>
      <c r="M281" s="105">
        <f>IF($F281="","",$F281+ROW()/100000)</f>
        <v/>
      </c>
    </row>
    <row r="282" spans="1:13">
      <c r="A282" s="54"/>
      <c r="B282" s="54"/>
      <c r="C282" s="52"/>
      <c r="D282" s="83">
        <f>IF($B282="","",IFERROR(IF(VLOOKUP($B282,Reference!$A$6:$C$27,3,FALSE)&gt;0,VLOOKUP($B282,Reference!$A$6:$C$27,3,FALSE),""),""))</f>
        <v/>
      </c>
      <c r="E282" s="53"/>
      <c r="F282" s="82">
        <f>IF(OR($A282="",$B282="",NOT(ISNUMBER($C282))),"",IF(ISNUMBER($E282),IF($E282&gt;0,EDATE($C282,$E282),""),IF(ISNUMBER($D282),EDATE($C282,$D282),"")))</f>
        <v/>
      </c>
      <c r="G282" s="83">
        <f>IF($F282="","",$F282-TODAY())</f>
        <v/>
      </c>
      <c r="H282" s="85">
        <f>IF(OR($A282="",$B282=""),"",IF($F282="","No date",IF($G282&lt;0,"Overdue",IF($G282&lt;=30,"Due &lt;=30",IF($G282&lt;=60,"Due 31-60","OK")))))</f>
        <v/>
      </c>
      <c r="I282" s="54"/>
      <c r="J282" s="54"/>
      <c r="K282" s="54"/>
      <c r="L282" s="54"/>
      <c r="M282" s="105">
        <f>IF($F282="","",$F282+ROW()/100000)</f>
        <v/>
      </c>
    </row>
    <row r="283" spans="1:13">
      <c r="A283" s="54"/>
      <c r="B283" s="54"/>
      <c r="C283" s="52"/>
      <c r="D283" s="83">
        <f>IF($B283="","",IFERROR(IF(VLOOKUP($B283,Reference!$A$6:$C$27,3,FALSE)&gt;0,VLOOKUP($B283,Reference!$A$6:$C$27,3,FALSE),""),""))</f>
        <v/>
      </c>
      <c r="E283" s="53"/>
      <c r="F283" s="82">
        <f>IF(OR($A283="",$B283="",NOT(ISNUMBER($C283))),"",IF(ISNUMBER($E283),IF($E283&gt;0,EDATE($C283,$E283),""),IF(ISNUMBER($D283),EDATE($C283,$D283),"")))</f>
        <v/>
      </c>
      <c r="G283" s="83">
        <f>IF($F283="","",$F283-TODAY())</f>
        <v/>
      </c>
      <c r="H283" s="85">
        <f>IF(OR($A283="",$B283=""),"",IF($F283="","No date",IF($G283&lt;0,"Overdue",IF($G283&lt;=30,"Due &lt;=30",IF($G283&lt;=60,"Due 31-60","OK")))))</f>
        <v/>
      </c>
      <c r="I283" s="54"/>
      <c r="J283" s="54"/>
      <c r="K283" s="54"/>
      <c r="L283" s="54"/>
      <c r="M283" s="105">
        <f>IF($F283="","",$F283+ROW()/100000)</f>
        <v/>
      </c>
    </row>
    <row r="284" spans="1:13">
      <c r="A284" s="54"/>
      <c r="B284" s="54"/>
      <c r="C284" s="52"/>
      <c r="D284" s="83">
        <f>IF($B284="","",IFERROR(IF(VLOOKUP($B284,Reference!$A$6:$C$27,3,FALSE)&gt;0,VLOOKUP($B284,Reference!$A$6:$C$27,3,FALSE),""),""))</f>
        <v/>
      </c>
      <c r="E284" s="53"/>
      <c r="F284" s="82">
        <f>IF(OR($A284="",$B284="",NOT(ISNUMBER($C284))),"",IF(ISNUMBER($E284),IF($E284&gt;0,EDATE($C284,$E284),""),IF(ISNUMBER($D284),EDATE($C284,$D284),"")))</f>
        <v/>
      </c>
      <c r="G284" s="83">
        <f>IF($F284="","",$F284-TODAY())</f>
        <v/>
      </c>
      <c r="H284" s="85">
        <f>IF(OR($A284="",$B284=""),"",IF($F284="","No date",IF($G284&lt;0,"Overdue",IF($G284&lt;=30,"Due &lt;=30",IF($G284&lt;=60,"Due 31-60","OK")))))</f>
        <v/>
      </c>
      <c r="I284" s="54"/>
      <c r="J284" s="54"/>
      <c r="K284" s="54"/>
      <c r="L284" s="54"/>
      <c r="M284" s="105">
        <f>IF($F284="","",$F284+ROW()/100000)</f>
        <v/>
      </c>
    </row>
    <row r="285" spans="1:13">
      <c r="A285" s="54"/>
      <c r="B285" s="54"/>
      <c r="C285" s="52"/>
      <c r="D285" s="83">
        <f>IF($B285="","",IFERROR(IF(VLOOKUP($B285,Reference!$A$6:$C$27,3,FALSE)&gt;0,VLOOKUP($B285,Reference!$A$6:$C$27,3,FALSE),""),""))</f>
        <v/>
      </c>
      <c r="E285" s="53"/>
      <c r="F285" s="82">
        <f>IF(OR($A285="",$B285="",NOT(ISNUMBER($C285))),"",IF(ISNUMBER($E285),IF($E285&gt;0,EDATE($C285,$E285),""),IF(ISNUMBER($D285),EDATE($C285,$D285),"")))</f>
        <v/>
      </c>
      <c r="G285" s="83">
        <f>IF($F285="","",$F285-TODAY())</f>
        <v/>
      </c>
      <c r="H285" s="85">
        <f>IF(OR($A285="",$B285=""),"",IF($F285="","No date",IF($G285&lt;0,"Overdue",IF($G285&lt;=30,"Due &lt;=30",IF($G285&lt;=60,"Due 31-60","OK")))))</f>
        <v/>
      </c>
      <c r="I285" s="54"/>
      <c r="J285" s="54"/>
      <c r="K285" s="54"/>
      <c r="L285" s="54"/>
      <c r="M285" s="105">
        <f>IF($F285="","",$F285+ROW()/100000)</f>
        <v/>
      </c>
    </row>
    <row r="286" spans="1:13">
      <c r="A286" s="54"/>
      <c r="B286" s="54"/>
      <c r="C286" s="52"/>
      <c r="D286" s="83">
        <f>IF($B286="","",IFERROR(IF(VLOOKUP($B286,Reference!$A$6:$C$27,3,FALSE)&gt;0,VLOOKUP($B286,Reference!$A$6:$C$27,3,FALSE),""),""))</f>
        <v/>
      </c>
      <c r="E286" s="53"/>
      <c r="F286" s="82">
        <f>IF(OR($A286="",$B286="",NOT(ISNUMBER($C286))),"",IF(ISNUMBER($E286),IF($E286&gt;0,EDATE($C286,$E286),""),IF(ISNUMBER($D286),EDATE($C286,$D286),"")))</f>
        <v/>
      </c>
      <c r="G286" s="83">
        <f>IF($F286="","",$F286-TODAY())</f>
        <v/>
      </c>
      <c r="H286" s="85">
        <f>IF(OR($A286="",$B286=""),"",IF($F286="","No date",IF($G286&lt;0,"Overdue",IF($G286&lt;=30,"Due &lt;=30",IF($G286&lt;=60,"Due 31-60","OK")))))</f>
        <v/>
      </c>
      <c r="I286" s="54"/>
      <c r="J286" s="54"/>
      <c r="K286" s="54"/>
      <c r="L286" s="54"/>
      <c r="M286" s="105">
        <f>IF($F286="","",$F286+ROW()/100000)</f>
        <v/>
      </c>
    </row>
    <row r="287" spans="1:13">
      <c r="A287" s="54"/>
      <c r="B287" s="54"/>
      <c r="C287" s="52"/>
      <c r="D287" s="83">
        <f>IF($B287="","",IFERROR(IF(VLOOKUP($B287,Reference!$A$6:$C$27,3,FALSE)&gt;0,VLOOKUP($B287,Reference!$A$6:$C$27,3,FALSE),""),""))</f>
        <v/>
      </c>
      <c r="E287" s="53"/>
      <c r="F287" s="82">
        <f>IF(OR($A287="",$B287="",NOT(ISNUMBER($C287))),"",IF(ISNUMBER($E287),IF($E287&gt;0,EDATE($C287,$E287),""),IF(ISNUMBER($D287),EDATE($C287,$D287),"")))</f>
        <v/>
      </c>
      <c r="G287" s="83">
        <f>IF($F287="","",$F287-TODAY())</f>
        <v/>
      </c>
      <c r="H287" s="85">
        <f>IF(OR($A287="",$B287=""),"",IF($F287="","No date",IF($G287&lt;0,"Overdue",IF($G287&lt;=30,"Due &lt;=30",IF($G287&lt;=60,"Due 31-60","OK")))))</f>
        <v/>
      </c>
      <c r="I287" s="54"/>
      <c r="J287" s="54"/>
      <c r="K287" s="54"/>
      <c r="L287" s="54"/>
      <c r="M287" s="105">
        <f>IF($F287="","",$F287+ROW()/100000)</f>
        <v/>
      </c>
    </row>
    <row r="288" spans="1:13">
      <c r="A288" s="54"/>
      <c r="B288" s="54"/>
      <c r="C288" s="52"/>
      <c r="D288" s="83">
        <f>IF($B288="","",IFERROR(IF(VLOOKUP($B288,Reference!$A$6:$C$27,3,FALSE)&gt;0,VLOOKUP($B288,Reference!$A$6:$C$27,3,FALSE),""),""))</f>
        <v/>
      </c>
      <c r="E288" s="53"/>
      <c r="F288" s="82">
        <f>IF(OR($A288="",$B288="",NOT(ISNUMBER($C288))),"",IF(ISNUMBER($E288),IF($E288&gt;0,EDATE($C288,$E288),""),IF(ISNUMBER($D288),EDATE($C288,$D288),"")))</f>
        <v/>
      </c>
      <c r="G288" s="83">
        <f>IF($F288="","",$F288-TODAY())</f>
        <v/>
      </c>
      <c r="H288" s="85">
        <f>IF(OR($A288="",$B288=""),"",IF($F288="","No date",IF($G288&lt;0,"Overdue",IF($G288&lt;=30,"Due &lt;=30",IF($G288&lt;=60,"Due 31-60","OK")))))</f>
        <v/>
      </c>
      <c r="I288" s="54"/>
      <c r="J288" s="54"/>
      <c r="K288" s="54"/>
      <c r="L288" s="54"/>
      <c r="M288" s="105">
        <f>IF($F288="","",$F288+ROW()/100000)</f>
        <v/>
      </c>
    </row>
    <row r="289" spans="1:13">
      <c r="A289" s="54"/>
      <c r="B289" s="54"/>
      <c r="C289" s="52"/>
      <c r="D289" s="83">
        <f>IF($B289="","",IFERROR(IF(VLOOKUP($B289,Reference!$A$6:$C$27,3,FALSE)&gt;0,VLOOKUP($B289,Reference!$A$6:$C$27,3,FALSE),""),""))</f>
        <v/>
      </c>
      <c r="E289" s="53"/>
      <c r="F289" s="82">
        <f>IF(OR($A289="",$B289="",NOT(ISNUMBER($C289))),"",IF(ISNUMBER($E289),IF($E289&gt;0,EDATE($C289,$E289),""),IF(ISNUMBER($D289),EDATE($C289,$D289),"")))</f>
        <v/>
      </c>
      <c r="G289" s="83">
        <f>IF($F289="","",$F289-TODAY())</f>
        <v/>
      </c>
      <c r="H289" s="85">
        <f>IF(OR($A289="",$B289=""),"",IF($F289="","No date",IF($G289&lt;0,"Overdue",IF($G289&lt;=30,"Due &lt;=30",IF($G289&lt;=60,"Due 31-60","OK")))))</f>
        <v/>
      </c>
      <c r="I289" s="54"/>
      <c r="J289" s="54"/>
      <c r="K289" s="54"/>
      <c r="L289" s="54"/>
      <c r="M289" s="105">
        <f>IF($F289="","",$F289+ROW()/100000)</f>
        <v/>
      </c>
    </row>
    <row r="290" spans="1:13">
      <c r="A290" s="54"/>
      <c r="B290" s="54"/>
      <c r="C290" s="52"/>
      <c r="D290" s="83">
        <f>IF($B290="","",IFERROR(IF(VLOOKUP($B290,Reference!$A$6:$C$27,3,FALSE)&gt;0,VLOOKUP($B290,Reference!$A$6:$C$27,3,FALSE),""),""))</f>
        <v/>
      </c>
      <c r="E290" s="53"/>
      <c r="F290" s="82">
        <f>IF(OR($A290="",$B290="",NOT(ISNUMBER($C290))),"",IF(ISNUMBER($E290),IF($E290&gt;0,EDATE($C290,$E290),""),IF(ISNUMBER($D290),EDATE($C290,$D290),"")))</f>
        <v/>
      </c>
      <c r="G290" s="83">
        <f>IF($F290="","",$F290-TODAY())</f>
        <v/>
      </c>
      <c r="H290" s="85">
        <f>IF(OR($A290="",$B290=""),"",IF($F290="","No date",IF($G290&lt;0,"Overdue",IF($G290&lt;=30,"Due &lt;=30",IF($G290&lt;=60,"Due 31-60","OK")))))</f>
        <v/>
      </c>
      <c r="I290" s="54"/>
      <c r="J290" s="54"/>
      <c r="K290" s="54"/>
      <c r="L290" s="54"/>
      <c r="M290" s="105">
        <f>IF($F290="","",$F290+ROW()/100000)</f>
        <v/>
      </c>
    </row>
    <row r="291" spans="1:13">
      <c r="A291" s="54"/>
      <c r="B291" s="54"/>
      <c r="C291" s="52"/>
      <c r="D291" s="83">
        <f>IF($B291="","",IFERROR(IF(VLOOKUP($B291,Reference!$A$6:$C$27,3,FALSE)&gt;0,VLOOKUP($B291,Reference!$A$6:$C$27,3,FALSE),""),""))</f>
        <v/>
      </c>
      <c r="E291" s="53"/>
      <c r="F291" s="82">
        <f>IF(OR($A291="",$B291="",NOT(ISNUMBER($C291))),"",IF(ISNUMBER($E291),IF($E291&gt;0,EDATE($C291,$E291),""),IF(ISNUMBER($D291),EDATE($C291,$D291),"")))</f>
        <v/>
      </c>
      <c r="G291" s="83">
        <f>IF($F291="","",$F291-TODAY())</f>
        <v/>
      </c>
      <c r="H291" s="85">
        <f>IF(OR($A291="",$B291=""),"",IF($F291="","No date",IF($G291&lt;0,"Overdue",IF($G291&lt;=30,"Due &lt;=30",IF($G291&lt;=60,"Due 31-60","OK")))))</f>
        <v/>
      </c>
      <c r="I291" s="54"/>
      <c r="J291" s="54"/>
      <c r="K291" s="54"/>
      <c r="L291" s="54"/>
      <c r="M291" s="105">
        <f>IF($F291="","",$F291+ROW()/100000)</f>
        <v/>
      </c>
    </row>
    <row r="292" spans="1:13">
      <c r="A292" s="54"/>
      <c r="B292" s="54"/>
      <c r="C292" s="52"/>
      <c r="D292" s="83">
        <f>IF($B292="","",IFERROR(IF(VLOOKUP($B292,Reference!$A$6:$C$27,3,FALSE)&gt;0,VLOOKUP($B292,Reference!$A$6:$C$27,3,FALSE),""),""))</f>
        <v/>
      </c>
      <c r="E292" s="53"/>
      <c r="F292" s="82">
        <f>IF(OR($A292="",$B292="",NOT(ISNUMBER($C292))),"",IF(ISNUMBER($E292),IF($E292&gt;0,EDATE($C292,$E292),""),IF(ISNUMBER($D292),EDATE($C292,$D292),"")))</f>
        <v/>
      </c>
      <c r="G292" s="83">
        <f>IF($F292="","",$F292-TODAY())</f>
        <v/>
      </c>
      <c r="H292" s="85">
        <f>IF(OR($A292="",$B292=""),"",IF($F292="","No date",IF($G292&lt;0,"Overdue",IF($G292&lt;=30,"Due &lt;=30",IF($G292&lt;=60,"Due 31-60","OK")))))</f>
        <v/>
      </c>
      <c r="I292" s="54"/>
      <c r="J292" s="54"/>
      <c r="K292" s="54"/>
      <c r="L292" s="54"/>
      <c r="M292" s="105">
        <f>IF($F292="","",$F292+ROW()/100000)</f>
        <v/>
      </c>
    </row>
    <row r="293" spans="1:13">
      <c r="A293" s="54"/>
      <c r="B293" s="54"/>
      <c r="C293" s="52"/>
      <c r="D293" s="83">
        <f>IF($B293="","",IFERROR(IF(VLOOKUP($B293,Reference!$A$6:$C$27,3,FALSE)&gt;0,VLOOKUP($B293,Reference!$A$6:$C$27,3,FALSE),""),""))</f>
        <v/>
      </c>
      <c r="E293" s="53"/>
      <c r="F293" s="82">
        <f>IF(OR($A293="",$B293="",NOT(ISNUMBER($C293))),"",IF(ISNUMBER($E293),IF($E293&gt;0,EDATE($C293,$E293),""),IF(ISNUMBER($D293),EDATE($C293,$D293),"")))</f>
        <v/>
      </c>
      <c r="G293" s="83">
        <f>IF($F293="","",$F293-TODAY())</f>
        <v/>
      </c>
      <c r="H293" s="85">
        <f>IF(OR($A293="",$B293=""),"",IF($F293="","No date",IF($G293&lt;0,"Overdue",IF($G293&lt;=30,"Due &lt;=30",IF($G293&lt;=60,"Due 31-60","OK")))))</f>
        <v/>
      </c>
      <c r="I293" s="54"/>
      <c r="J293" s="54"/>
      <c r="K293" s="54"/>
      <c r="L293" s="54"/>
      <c r="M293" s="105">
        <f>IF($F293="","",$F293+ROW()/100000)</f>
        <v/>
      </c>
    </row>
    <row r="294" spans="1:13">
      <c r="A294" s="54"/>
      <c r="B294" s="54"/>
      <c r="C294" s="52"/>
      <c r="D294" s="83">
        <f>IF($B294="","",IFERROR(IF(VLOOKUP($B294,Reference!$A$6:$C$27,3,FALSE)&gt;0,VLOOKUP($B294,Reference!$A$6:$C$27,3,FALSE),""),""))</f>
        <v/>
      </c>
      <c r="E294" s="53"/>
      <c r="F294" s="82">
        <f>IF(OR($A294="",$B294="",NOT(ISNUMBER($C294))),"",IF(ISNUMBER($E294),IF($E294&gt;0,EDATE($C294,$E294),""),IF(ISNUMBER($D294),EDATE($C294,$D294),"")))</f>
        <v/>
      </c>
      <c r="G294" s="83">
        <f>IF($F294="","",$F294-TODAY())</f>
        <v/>
      </c>
      <c r="H294" s="85">
        <f>IF(OR($A294="",$B294=""),"",IF($F294="","No date",IF($G294&lt;0,"Overdue",IF($G294&lt;=30,"Due &lt;=30",IF($G294&lt;=60,"Due 31-60","OK")))))</f>
        <v/>
      </c>
      <c r="I294" s="54"/>
      <c r="J294" s="54"/>
      <c r="K294" s="54"/>
      <c r="L294" s="54"/>
      <c r="M294" s="105">
        <f>IF($F294="","",$F294+ROW()/100000)</f>
        <v/>
      </c>
    </row>
    <row r="295" spans="1:13">
      <c r="A295" s="54"/>
      <c r="B295" s="54"/>
      <c r="C295" s="52"/>
      <c r="D295" s="83">
        <f>IF($B295="","",IFERROR(IF(VLOOKUP($B295,Reference!$A$6:$C$27,3,FALSE)&gt;0,VLOOKUP($B295,Reference!$A$6:$C$27,3,FALSE),""),""))</f>
        <v/>
      </c>
      <c r="E295" s="53"/>
      <c r="F295" s="82">
        <f>IF(OR($A295="",$B295="",NOT(ISNUMBER($C295))),"",IF(ISNUMBER($E295),IF($E295&gt;0,EDATE($C295,$E295),""),IF(ISNUMBER($D295),EDATE($C295,$D295),"")))</f>
        <v/>
      </c>
      <c r="G295" s="83">
        <f>IF($F295="","",$F295-TODAY())</f>
        <v/>
      </c>
      <c r="H295" s="85">
        <f>IF(OR($A295="",$B295=""),"",IF($F295="","No date",IF($G295&lt;0,"Overdue",IF($G295&lt;=30,"Due &lt;=30",IF($G295&lt;=60,"Due 31-60","OK")))))</f>
        <v/>
      </c>
      <c r="I295" s="54"/>
      <c r="J295" s="54"/>
      <c r="K295" s="54"/>
      <c r="L295" s="54"/>
      <c r="M295" s="105">
        <f>IF($F295="","",$F295+ROW()/100000)</f>
        <v/>
      </c>
    </row>
    <row r="296" spans="1:13">
      <c r="A296" s="54"/>
      <c r="B296" s="54"/>
      <c r="C296" s="52"/>
      <c r="D296" s="83">
        <f>IF($B296="","",IFERROR(IF(VLOOKUP($B296,Reference!$A$6:$C$27,3,FALSE)&gt;0,VLOOKUP($B296,Reference!$A$6:$C$27,3,FALSE),""),""))</f>
        <v/>
      </c>
      <c r="E296" s="53"/>
      <c r="F296" s="82">
        <f>IF(OR($A296="",$B296="",NOT(ISNUMBER($C296))),"",IF(ISNUMBER($E296),IF($E296&gt;0,EDATE($C296,$E296),""),IF(ISNUMBER($D296),EDATE($C296,$D296),"")))</f>
        <v/>
      </c>
      <c r="G296" s="83">
        <f>IF($F296="","",$F296-TODAY())</f>
        <v/>
      </c>
      <c r="H296" s="85">
        <f>IF(OR($A296="",$B296=""),"",IF($F296="","No date",IF($G296&lt;0,"Overdue",IF($G296&lt;=30,"Due &lt;=30",IF($G296&lt;=60,"Due 31-60","OK")))))</f>
        <v/>
      </c>
      <c r="I296" s="54"/>
      <c r="J296" s="54"/>
      <c r="K296" s="54"/>
      <c r="L296" s="54"/>
      <c r="M296" s="105">
        <f>IF($F296="","",$F296+ROW()/100000)</f>
        <v/>
      </c>
    </row>
    <row r="297" spans="1:13">
      <c r="A297" s="54"/>
      <c r="B297" s="54"/>
      <c r="C297" s="52"/>
      <c r="D297" s="83">
        <f>IF($B297="","",IFERROR(IF(VLOOKUP($B297,Reference!$A$6:$C$27,3,FALSE)&gt;0,VLOOKUP($B297,Reference!$A$6:$C$27,3,FALSE),""),""))</f>
        <v/>
      </c>
      <c r="E297" s="53"/>
      <c r="F297" s="82">
        <f>IF(OR($A297="",$B297="",NOT(ISNUMBER($C297))),"",IF(ISNUMBER($E297),IF($E297&gt;0,EDATE($C297,$E297),""),IF(ISNUMBER($D297),EDATE($C297,$D297),"")))</f>
        <v/>
      </c>
      <c r="G297" s="83">
        <f>IF($F297="","",$F297-TODAY())</f>
        <v/>
      </c>
      <c r="H297" s="85">
        <f>IF(OR($A297="",$B297=""),"",IF($F297="","No date",IF($G297&lt;0,"Overdue",IF($G297&lt;=30,"Due &lt;=30",IF($G297&lt;=60,"Due 31-60","OK")))))</f>
        <v/>
      </c>
      <c r="I297" s="54"/>
      <c r="J297" s="54"/>
      <c r="K297" s="54"/>
      <c r="L297" s="54"/>
      <c r="M297" s="105">
        <f>IF($F297="","",$F297+ROW()/100000)</f>
        <v/>
      </c>
    </row>
    <row r="298" spans="1:13">
      <c r="A298" s="54"/>
      <c r="B298" s="54"/>
      <c r="C298" s="52"/>
      <c r="D298" s="83">
        <f>IF($B298="","",IFERROR(IF(VLOOKUP($B298,Reference!$A$6:$C$27,3,FALSE)&gt;0,VLOOKUP($B298,Reference!$A$6:$C$27,3,FALSE),""),""))</f>
        <v/>
      </c>
      <c r="E298" s="53"/>
      <c r="F298" s="82">
        <f>IF(OR($A298="",$B298="",NOT(ISNUMBER($C298))),"",IF(ISNUMBER($E298),IF($E298&gt;0,EDATE($C298,$E298),""),IF(ISNUMBER($D298),EDATE($C298,$D298),"")))</f>
        <v/>
      </c>
      <c r="G298" s="83">
        <f>IF($F298="","",$F298-TODAY())</f>
        <v/>
      </c>
      <c r="H298" s="85">
        <f>IF(OR($A298="",$B298=""),"",IF($F298="","No date",IF($G298&lt;0,"Overdue",IF($G298&lt;=30,"Due &lt;=30",IF($G298&lt;=60,"Due 31-60","OK")))))</f>
        <v/>
      </c>
      <c r="I298" s="54"/>
      <c r="J298" s="54"/>
      <c r="K298" s="54"/>
      <c r="L298" s="54"/>
      <c r="M298" s="105">
        <f>IF($F298="","",$F298+ROW()/100000)</f>
        <v/>
      </c>
    </row>
    <row r="299" spans="1:13">
      <c r="A299" s="54"/>
      <c r="B299" s="54"/>
      <c r="C299" s="52"/>
      <c r="D299" s="83">
        <f>IF($B299="","",IFERROR(IF(VLOOKUP($B299,Reference!$A$6:$C$27,3,FALSE)&gt;0,VLOOKUP($B299,Reference!$A$6:$C$27,3,FALSE),""),""))</f>
        <v/>
      </c>
      <c r="E299" s="53"/>
      <c r="F299" s="82">
        <f>IF(OR($A299="",$B299="",NOT(ISNUMBER($C299))),"",IF(ISNUMBER($E299),IF($E299&gt;0,EDATE($C299,$E299),""),IF(ISNUMBER($D299),EDATE($C299,$D299),"")))</f>
        <v/>
      </c>
      <c r="G299" s="83">
        <f>IF($F299="","",$F299-TODAY())</f>
        <v/>
      </c>
      <c r="H299" s="85">
        <f>IF(OR($A299="",$B299=""),"",IF($F299="","No date",IF($G299&lt;0,"Overdue",IF($G299&lt;=30,"Due &lt;=30",IF($G299&lt;=60,"Due 31-60","OK")))))</f>
        <v/>
      </c>
      <c r="I299" s="54"/>
      <c r="J299" s="54"/>
      <c r="K299" s="54"/>
      <c r="L299" s="54"/>
      <c r="M299" s="105">
        <f>IF($F299="","",$F299+ROW()/100000)</f>
        <v/>
      </c>
    </row>
    <row r="300" spans="1:13">
      <c r="A300" s="54"/>
      <c r="B300" s="54"/>
      <c r="C300" s="52"/>
      <c r="D300" s="83">
        <f>IF($B300="","",IFERROR(IF(VLOOKUP($B300,Reference!$A$6:$C$27,3,FALSE)&gt;0,VLOOKUP($B300,Reference!$A$6:$C$27,3,FALSE),""),""))</f>
        <v/>
      </c>
      <c r="E300" s="53"/>
      <c r="F300" s="82">
        <f>IF(OR($A300="",$B300="",NOT(ISNUMBER($C300))),"",IF(ISNUMBER($E300),IF($E300&gt;0,EDATE($C300,$E300),""),IF(ISNUMBER($D300),EDATE($C300,$D300),"")))</f>
        <v/>
      </c>
      <c r="G300" s="83">
        <f>IF($F300="","",$F300-TODAY())</f>
        <v/>
      </c>
      <c r="H300" s="85">
        <f>IF(OR($A300="",$B300=""),"",IF($F300="","No date",IF($G300&lt;0,"Overdue",IF($G300&lt;=30,"Due &lt;=30",IF($G300&lt;=60,"Due 31-60","OK")))))</f>
        <v/>
      </c>
      <c r="I300" s="54"/>
      <c r="J300" s="54"/>
      <c r="K300" s="54"/>
      <c r="L300" s="54"/>
      <c r="M300" s="105">
        <f>IF($F300="","",$F300+ROW()/100000)</f>
        <v/>
      </c>
    </row>
    <row r="301" spans="1:13">
      <c r="A301" s="54"/>
      <c r="B301" s="54"/>
      <c r="C301" s="52"/>
      <c r="D301" s="83">
        <f>IF($B301="","",IFERROR(IF(VLOOKUP($B301,Reference!$A$6:$C$27,3,FALSE)&gt;0,VLOOKUP($B301,Reference!$A$6:$C$27,3,FALSE),""),""))</f>
        <v/>
      </c>
      <c r="E301" s="53"/>
      <c r="F301" s="82">
        <f>IF(OR($A301="",$B301="",NOT(ISNUMBER($C301))),"",IF(ISNUMBER($E301),IF($E301&gt;0,EDATE($C301,$E301),""),IF(ISNUMBER($D301),EDATE($C301,$D301),"")))</f>
        <v/>
      </c>
      <c r="G301" s="83">
        <f>IF($F301="","",$F301-TODAY())</f>
        <v/>
      </c>
      <c r="H301" s="85">
        <f>IF(OR($A301="",$B301=""),"",IF($F301="","No date",IF($G301&lt;0,"Overdue",IF($G301&lt;=30,"Due &lt;=30",IF($G301&lt;=60,"Due 31-60","OK")))))</f>
        <v/>
      </c>
      <c r="I301" s="54"/>
      <c r="J301" s="54"/>
      <c r="K301" s="54"/>
      <c r="L301" s="54"/>
      <c r="M301" s="105">
        <f>IF($F301="","",$F301+ROW()/100000)</f>
        <v/>
      </c>
    </row>
    <row r="302" spans="1:13">
      <c r="A302" s="54"/>
      <c r="B302" s="54"/>
      <c r="C302" s="52"/>
      <c r="D302" s="83">
        <f>IF($B302="","",IFERROR(IF(VLOOKUP($B302,Reference!$A$6:$C$27,3,FALSE)&gt;0,VLOOKUP($B302,Reference!$A$6:$C$27,3,FALSE),""),""))</f>
        <v/>
      </c>
      <c r="E302" s="53"/>
      <c r="F302" s="82">
        <f>IF(OR($A302="",$B302="",NOT(ISNUMBER($C302))),"",IF(ISNUMBER($E302),IF($E302&gt;0,EDATE($C302,$E302),""),IF(ISNUMBER($D302),EDATE($C302,$D302),"")))</f>
        <v/>
      </c>
      <c r="G302" s="83">
        <f>IF($F302="","",$F302-TODAY())</f>
        <v/>
      </c>
      <c r="H302" s="85">
        <f>IF(OR($A302="",$B302=""),"",IF($F302="","No date",IF($G302&lt;0,"Overdue",IF($G302&lt;=30,"Due &lt;=30",IF($G302&lt;=60,"Due 31-60","OK")))))</f>
        <v/>
      </c>
      <c r="I302" s="54"/>
      <c r="J302" s="54"/>
      <c r="K302" s="54"/>
      <c r="L302" s="54"/>
      <c r="M302" s="105">
        <f>IF($F302="","",$F302+ROW()/100000)</f>
        <v/>
      </c>
    </row>
    <row r="303" spans="1:13">
      <c r="A303" s="54"/>
      <c r="B303" s="54"/>
      <c r="C303" s="52"/>
      <c r="D303" s="83">
        <f>IF($B303="","",IFERROR(IF(VLOOKUP($B303,Reference!$A$6:$C$27,3,FALSE)&gt;0,VLOOKUP($B303,Reference!$A$6:$C$27,3,FALSE),""),""))</f>
        <v/>
      </c>
      <c r="E303" s="53"/>
      <c r="F303" s="82">
        <f>IF(OR($A303="",$B303="",NOT(ISNUMBER($C303))),"",IF(ISNUMBER($E303),IF($E303&gt;0,EDATE($C303,$E303),""),IF(ISNUMBER($D303),EDATE($C303,$D303),"")))</f>
        <v/>
      </c>
      <c r="G303" s="83">
        <f>IF($F303="","",$F303-TODAY())</f>
        <v/>
      </c>
      <c r="H303" s="85">
        <f>IF(OR($A303="",$B303=""),"",IF($F303="","No date",IF($G303&lt;0,"Overdue",IF($G303&lt;=30,"Due &lt;=30",IF($G303&lt;=60,"Due 31-60","OK")))))</f>
        <v/>
      </c>
      <c r="I303" s="54"/>
      <c r="J303" s="54"/>
      <c r="K303" s="54"/>
      <c r="L303" s="54"/>
      <c r="M303" s="105">
        <f>IF($F303="","",$F303+ROW()/100000)</f>
        <v/>
      </c>
    </row>
    <row r="304" spans="1:13">
      <c r="A304" s="54"/>
      <c r="B304" s="54"/>
      <c r="C304" s="52"/>
      <c r="D304" s="83">
        <f>IF($B304="","",IFERROR(IF(VLOOKUP($B304,Reference!$A$6:$C$27,3,FALSE)&gt;0,VLOOKUP($B304,Reference!$A$6:$C$27,3,FALSE),""),""))</f>
        <v/>
      </c>
      <c r="E304" s="53"/>
      <c r="F304" s="82">
        <f>IF(OR($A304="",$B304="",NOT(ISNUMBER($C304))),"",IF(ISNUMBER($E304),IF($E304&gt;0,EDATE($C304,$E304),""),IF(ISNUMBER($D304),EDATE($C304,$D304),"")))</f>
        <v/>
      </c>
      <c r="G304" s="83">
        <f>IF($F304="","",$F304-TODAY())</f>
        <v/>
      </c>
      <c r="H304" s="85">
        <f>IF(OR($A304="",$B304=""),"",IF($F304="","No date",IF($G304&lt;0,"Overdue",IF($G304&lt;=30,"Due &lt;=30",IF($G304&lt;=60,"Due 31-60","OK")))))</f>
        <v/>
      </c>
      <c r="I304" s="54"/>
      <c r="J304" s="54"/>
      <c r="K304" s="54"/>
      <c r="L304" s="54"/>
      <c r="M304" s="105">
        <f>IF($F304="","",$F304+ROW()/100000)</f>
        <v/>
      </c>
    </row>
    <row r="305" spans="1:13">
      <c r="A305" s="54"/>
      <c r="B305" s="54"/>
      <c r="C305" s="52"/>
      <c r="D305" s="83">
        <f>IF($B305="","",IFERROR(IF(VLOOKUP($B305,Reference!$A$6:$C$27,3,FALSE)&gt;0,VLOOKUP($B305,Reference!$A$6:$C$27,3,FALSE),""),""))</f>
        <v/>
      </c>
      <c r="E305" s="53"/>
      <c r="F305" s="82">
        <f>IF(OR($A305="",$B305="",NOT(ISNUMBER($C305))),"",IF(ISNUMBER($E305),IF($E305&gt;0,EDATE($C305,$E305),""),IF(ISNUMBER($D305),EDATE($C305,$D305),"")))</f>
        <v/>
      </c>
      <c r="G305" s="83">
        <f>IF($F305="","",$F305-TODAY())</f>
        <v/>
      </c>
      <c r="H305" s="85">
        <f>IF(OR($A305="",$B305=""),"",IF($F305="","No date",IF($G305&lt;0,"Overdue",IF($G305&lt;=30,"Due &lt;=30",IF($G305&lt;=60,"Due 31-60","OK")))))</f>
        <v/>
      </c>
      <c r="I305" s="54"/>
      <c r="J305" s="54"/>
      <c r="K305" s="54"/>
      <c r="L305" s="54"/>
      <c r="M305" s="105">
        <f>IF($F305="","",$F305+ROW()/100000)</f>
        <v/>
      </c>
    </row>
    <row r="306" spans="1:13">
      <c r="A306" s="54"/>
      <c r="B306" s="54"/>
      <c r="C306" s="52"/>
      <c r="D306" s="83">
        <f>IF($B306="","",IFERROR(IF(VLOOKUP($B306,Reference!$A$6:$C$27,3,FALSE)&gt;0,VLOOKUP($B306,Reference!$A$6:$C$27,3,FALSE),""),""))</f>
        <v/>
      </c>
      <c r="E306" s="53"/>
      <c r="F306" s="82">
        <f>IF(OR($A306="",$B306="",NOT(ISNUMBER($C306))),"",IF(ISNUMBER($E306),IF($E306&gt;0,EDATE($C306,$E306),""),IF(ISNUMBER($D306),EDATE($C306,$D306),"")))</f>
        <v/>
      </c>
      <c r="G306" s="83">
        <f>IF($F306="","",$F306-TODAY())</f>
        <v/>
      </c>
      <c r="H306" s="85">
        <f>IF(OR($A306="",$B306=""),"",IF($F306="","No date",IF($G306&lt;0,"Overdue",IF($G306&lt;=30,"Due &lt;=30",IF($G306&lt;=60,"Due 31-60","OK")))))</f>
        <v/>
      </c>
      <c r="I306" s="54"/>
      <c r="J306" s="54"/>
      <c r="K306" s="54"/>
      <c r="L306" s="54"/>
      <c r="M306" s="105">
        <f>IF($F306="","",$F306+ROW()/100000)</f>
        <v/>
      </c>
    </row>
    <row r="307" spans="1:13">
      <c r="A307" s="54"/>
      <c r="B307" s="54"/>
      <c r="C307" s="52"/>
      <c r="D307" s="83">
        <f>IF($B307="","",IFERROR(IF(VLOOKUP($B307,Reference!$A$6:$C$27,3,FALSE)&gt;0,VLOOKUP($B307,Reference!$A$6:$C$27,3,FALSE),""),""))</f>
        <v/>
      </c>
      <c r="E307" s="53"/>
      <c r="F307" s="82">
        <f>IF(OR($A307="",$B307="",NOT(ISNUMBER($C307))),"",IF(ISNUMBER($E307),IF($E307&gt;0,EDATE($C307,$E307),""),IF(ISNUMBER($D307),EDATE($C307,$D307),"")))</f>
        <v/>
      </c>
      <c r="G307" s="83">
        <f>IF($F307="","",$F307-TODAY())</f>
        <v/>
      </c>
      <c r="H307" s="85">
        <f>IF(OR($A307="",$B307=""),"",IF($F307="","No date",IF($G307&lt;0,"Overdue",IF($G307&lt;=30,"Due &lt;=30",IF($G307&lt;=60,"Due 31-60","OK")))))</f>
        <v/>
      </c>
      <c r="I307" s="54"/>
      <c r="J307" s="54"/>
      <c r="K307" s="54"/>
      <c r="L307" s="54"/>
      <c r="M307" s="105">
        <f>IF($F307="","",$F307+ROW()/100000)</f>
        <v/>
      </c>
    </row>
    <row r="308" spans="1:13">
      <c r="A308" s="54"/>
      <c r="B308" s="54"/>
      <c r="C308" s="52"/>
      <c r="D308" s="83">
        <f>IF($B308="","",IFERROR(IF(VLOOKUP($B308,Reference!$A$6:$C$27,3,FALSE)&gt;0,VLOOKUP($B308,Reference!$A$6:$C$27,3,FALSE),""),""))</f>
        <v/>
      </c>
      <c r="E308" s="53"/>
      <c r="F308" s="82">
        <f>IF(OR($A308="",$B308="",NOT(ISNUMBER($C308))),"",IF(ISNUMBER($E308),IF($E308&gt;0,EDATE($C308,$E308),""),IF(ISNUMBER($D308),EDATE($C308,$D308),"")))</f>
        <v/>
      </c>
      <c r="G308" s="83">
        <f>IF($F308="","",$F308-TODAY())</f>
        <v/>
      </c>
      <c r="H308" s="85">
        <f>IF(OR($A308="",$B308=""),"",IF($F308="","No date",IF($G308&lt;0,"Overdue",IF($G308&lt;=30,"Due &lt;=30",IF($G308&lt;=60,"Due 31-60","OK")))))</f>
        <v/>
      </c>
      <c r="I308" s="54"/>
      <c r="J308" s="54"/>
      <c r="K308" s="54"/>
      <c r="L308" s="54"/>
      <c r="M308" s="105">
        <f>IF($F308="","",$F308+ROW()/100000)</f>
        <v/>
      </c>
    </row>
    <row r="309" spans="1:13">
      <c r="A309" s="54"/>
      <c r="B309" s="54"/>
      <c r="C309" s="52"/>
      <c r="D309" s="83">
        <f>IF($B309="","",IFERROR(IF(VLOOKUP($B309,Reference!$A$6:$C$27,3,FALSE)&gt;0,VLOOKUP($B309,Reference!$A$6:$C$27,3,FALSE),""),""))</f>
        <v/>
      </c>
      <c r="E309" s="53"/>
      <c r="F309" s="82">
        <f>IF(OR($A309="",$B309="",NOT(ISNUMBER($C309))),"",IF(ISNUMBER($E309),IF($E309&gt;0,EDATE($C309,$E309),""),IF(ISNUMBER($D309),EDATE($C309,$D309),"")))</f>
        <v/>
      </c>
      <c r="G309" s="83">
        <f>IF($F309="","",$F309-TODAY())</f>
        <v/>
      </c>
      <c r="H309" s="85">
        <f>IF(OR($A309="",$B309=""),"",IF($F309="","No date",IF($G309&lt;0,"Overdue",IF($G309&lt;=30,"Due &lt;=30",IF($G309&lt;=60,"Due 31-60","OK")))))</f>
        <v/>
      </c>
      <c r="I309" s="54"/>
      <c r="J309" s="54"/>
      <c r="K309" s="54"/>
      <c r="L309" s="54"/>
      <c r="M309" s="105">
        <f>IF($F309="","",$F309+ROW()/100000)</f>
        <v/>
      </c>
    </row>
    <row r="310" spans="1:13">
      <c r="A310" s="54"/>
      <c r="B310" s="54"/>
      <c r="C310" s="52"/>
      <c r="D310" s="83">
        <f>IF($B310="","",IFERROR(IF(VLOOKUP($B310,Reference!$A$6:$C$27,3,FALSE)&gt;0,VLOOKUP($B310,Reference!$A$6:$C$27,3,FALSE),""),""))</f>
        <v/>
      </c>
      <c r="E310" s="53"/>
      <c r="F310" s="82">
        <f>IF(OR($A310="",$B310="",NOT(ISNUMBER($C310))),"",IF(ISNUMBER($E310),IF($E310&gt;0,EDATE($C310,$E310),""),IF(ISNUMBER($D310),EDATE($C310,$D310),"")))</f>
        <v/>
      </c>
      <c r="G310" s="83">
        <f>IF($F310="","",$F310-TODAY())</f>
        <v/>
      </c>
      <c r="H310" s="85">
        <f>IF(OR($A310="",$B310=""),"",IF($F310="","No date",IF($G310&lt;0,"Overdue",IF($G310&lt;=30,"Due &lt;=30",IF($G310&lt;=60,"Due 31-60","OK")))))</f>
        <v/>
      </c>
      <c r="I310" s="54"/>
      <c r="J310" s="54"/>
      <c r="K310" s="54"/>
      <c r="L310" s="54"/>
      <c r="M310" s="105">
        <f>IF($F310="","",$F310+ROW()/100000)</f>
        <v/>
      </c>
    </row>
    <row r="311" spans="1:13">
      <c r="A311" s="54"/>
      <c r="B311" s="54"/>
      <c r="C311" s="52"/>
      <c r="D311" s="83">
        <f>IF($B311="","",IFERROR(IF(VLOOKUP($B311,Reference!$A$6:$C$27,3,FALSE)&gt;0,VLOOKUP($B311,Reference!$A$6:$C$27,3,FALSE),""),""))</f>
        <v/>
      </c>
      <c r="E311" s="53"/>
      <c r="F311" s="82">
        <f>IF(OR($A311="",$B311="",NOT(ISNUMBER($C311))),"",IF(ISNUMBER($E311),IF($E311&gt;0,EDATE($C311,$E311),""),IF(ISNUMBER($D311),EDATE($C311,$D311),"")))</f>
        <v/>
      </c>
      <c r="G311" s="83">
        <f>IF($F311="","",$F311-TODAY())</f>
        <v/>
      </c>
      <c r="H311" s="85">
        <f>IF(OR($A311="",$B311=""),"",IF($F311="","No date",IF($G311&lt;0,"Overdue",IF($G311&lt;=30,"Due &lt;=30",IF($G311&lt;=60,"Due 31-60","OK")))))</f>
        <v/>
      </c>
      <c r="I311" s="54"/>
      <c r="J311" s="54"/>
      <c r="K311" s="54"/>
      <c r="L311" s="54"/>
      <c r="M311" s="105">
        <f>IF($F311="","",$F311+ROW()/100000)</f>
        <v/>
      </c>
    </row>
    <row r="312" spans="1:13">
      <c r="A312" s="54"/>
      <c r="B312" s="54"/>
      <c r="C312" s="52"/>
      <c r="D312" s="83">
        <f>IF($B312="","",IFERROR(IF(VLOOKUP($B312,Reference!$A$6:$C$27,3,FALSE)&gt;0,VLOOKUP($B312,Reference!$A$6:$C$27,3,FALSE),""),""))</f>
        <v/>
      </c>
      <c r="E312" s="53"/>
      <c r="F312" s="82">
        <f>IF(OR($A312="",$B312="",NOT(ISNUMBER($C312))),"",IF(ISNUMBER($E312),IF($E312&gt;0,EDATE($C312,$E312),""),IF(ISNUMBER($D312),EDATE($C312,$D312),"")))</f>
        <v/>
      </c>
      <c r="G312" s="83">
        <f>IF($F312="","",$F312-TODAY())</f>
        <v/>
      </c>
      <c r="H312" s="85">
        <f>IF(OR($A312="",$B312=""),"",IF($F312="","No date",IF($G312&lt;0,"Overdue",IF($G312&lt;=30,"Due &lt;=30",IF($G312&lt;=60,"Due 31-60","OK")))))</f>
        <v/>
      </c>
      <c r="I312" s="54"/>
      <c r="J312" s="54"/>
      <c r="K312" s="54"/>
      <c r="L312" s="54"/>
      <c r="M312" s="105">
        <f>IF($F312="","",$F312+ROW()/100000)</f>
        <v/>
      </c>
    </row>
    <row r="313" spans="1:13">
      <c r="A313" s="54"/>
      <c r="B313" s="54"/>
      <c r="C313" s="52"/>
      <c r="D313" s="83">
        <f>IF($B313="","",IFERROR(IF(VLOOKUP($B313,Reference!$A$6:$C$27,3,FALSE)&gt;0,VLOOKUP($B313,Reference!$A$6:$C$27,3,FALSE),""),""))</f>
        <v/>
      </c>
      <c r="E313" s="53"/>
      <c r="F313" s="82">
        <f>IF(OR($A313="",$B313="",NOT(ISNUMBER($C313))),"",IF(ISNUMBER($E313),IF($E313&gt;0,EDATE($C313,$E313),""),IF(ISNUMBER($D313),EDATE($C313,$D313),"")))</f>
        <v/>
      </c>
      <c r="G313" s="83">
        <f>IF($F313="","",$F313-TODAY())</f>
        <v/>
      </c>
      <c r="H313" s="85">
        <f>IF(OR($A313="",$B313=""),"",IF($F313="","No date",IF($G313&lt;0,"Overdue",IF($G313&lt;=30,"Due &lt;=30",IF($G313&lt;=60,"Due 31-60","OK")))))</f>
        <v/>
      </c>
      <c r="I313" s="54"/>
      <c r="J313" s="54"/>
      <c r="K313" s="54"/>
      <c r="L313" s="54"/>
      <c r="M313" s="105">
        <f>IF($F313="","",$F313+ROW()/100000)</f>
        <v/>
      </c>
    </row>
    <row r="314" spans="1:13">
      <c r="A314" s="54"/>
      <c r="B314" s="54"/>
      <c r="C314" s="52"/>
      <c r="D314" s="83">
        <f>IF($B314="","",IFERROR(IF(VLOOKUP($B314,Reference!$A$6:$C$27,3,FALSE)&gt;0,VLOOKUP($B314,Reference!$A$6:$C$27,3,FALSE),""),""))</f>
        <v/>
      </c>
      <c r="E314" s="53"/>
      <c r="F314" s="82">
        <f>IF(OR($A314="",$B314="",NOT(ISNUMBER($C314))),"",IF(ISNUMBER($E314),IF($E314&gt;0,EDATE($C314,$E314),""),IF(ISNUMBER($D314),EDATE($C314,$D314),"")))</f>
        <v/>
      </c>
      <c r="G314" s="83">
        <f>IF($F314="","",$F314-TODAY())</f>
        <v/>
      </c>
      <c r="H314" s="85">
        <f>IF(OR($A314="",$B314=""),"",IF($F314="","No date",IF($G314&lt;0,"Overdue",IF($G314&lt;=30,"Due &lt;=30",IF($G314&lt;=60,"Due 31-60","OK")))))</f>
        <v/>
      </c>
      <c r="I314" s="54"/>
      <c r="J314" s="54"/>
      <c r="K314" s="54"/>
      <c r="L314" s="54"/>
      <c r="M314" s="105">
        <f>IF($F314="","",$F314+ROW()/100000)</f>
        <v/>
      </c>
    </row>
    <row r="315" spans="1:13">
      <c r="A315" s="54"/>
      <c r="B315" s="54"/>
      <c r="C315" s="52"/>
      <c r="D315" s="83">
        <f>IF($B315="","",IFERROR(IF(VLOOKUP($B315,Reference!$A$6:$C$27,3,FALSE)&gt;0,VLOOKUP($B315,Reference!$A$6:$C$27,3,FALSE),""),""))</f>
        <v/>
      </c>
      <c r="E315" s="53"/>
      <c r="F315" s="82">
        <f>IF(OR($A315="",$B315="",NOT(ISNUMBER($C315))),"",IF(ISNUMBER($E315),IF($E315&gt;0,EDATE($C315,$E315),""),IF(ISNUMBER($D315),EDATE($C315,$D315),"")))</f>
        <v/>
      </c>
      <c r="G315" s="83">
        <f>IF($F315="","",$F315-TODAY())</f>
        <v/>
      </c>
      <c r="H315" s="85">
        <f>IF(OR($A315="",$B315=""),"",IF($F315="","No date",IF($G315&lt;0,"Overdue",IF($G315&lt;=30,"Due &lt;=30",IF($G315&lt;=60,"Due 31-60","OK")))))</f>
        <v/>
      </c>
      <c r="I315" s="54"/>
      <c r="J315" s="54"/>
      <c r="K315" s="54"/>
      <c r="L315" s="54"/>
      <c r="M315" s="105">
        <f>IF($F315="","",$F315+ROW()/100000)</f>
        <v/>
      </c>
    </row>
    <row r="316" spans="1:13">
      <c r="A316" s="54"/>
      <c r="B316" s="54"/>
      <c r="C316" s="52"/>
      <c r="D316" s="83">
        <f>IF($B316="","",IFERROR(IF(VLOOKUP($B316,Reference!$A$6:$C$27,3,FALSE)&gt;0,VLOOKUP($B316,Reference!$A$6:$C$27,3,FALSE),""),""))</f>
        <v/>
      </c>
      <c r="E316" s="53"/>
      <c r="F316" s="82">
        <f>IF(OR($A316="",$B316="",NOT(ISNUMBER($C316))),"",IF(ISNUMBER($E316),IF($E316&gt;0,EDATE($C316,$E316),""),IF(ISNUMBER($D316),EDATE($C316,$D316),"")))</f>
        <v/>
      </c>
      <c r="G316" s="83">
        <f>IF($F316="","",$F316-TODAY())</f>
        <v/>
      </c>
      <c r="H316" s="85">
        <f>IF(OR($A316="",$B316=""),"",IF($F316="","No date",IF($G316&lt;0,"Overdue",IF($G316&lt;=30,"Due &lt;=30",IF($G316&lt;=60,"Due 31-60","OK")))))</f>
        <v/>
      </c>
      <c r="I316" s="54"/>
      <c r="J316" s="54"/>
      <c r="K316" s="54"/>
      <c r="L316" s="54"/>
      <c r="M316" s="105">
        <f>IF($F316="","",$F316+ROW()/100000)</f>
        <v/>
      </c>
    </row>
    <row r="317" spans="1:13">
      <c r="A317" s="54"/>
      <c r="B317" s="54"/>
      <c r="C317" s="52"/>
      <c r="D317" s="83">
        <f>IF($B317="","",IFERROR(IF(VLOOKUP($B317,Reference!$A$6:$C$27,3,FALSE)&gt;0,VLOOKUP($B317,Reference!$A$6:$C$27,3,FALSE),""),""))</f>
        <v/>
      </c>
      <c r="E317" s="53"/>
      <c r="F317" s="82">
        <f>IF(OR($A317="",$B317="",NOT(ISNUMBER($C317))),"",IF(ISNUMBER($E317),IF($E317&gt;0,EDATE($C317,$E317),""),IF(ISNUMBER($D317),EDATE($C317,$D317),"")))</f>
        <v/>
      </c>
      <c r="G317" s="83">
        <f>IF($F317="","",$F317-TODAY())</f>
        <v/>
      </c>
      <c r="H317" s="85">
        <f>IF(OR($A317="",$B317=""),"",IF($F317="","No date",IF($G317&lt;0,"Overdue",IF($G317&lt;=30,"Due &lt;=30",IF($G317&lt;=60,"Due 31-60","OK")))))</f>
        <v/>
      </c>
      <c r="I317" s="54"/>
      <c r="J317" s="54"/>
      <c r="K317" s="54"/>
      <c r="L317" s="54"/>
      <c r="M317" s="105">
        <f>IF($F317="","",$F317+ROW()/100000)</f>
        <v/>
      </c>
    </row>
    <row r="318" spans="1:13">
      <c r="A318" s="54"/>
      <c r="B318" s="54"/>
      <c r="C318" s="52"/>
      <c r="D318" s="83">
        <f>IF($B318="","",IFERROR(IF(VLOOKUP($B318,Reference!$A$6:$C$27,3,FALSE)&gt;0,VLOOKUP($B318,Reference!$A$6:$C$27,3,FALSE),""),""))</f>
        <v/>
      </c>
      <c r="E318" s="53"/>
      <c r="F318" s="82">
        <f>IF(OR($A318="",$B318="",NOT(ISNUMBER($C318))),"",IF(ISNUMBER($E318),IF($E318&gt;0,EDATE($C318,$E318),""),IF(ISNUMBER($D318),EDATE($C318,$D318),"")))</f>
        <v/>
      </c>
      <c r="G318" s="83">
        <f>IF($F318="","",$F318-TODAY())</f>
        <v/>
      </c>
      <c r="H318" s="85">
        <f>IF(OR($A318="",$B318=""),"",IF($F318="","No date",IF($G318&lt;0,"Overdue",IF($G318&lt;=30,"Due &lt;=30",IF($G318&lt;=60,"Due 31-60","OK")))))</f>
        <v/>
      </c>
      <c r="I318" s="54"/>
      <c r="J318" s="54"/>
      <c r="K318" s="54"/>
      <c r="L318" s="54"/>
      <c r="M318" s="105">
        <f>IF($F318="","",$F318+ROW()/100000)</f>
        <v/>
      </c>
    </row>
    <row r="319" spans="1:13">
      <c r="A319" s="54"/>
      <c r="B319" s="54"/>
      <c r="C319" s="52"/>
      <c r="D319" s="83">
        <f>IF($B319="","",IFERROR(IF(VLOOKUP($B319,Reference!$A$6:$C$27,3,FALSE)&gt;0,VLOOKUP($B319,Reference!$A$6:$C$27,3,FALSE),""),""))</f>
        <v/>
      </c>
      <c r="E319" s="53"/>
      <c r="F319" s="82">
        <f>IF(OR($A319="",$B319="",NOT(ISNUMBER($C319))),"",IF(ISNUMBER($E319),IF($E319&gt;0,EDATE($C319,$E319),""),IF(ISNUMBER($D319),EDATE($C319,$D319),"")))</f>
        <v/>
      </c>
      <c r="G319" s="83">
        <f>IF($F319="","",$F319-TODAY())</f>
        <v/>
      </c>
      <c r="H319" s="85">
        <f>IF(OR($A319="",$B319=""),"",IF($F319="","No date",IF($G319&lt;0,"Overdue",IF($G319&lt;=30,"Due &lt;=30",IF($G319&lt;=60,"Due 31-60","OK")))))</f>
        <v/>
      </c>
      <c r="I319" s="54"/>
      <c r="J319" s="54"/>
      <c r="K319" s="54"/>
      <c r="L319" s="54"/>
      <c r="M319" s="105">
        <f>IF($F319="","",$F319+ROW()/100000)</f>
        <v/>
      </c>
    </row>
    <row r="320" spans="1:13">
      <c r="A320" s="54"/>
      <c r="B320" s="54"/>
      <c r="C320" s="52"/>
      <c r="D320" s="83">
        <f>IF($B320="","",IFERROR(IF(VLOOKUP($B320,Reference!$A$6:$C$27,3,FALSE)&gt;0,VLOOKUP($B320,Reference!$A$6:$C$27,3,FALSE),""),""))</f>
        <v/>
      </c>
      <c r="E320" s="53"/>
      <c r="F320" s="82">
        <f>IF(OR($A320="",$B320="",NOT(ISNUMBER($C320))),"",IF(ISNUMBER($E320),IF($E320&gt;0,EDATE($C320,$E320),""),IF(ISNUMBER($D320),EDATE($C320,$D320),"")))</f>
        <v/>
      </c>
      <c r="G320" s="83">
        <f>IF($F320="","",$F320-TODAY())</f>
        <v/>
      </c>
      <c r="H320" s="85">
        <f>IF(OR($A320="",$B320=""),"",IF($F320="","No date",IF($G320&lt;0,"Overdue",IF($G320&lt;=30,"Due &lt;=30",IF($G320&lt;=60,"Due 31-60","OK")))))</f>
        <v/>
      </c>
      <c r="I320" s="54"/>
      <c r="J320" s="54"/>
      <c r="K320" s="54"/>
      <c r="L320" s="54"/>
      <c r="M320" s="105">
        <f>IF($F320="","",$F320+ROW()/100000)</f>
        <v/>
      </c>
    </row>
    <row r="321" spans="1:13">
      <c r="A321" s="54"/>
      <c r="B321" s="54"/>
      <c r="C321" s="52"/>
      <c r="D321" s="83">
        <f>IF($B321="","",IFERROR(IF(VLOOKUP($B321,Reference!$A$6:$C$27,3,FALSE)&gt;0,VLOOKUP($B321,Reference!$A$6:$C$27,3,FALSE),""),""))</f>
        <v/>
      </c>
      <c r="E321" s="53"/>
      <c r="F321" s="82">
        <f>IF(OR($A321="",$B321="",NOT(ISNUMBER($C321))),"",IF(ISNUMBER($E321),IF($E321&gt;0,EDATE($C321,$E321),""),IF(ISNUMBER($D321),EDATE($C321,$D321),"")))</f>
        <v/>
      </c>
      <c r="G321" s="83">
        <f>IF($F321="","",$F321-TODAY())</f>
        <v/>
      </c>
      <c r="H321" s="85">
        <f>IF(OR($A321="",$B321=""),"",IF($F321="","No date",IF($G321&lt;0,"Overdue",IF($G321&lt;=30,"Due &lt;=30",IF($G321&lt;=60,"Due 31-60","OK")))))</f>
        <v/>
      </c>
      <c r="I321" s="54"/>
      <c r="J321" s="54"/>
      <c r="K321" s="54"/>
      <c r="L321" s="54"/>
      <c r="M321" s="105">
        <f>IF($F321="","",$F321+ROW()/100000)</f>
        <v/>
      </c>
    </row>
    <row r="322" spans="1:13">
      <c r="A322" s="54"/>
      <c r="B322" s="54"/>
      <c r="C322" s="52"/>
      <c r="D322" s="83">
        <f>IF($B322="","",IFERROR(IF(VLOOKUP($B322,Reference!$A$6:$C$27,3,FALSE)&gt;0,VLOOKUP($B322,Reference!$A$6:$C$27,3,FALSE),""),""))</f>
        <v/>
      </c>
      <c r="E322" s="53"/>
      <c r="F322" s="82">
        <f>IF(OR($A322="",$B322="",NOT(ISNUMBER($C322))),"",IF(ISNUMBER($E322),IF($E322&gt;0,EDATE($C322,$E322),""),IF(ISNUMBER($D322),EDATE($C322,$D322),"")))</f>
        <v/>
      </c>
      <c r="G322" s="83">
        <f>IF($F322="","",$F322-TODAY())</f>
        <v/>
      </c>
      <c r="H322" s="85">
        <f>IF(OR($A322="",$B322=""),"",IF($F322="","No date",IF($G322&lt;0,"Overdue",IF($G322&lt;=30,"Due &lt;=30",IF($G322&lt;=60,"Due 31-60","OK")))))</f>
        <v/>
      </c>
      <c r="I322" s="54"/>
      <c r="J322" s="54"/>
      <c r="K322" s="54"/>
      <c r="L322" s="54"/>
      <c r="M322" s="105">
        <f>IF($F322="","",$F322+ROW()/100000)</f>
        <v/>
      </c>
    </row>
    <row r="323" spans="1:13">
      <c r="A323" s="54"/>
      <c r="B323" s="54"/>
      <c r="C323" s="52"/>
      <c r="D323" s="83">
        <f>IF($B323="","",IFERROR(IF(VLOOKUP($B323,Reference!$A$6:$C$27,3,FALSE)&gt;0,VLOOKUP($B323,Reference!$A$6:$C$27,3,FALSE),""),""))</f>
        <v/>
      </c>
      <c r="E323" s="53"/>
      <c r="F323" s="82">
        <f>IF(OR($A323="",$B323="",NOT(ISNUMBER($C323))),"",IF(ISNUMBER($E323),IF($E323&gt;0,EDATE($C323,$E323),""),IF(ISNUMBER($D323),EDATE($C323,$D323),"")))</f>
        <v/>
      </c>
      <c r="G323" s="83">
        <f>IF($F323="","",$F323-TODAY())</f>
        <v/>
      </c>
      <c r="H323" s="85">
        <f>IF(OR($A323="",$B323=""),"",IF($F323="","No date",IF($G323&lt;0,"Overdue",IF($G323&lt;=30,"Due &lt;=30",IF($G323&lt;=60,"Due 31-60","OK")))))</f>
        <v/>
      </c>
      <c r="I323" s="54"/>
      <c r="J323" s="54"/>
      <c r="K323" s="54"/>
      <c r="L323" s="54"/>
      <c r="M323" s="105">
        <f>IF($F323="","",$F323+ROW()/100000)</f>
        <v/>
      </c>
    </row>
    <row r="324" spans="1:13">
      <c r="A324" s="54"/>
      <c r="B324" s="54"/>
      <c r="C324" s="52"/>
      <c r="D324" s="83">
        <f>IF($B324="","",IFERROR(IF(VLOOKUP($B324,Reference!$A$6:$C$27,3,FALSE)&gt;0,VLOOKUP($B324,Reference!$A$6:$C$27,3,FALSE),""),""))</f>
        <v/>
      </c>
      <c r="E324" s="53"/>
      <c r="F324" s="82">
        <f>IF(OR($A324="",$B324="",NOT(ISNUMBER($C324))),"",IF(ISNUMBER($E324),IF($E324&gt;0,EDATE($C324,$E324),""),IF(ISNUMBER($D324),EDATE($C324,$D324),"")))</f>
        <v/>
      </c>
      <c r="G324" s="83">
        <f>IF($F324="","",$F324-TODAY())</f>
        <v/>
      </c>
      <c r="H324" s="85">
        <f>IF(OR($A324="",$B324=""),"",IF($F324="","No date",IF($G324&lt;0,"Overdue",IF($G324&lt;=30,"Due &lt;=30",IF($G324&lt;=60,"Due 31-60","OK")))))</f>
        <v/>
      </c>
      <c r="I324" s="54"/>
      <c r="J324" s="54"/>
      <c r="K324" s="54"/>
      <c r="L324" s="54"/>
      <c r="M324" s="105">
        <f>IF($F324="","",$F324+ROW()/100000)</f>
        <v/>
      </c>
    </row>
    <row r="325" spans="1:13">
      <c r="A325" s="54"/>
      <c r="B325" s="54"/>
      <c r="C325" s="52"/>
      <c r="D325" s="83">
        <f>IF($B325="","",IFERROR(IF(VLOOKUP($B325,Reference!$A$6:$C$27,3,FALSE)&gt;0,VLOOKUP($B325,Reference!$A$6:$C$27,3,FALSE),""),""))</f>
        <v/>
      </c>
      <c r="E325" s="53"/>
      <c r="F325" s="82">
        <f>IF(OR($A325="",$B325="",NOT(ISNUMBER($C325))),"",IF(ISNUMBER($E325),IF($E325&gt;0,EDATE($C325,$E325),""),IF(ISNUMBER($D325),EDATE($C325,$D325),"")))</f>
        <v/>
      </c>
      <c r="G325" s="83">
        <f>IF($F325="","",$F325-TODAY())</f>
        <v/>
      </c>
      <c r="H325" s="85">
        <f>IF(OR($A325="",$B325=""),"",IF($F325="","No date",IF($G325&lt;0,"Overdue",IF($G325&lt;=30,"Due &lt;=30",IF($G325&lt;=60,"Due 31-60","OK")))))</f>
        <v/>
      </c>
      <c r="I325" s="54"/>
      <c r="J325" s="54"/>
      <c r="K325" s="54"/>
      <c r="L325" s="54"/>
      <c r="M325" s="105">
        <f>IF($F325="","",$F325+ROW()/100000)</f>
        <v/>
      </c>
    </row>
    <row r="326" spans="1:13">
      <c r="A326" s="54"/>
      <c r="B326" s="54"/>
      <c r="C326" s="52"/>
      <c r="D326" s="83">
        <f>IF($B326="","",IFERROR(IF(VLOOKUP($B326,Reference!$A$6:$C$27,3,FALSE)&gt;0,VLOOKUP($B326,Reference!$A$6:$C$27,3,FALSE),""),""))</f>
        <v/>
      </c>
      <c r="E326" s="53"/>
      <c r="F326" s="82">
        <f>IF(OR($A326="",$B326="",NOT(ISNUMBER($C326))),"",IF(ISNUMBER($E326),IF($E326&gt;0,EDATE($C326,$E326),""),IF(ISNUMBER($D326),EDATE($C326,$D326),"")))</f>
        <v/>
      </c>
      <c r="G326" s="83">
        <f>IF($F326="","",$F326-TODAY())</f>
        <v/>
      </c>
      <c r="H326" s="85">
        <f>IF(OR($A326="",$B326=""),"",IF($F326="","No date",IF($G326&lt;0,"Overdue",IF($G326&lt;=30,"Due &lt;=30",IF($G326&lt;=60,"Due 31-60","OK")))))</f>
        <v/>
      </c>
      <c r="I326" s="54"/>
      <c r="J326" s="54"/>
      <c r="K326" s="54"/>
      <c r="L326" s="54"/>
      <c r="M326" s="105">
        <f>IF($F326="","",$F326+ROW()/100000)</f>
        <v/>
      </c>
    </row>
    <row r="327" spans="1:13">
      <c r="A327" s="54"/>
      <c r="B327" s="54"/>
      <c r="C327" s="52"/>
      <c r="D327" s="83">
        <f>IF($B327="","",IFERROR(IF(VLOOKUP($B327,Reference!$A$6:$C$27,3,FALSE)&gt;0,VLOOKUP($B327,Reference!$A$6:$C$27,3,FALSE),""),""))</f>
        <v/>
      </c>
      <c r="E327" s="53"/>
      <c r="F327" s="82">
        <f>IF(OR($A327="",$B327="",NOT(ISNUMBER($C327))),"",IF(ISNUMBER($E327),IF($E327&gt;0,EDATE($C327,$E327),""),IF(ISNUMBER($D327),EDATE($C327,$D327),"")))</f>
        <v/>
      </c>
      <c r="G327" s="83">
        <f>IF($F327="","",$F327-TODAY())</f>
        <v/>
      </c>
      <c r="H327" s="85">
        <f>IF(OR($A327="",$B327=""),"",IF($F327="","No date",IF($G327&lt;0,"Overdue",IF($G327&lt;=30,"Due &lt;=30",IF($G327&lt;=60,"Due 31-60","OK")))))</f>
        <v/>
      </c>
      <c r="I327" s="54"/>
      <c r="J327" s="54"/>
      <c r="K327" s="54"/>
      <c r="L327" s="54"/>
      <c r="M327" s="105">
        <f>IF($F327="","",$F327+ROW()/100000)</f>
        <v/>
      </c>
    </row>
    <row r="328" spans="1:13">
      <c r="A328" s="54"/>
      <c r="B328" s="54"/>
      <c r="C328" s="52"/>
      <c r="D328" s="83">
        <f>IF($B328="","",IFERROR(IF(VLOOKUP($B328,Reference!$A$6:$C$27,3,FALSE)&gt;0,VLOOKUP($B328,Reference!$A$6:$C$27,3,FALSE),""),""))</f>
        <v/>
      </c>
      <c r="E328" s="53"/>
      <c r="F328" s="82">
        <f>IF(OR($A328="",$B328="",NOT(ISNUMBER($C328))),"",IF(ISNUMBER($E328),IF($E328&gt;0,EDATE($C328,$E328),""),IF(ISNUMBER($D328),EDATE($C328,$D328),"")))</f>
        <v/>
      </c>
      <c r="G328" s="83">
        <f>IF($F328="","",$F328-TODAY())</f>
        <v/>
      </c>
      <c r="H328" s="85">
        <f>IF(OR($A328="",$B328=""),"",IF($F328="","No date",IF($G328&lt;0,"Overdue",IF($G328&lt;=30,"Due &lt;=30",IF($G328&lt;=60,"Due 31-60","OK")))))</f>
        <v/>
      </c>
      <c r="I328" s="54"/>
      <c r="J328" s="54"/>
      <c r="K328" s="54"/>
      <c r="L328" s="54"/>
      <c r="M328" s="105">
        <f>IF($F328="","",$F328+ROW()/100000)</f>
        <v/>
      </c>
    </row>
    <row r="329" spans="1:13">
      <c r="A329" s="54"/>
      <c r="B329" s="54"/>
      <c r="C329" s="52"/>
      <c r="D329" s="83">
        <f>IF($B329="","",IFERROR(IF(VLOOKUP($B329,Reference!$A$6:$C$27,3,FALSE)&gt;0,VLOOKUP($B329,Reference!$A$6:$C$27,3,FALSE),""),""))</f>
        <v/>
      </c>
      <c r="E329" s="53"/>
      <c r="F329" s="82">
        <f>IF(OR($A329="",$B329="",NOT(ISNUMBER($C329))),"",IF(ISNUMBER($E329),IF($E329&gt;0,EDATE($C329,$E329),""),IF(ISNUMBER($D329),EDATE($C329,$D329),"")))</f>
        <v/>
      </c>
      <c r="G329" s="83">
        <f>IF($F329="","",$F329-TODAY())</f>
        <v/>
      </c>
      <c r="H329" s="85">
        <f>IF(OR($A329="",$B329=""),"",IF($F329="","No date",IF($G329&lt;0,"Overdue",IF($G329&lt;=30,"Due &lt;=30",IF($G329&lt;=60,"Due 31-60","OK")))))</f>
        <v/>
      </c>
      <c r="I329" s="54"/>
      <c r="J329" s="54"/>
      <c r="K329" s="54"/>
      <c r="L329" s="54"/>
      <c r="M329" s="105">
        <f>IF($F329="","",$F329+ROW()/100000)</f>
        <v/>
      </c>
    </row>
    <row r="330" spans="1:13">
      <c r="A330" s="54"/>
      <c r="B330" s="54"/>
      <c r="C330" s="52"/>
      <c r="D330" s="83">
        <f>IF($B330="","",IFERROR(IF(VLOOKUP($B330,Reference!$A$6:$C$27,3,FALSE)&gt;0,VLOOKUP($B330,Reference!$A$6:$C$27,3,FALSE),""),""))</f>
        <v/>
      </c>
      <c r="E330" s="53"/>
      <c r="F330" s="82">
        <f>IF(OR($A330="",$B330="",NOT(ISNUMBER($C330))),"",IF(ISNUMBER($E330),IF($E330&gt;0,EDATE($C330,$E330),""),IF(ISNUMBER($D330),EDATE($C330,$D330),"")))</f>
        <v/>
      </c>
      <c r="G330" s="83">
        <f>IF($F330="","",$F330-TODAY())</f>
        <v/>
      </c>
      <c r="H330" s="85">
        <f>IF(OR($A330="",$B330=""),"",IF($F330="","No date",IF($G330&lt;0,"Overdue",IF($G330&lt;=30,"Due &lt;=30",IF($G330&lt;=60,"Due 31-60","OK")))))</f>
        <v/>
      </c>
      <c r="I330" s="54"/>
      <c r="J330" s="54"/>
      <c r="K330" s="54"/>
      <c r="L330" s="54"/>
      <c r="M330" s="105">
        <f>IF($F330="","",$F330+ROW()/100000)</f>
        <v/>
      </c>
    </row>
    <row r="331" spans="1:13">
      <c r="A331" s="54"/>
      <c r="B331" s="54"/>
      <c r="C331" s="52"/>
      <c r="D331" s="83">
        <f>IF($B331="","",IFERROR(IF(VLOOKUP($B331,Reference!$A$6:$C$27,3,FALSE)&gt;0,VLOOKUP($B331,Reference!$A$6:$C$27,3,FALSE),""),""))</f>
        <v/>
      </c>
      <c r="E331" s="53"/>
      <c r="F331" s="82">
        <f>IF(OR($A331="",$B331="",NOT(ISNUMBER($C331))),"",IF(ISNUMBER($E331),IF($E331&gt;0,EDATE($C331,$E331),""),IF(ISNUMBER($D331),EDATE($C331,$D331),"")))</f>
        <v/>
      </c>
      <c r="G331" s="83">
        <f>IF($F331="","",$F331-TODAY())</f>
        <v/>
      </c>
      <c r="H331" s="85">
        <f>IF(OR($A331="",$B331=""),"",IF($F331="","No date",IF($G331&lt;0,"Overdue",IF($G331&lt;=30,"Due &lt;=30",IF($G331&lt;=60,"Due 31-60","OK")))))</f>
        <v/>
      </c>
      <c r="I331" s="54"/>
      <c r="J331" s="54"/>
      <c r="K331" s="54"/>
      <c r="L331" s="54"/>
      <c r="M331" s="105">
        <f>IF($F331="","",$F331+ROW()/100000)</f>
        <v/>
      </c>
    </row>
    <row r="332" spans="1:13">
      <c r="A332" s="54"/>
      <c r="B332" s="54"/>
      <c r="C332" s="52"/>
      <c r="D332" s="83">
        <f>IF($B332="","",IFERROR(IF(VLOOKUP($B332,Reference!$A$6:$C$27,3,FALSE)&gt;0,VLOOKUP($B332,Reference!$A$6:$C$27,3,FALSE),""),""))</f>
        <v/>
      </c>
      <c r="E332" s="53"/>
      <c r="F332" s="82">
        <f>IF(OR($A332="",$B332="",NOT(ISNUMBER($C332))),"",IF(ISNUMBER($E332),IF($E332&gt;0,EDATE($C332,$E332),""),IF(ISNUMBER($D332),EDATE($C332,$D332),"")))</f>
        <v/>
      </c>
      <c r="G332" s="83">
        <f>IF($F332="","",$F332-TODAY())</f>
        <v/>
      </c>
      <c r="H332" s="85">
        <f>IF(OR($A332="",$B332=""),"",IF($F332="","No date",IF($G332&lt;0,"Overdue",IF($G332&lt;=30,"Due &lt;=30",IF($G332&lt;=60,"Due 31-60","OK")))))</f>
        <v/>
      </c>
      <c r="I332" s="54"/>
      <c r="J332" s="54"/>
      <c r="K332" s="54"/>
      <c r="L332" s="54"/>
      <c r="M332" s="105">
        <f>IF($F332="","",$F332+ROW()/100000)</f>
        <v/>
      </c>
    </row>
    <row r="333" spans="1:13">
      <c r="A333" s="54"/>
      <c r="B333" s="54"/>
      <c r="C333" s="52"/>
      <c r="D333" s="83">
        <f>IF($B333="","",IFERROR(IF(VLOOKUP($B333,Reference!$A$6:$C$27,3,FALSE)&gt;0,VLOOKUP($B333,Reference!$A$6:$C$27,3,FALSE),""),""))</f>
        <v/>
      </c>
      <c r="E333" s="53"/>
      <c r="F333" s="82">
        <f>IF(OR($A333="",$B333="",NOT(ISNUMBER($C333))),"",IF(ISNUMBER($E333),IF($E333&gt;0,EDATE($C333,$E333),""),IF(ISNUMBER($D333),EDATE($C333,$D333),"")))</f>
        <v/>
      </c>
      <c r="G333" s="83">
        <f>IF($F333="","",$F333-TODAY())</f>
        <v/>
      </c>
      <c r="H333" s="85">
        <f>IF(OR($A333="",$B333=""),"",IF($F333="","No date",IF($G333&lt;0,"Overdue",IF($G333&lt;=30,"Due &lt;=30",IF($G333&lt;=60,"Due 31-60","OK")))))</f>
        <v/>
      </c>
      <c r="I333" s="54"/>
      <c r="J333" s="54"/>
      <c r="K333" s="54"/>
      <c r="L333" s="54"/>
      <c r="M333" s="105">
        <f>IF($F333="","",$F333+ROW()/100000)</f>
        <v/>
      </c>
    </row>
    <row r="334" spans="1:13">
      <c r="A334" s="54"/>
      <c r="B334" s="54"/>
      <c r="C334" s="52"/>
      <c r="D334" s="83">
        <f>IF($B334="","",IFERROR(IF(VLOOKUP($B334,Reference!$A$6:$C$27,3,FALSE)&gt;0,VLOOKUP($B334,Reference!$A$6:$C$27,3,FALSE),""),""))</f>
        <v/>
      </c>
      <c r="E334" s="53"/>
      <c r="F334" s="82">
        <f>IF(OR($A334="",$B334="",NOT(ISNUMBER($C334))),"",IF(ISNUMBER($E334),IF($E334&gt;0,EDATE($C334,$E334),""),IF(ISNUMBER($D334),EDATE($C334,$D334),"")))</f>
        <v/>
      </c>
      <c r="G334" s="83">
        <f>IF($F334="","",$F334-TODAY())</f>
        <v/>
      </c>
      <c r="H334" s="85">
        <f>IF(OR($A334="",$B334=""),"",IF($F334="","No date",IF($G334&lt;0,"Overdue",IF($G334&lt;=30,"Due &lt;=30",IF($G334&lt;=60,"Due 31-60","OK")))))</f>
        <v/>
      </c>
      <c r="I334" s="54"/>
      <c r="J334" s="54"/>
      <c r="K334" s="54"/>
      <c r="L334" s="54"/>
      <c r="M334" s="105">
        <f>IF($F334="","",$F334+ROW()/100000)</f>
        <v/>
      </c>
    </row>
    <row r="335" spans="1:13">
      <c r="A335" s="54"/>
      <c r="B335" s="54"/>
      <c r="C335" s="52"/>
      <c r="D335" s="83">
        <f>IF($B335="","",IFERROR(IF(VLOOKUP($B335,Reference!$A$6:$C$27,3,FALSE)&gt;0,VLOOKUP($B335,Reference!$A$6:$C$27,3,FALSE),""),""))</f>
        <v/>
      </c>
      <c r="E335" s="53"/>
      <c r="F335" s="82">
        <f>IF(OR($A335="",$B335="",NOT(ISNUMBER($C335))),"",IF(ISNUMBER($E335),IF($E335&gt;0,EDATE($C335,$E335),""),IF(ISNUMBER($D335),EDATE($C335,$D335),"")))</f>
        <v/>
      </c>
      <c r="G335" s="83">
        <f>IF($F335="","",$F335-TODAY())</f>
        <v/>
      </c>
      <c r="H335" s="85">
        <f>IF(OR($A335="",$B335=""),"",IF($F335="","No date",IF($G335&lt;0,"Overdue",IF($G335&lt;=30,"Due &lt;=30",IF($G335&lt;=60,"Due 31-60","OK")))))</f>
        <v/>
      </c>
      <c r="I335" s="54"/>
      <c r="J335" s="54"/>
      <c r="K335" s="54"/>
      <c r="L335" s="54"/>
      <c r="M335" s="105">
        <f>IF($F335="","",$F335+ROW()/100000)</f>
        <v/>
      </c>
    </row>
    <row r="336" spans="1:13">
      <c r="A336" s="54"/>
      <c r="B336" s="54"/>
      <c r="C336" s="52"/>
      <c r="D336" s="83">
        <f>IF($B336="","",IFERROR(IF(VLOOKUP($B336,Reference!$A$6:$C$27,3,FALSE)&gt;0,VLOOKUP($B336,Reference!$A$6:$C$27,3,FALSE),""),""))</f>
        <v/>
      </c>
      <c r="E336" s="53"/>
      <c r="F336" s="82">
        <f>IF(OR($A336="",$B336="",NOT(ISNUMBER($C336))),"",IF(ISNUMBER($E336),IF($E336&gt;0,EDATE($C336,$E336),""),IF(ISNUMBER($D336),EDATE($C336,$D336),"")))</f>
        <v/>
      </c>
      <c r="G336" s="83">
        <f>IF($F336="","",$F336-TODAY())</f>
        <v/>
      </c>
      <c r="H336" s="85">
        <f>IF(OR($A336="",$B336=""),"",IF($F336="","No date",IF($G336&lt;0,"Overdue",IF($G336&lt;=30,"Due &lt;=30",IF($G336&lt;=60,"Due 31-60","OK")))))</f>
        <v/>
      </c>
      <c r="I336" s="54"/>
      <c r="J336" s="54"/>
      <c r="K336" s="54"/>
      <c r="L336" s="54"/>
      <c r="M336" s="105">
        <f>IF($F336="","",$F336+ROW()/100000)</f>
        <v/>
      </c>
    </row>
    <row r="337" spans="1:13">
      <c r="A337" s="54"/>
      <c r="B337" s="54"/>
      <c r="C337" s="52"/>
      <c r="D337" s="83">
        <f>IF($B337="","",IFERROR(IF(VLOOKUP($B337,Reference!$A$6:$C$27,3,FALSE)&gt;0,VLOOKUP($B337,Reference!$A$6:$C$27,3,FALSE),""),""))</f>
        <v/>
      </c>
      <c r="E337" s="53"/>
      <c r="F337" s="82">
        <f>IF(OR($A337="",$B337="",NOT(ISNUMBER($C337))),"",IF(ISNUMBER($E337),IF($E337&gt;0,EDATE($C337,$E337),""),IF(ISNUMBER($D337),EDATE($C337,$D337),"")))</f>
        <v/>
      </c>
      <c r="G337" s="83">
        <f>IF($F337="","",$F337-TODAY())</f>
        <v/>
      </c>
      <c r="H337" s="85">
        <f>IF(OR($A337="",$B337=""),"",IF($F337="","No date",IF($G337&lt;0,"Overdue",IF($G337&lt;=30,"Due &lt;=30",IF($G337&lt;=60,"Due 31-60","OK")))))</f>
        <v/>
      </c>
      <c r="I337" s="54"/>
      <c r="J337" s="54"/>
      <c r="K337" s="54"/>
      <c r="L337" s="54"/>
      <c r="M337" s="105">
        <f>IF($F337="","",$F337+ROW()/100000)</f>
        <v/>
      </c>
    </row>
    <row r="338" spans="1:13">
      <c r="A338" s="54"/>
      <c r="B338" s="54"/>
      <c r="C338" s="52"/>
      <c r="D338" s="83">
        <f>IF($B338="","",IFERROR(IF(VLOOKUP($B338,Reference!$A$6:$C$27,3,FALSE)&gt;0,VLOOKUP($B338,Reference!$A$6:$C$27,3,FALSE),""),""))</f>
        <v/>
      </c>
      <c r="E338" s="53"/>
      <c r="F338" s="82">
        <f>IF(OR($A338="",$B338="",NOT(ISNUMBER($C338))),"",IF(ISNUMBER($E338),IF($E338&gt;0,EDATE($C338,$E338),""),IF(ISNUMBER($D338),EDATE($C338,$D338),"")))</f>
        <v/>
      </c>
      <c r="G338" s="83">
        <f>IF($F338="","",$F338-TODAY())</f>
        <v/>
      </c>
      <c r="H338" s="85">
        <f>IF(OR($A338="",$B338=""),"",IF($F338="","No date",IF($G338&lt;0,"Overdue",IF($G338&lt;=30,"Due &lt;=30",IF($G338&lt;=60,"Due 31-60","OK")))))</f>
        <v/>
      </c>
      <c r="I338" s="54"/>
      <c r="J338" s="54"/>
      <c r="K338" s="54"/>
      <c r="L338" s="54"/>
      <c r="M338" s="105">
        <f>IF($F338="","",$F338+ROW()/100000)</f>
        <v/>
      </c>
    </row>
    <row r="339" spans="1:13">
      <c r="A339" s="54"/>
      <c r="B339" s="54"/>
      <c r="C339" s="52"/>
      <c r="D339" s="83">
        <f>IF($B339="","",IFERROR(IF(VLOOKUP($B339,Reference!$A$6:$C$27,3,FALSE)&gt;0,VLOOKUP($B339,Reference!$A$6:$C$27,3,FALSE),""),""))</f>
        <v/>
      </c>
      <c r="E339" s="53"/>
      <c r="F339" s="82">
        <f>IF(OR($A339="",$B339="",NOT(ISNUMBER($C339))),"",IF(ISNUMBER($E339),IF($E339&gt;0,EDATE($C339,$E339),""),IF(ISNUMBER($D339),EDATE($C339,$D339),"")))</f>
        <v/>
      </c>
      <c r="G339" s="83">
        <f>IF($F339="","",$F339-TODAY())</f>
        <v/>
      </c>
      <c r="H339" s="85">
        <f>IF(OR($A339="",$B339=""),"",IF($F339="","No date",IF($G339&lt;0,"Overdue",IF($G339&lt;=30,"Due &lt;=30",IF($G339&lt;=60,"Due 31-60","OK")))))</f>
        <v/>
      </c>
      <c r="I339" s="54"/>
      <c r="J339" s="54"/>
      <c r="K339" s="54"/>
      <c r="L339" s="54"/>
      <c r="M339" s="105">
        <f>IF($F339="","",$F339+ROW()/100000)</f>
        <v/>
      </c>
    </row>
    <row r="340" spans="1:13">
      <c r="A340" s="54"/>
      <c r="B340" s="54"/>
      <c r="C340" s="52"/>
      <c r="D340" s="83">
        <f>IF($B340="","",IFERROR(IF(VLOOKUP($B340,Reference!$A$6:$C$27,3,FALSE)&gt;0,VLOOKUP($B340,Reference!$A$6:$C$27,3,FALSE),""),""))</f>
        <v/>
      </c>
      <c r="E340" s="53"/>
      <c r="F340" s="82">
        <f>IF(OR($A340="",$B340="",NOT(ISNUMBER($C340))),"",IF(ISNUMBER($E340),IF($E340&gt;0,EDATE($C340,$E340),""),IF(ISNUMBER($D340),EDATE($C340,$D340),"")))</f>
        <v/>
      </c>
      <c r="G340" s="83">
        <f>IF($F340="","",$F340-TODAY())</f>
        <v/>
      </c>
      <c r="H340" s="85">
        <f>IF(OR($A340="",$B340=""),"",IF($F340="","No date",IF($G340&lt;0,"Overdue",IF($G340&lt;=30,"Due &lt;=30",IF($G340&lt;=60,"Due 31-60","OK")))))</f>
        <v/>
      </c>
      <c r="I340" s="54"/>
      <c r="J340" s="54"/>
      <c r="K340" s="54"/>
      <c r="L340" s="54"/>
      <c r="M340" s="105">
        <f>IF($F340="","",$F340+ROW()/100000)</f>
        <v/>
      </c>
    </row>
    <row r="341" spans="1:13">
      <c r="A341" s="54"/>
      <c r="B341" s="54"/>
      <c r="C341" s="52"/>
      <c r="D341" s="83">
        <f>IF($B341="","",IFERROR(IF(VLOOKUP($B341,Reference!$A$6:$C$27,3,FALSE)&gt;0,VLOOKUP($B341,Reference!$A$6:$C$27,3,FALSE),""),""))</f>
        <v/>
      </c>
      <c r="E341" s="53"/>
      <c r="F341" s="82">
        <f>IF(OR($A341="",$B341="",NOT(ISNUMBER($C341))),"",IF(ISNUMBER($E341),IF($E341&gt;0,EDATE($C341,$E341),""),IF(ISNUMBER($D341),EDATE($C341,$D341),"")))</f>
        <v/>
      </c>
      <c r="G341" s="83">
        <f>IF($F341="","",$F341-TODAY())</f>
        <v/>
      </c>
      <c r="H341" s="85">
        <f>IF(OR($A341="",$B341=""),"",IF($F341="","No date",IF($G341&lt;0,"Overdue",IF($G341&lt;=30,"Due &lt;=30",IF($G341&lt;=60,"Due 31-60","OK")))))</f>
        <v/>
      </c>
      <c r="I341" s="54"/>
      <c r="J341" s="54"/>
      <c r="K341" s="54"/>
      <c r="L341" s="54"/>
      <c r="M341" s="105">
        <f>IF($F341="","",$F341+ROW()/100000)</f>
        <v/>
      </c>
    </row>
    <row r="342" spans="1:13">
      <c r="A342" s="54"/>
      <c r="B342" s="54"/>
      <c r="C342" s="52"/>
      <c r="D342" s="83">
        <f>IF($B342="","",IFERROR(IF(VLOOKUP($B342,Reference!$A$6:$C$27,3,FALSE)&gt;0,VLOOKUP($B342,Reference!$A$6:$C$27,3,FALSE),""),""))</f>
        <v/>
      </c>
      <c r="E342" s="53"/>
      <c r="F342" s="82">
        <f>IF(OR($A342="",$B342="",NOT(ISNUMBER($C342))),"",IF(ISNUMBER($E342),IF($E342&gt;0,EDATE($C342,$E342),""),IF(ISNUMBER($D342),EDATE($C342,$D342),"")))</f>
        <v/>
      </c>
      <c r="G342" s="83">
        <f>IF($F342="","",$F342-TODAY())</f>
        <v/>
      </c>
      <c r="H342" s="85">
        <f>IF(OR($A342="",$B342=""),"",IF($F342="","No date",IF($G342&lt;0,"Overdue",IF($G342&lt;=30,"Due &lt;=30",IF($G342&lt;=60,"Due 31-60","OK")))))</f>
        <v/>
      </c>
      <c r="I342" s="54"/>
      <c r="J342" s="54"/>
      <c r="K342" s="54"/>
      <c r="L342" s="54"/>
      <c r="M342" s="105">
        <f>IF($F342="","",$F342+ROW()/100000)</f>
        <v/>
      </c>
    </row>
    <row r="343" spans="1:13">
      <c r="A343" s="54"/>
      <c r="B343" s="54"/>
      <c r="C343" s="52"/>
      <c r="D343" s="83">
        <f>IF($B343="","",IFERROR(IF(VLOOKUP($B343,Reference!$A$6:$C$27,3,FALSE)&gt;0,VLOOKUP($B343,Reference!$A$6:$C$27,3,FALSE),""),""))</f>
        <v/>
      </c>
      <c r="E343" s="53"/>
      <c r="F343" s="82">
        <f>IF(OR($A343="",$B343="",NOT(ISNUMBER($C343))),"",IF(ISNUMBER($E343),IF($E343&gt;0,EDATE($C343,$E343),""),IF(ISNUMBER($D343),EDATE($C343,$D343),"")))</f>
        <v/>
      </c>
      <c r="G343" s="83">
        <f>IF($F343="","",$F343-TODAY())</f>
        <v/>
      </c>
      <c r="H343" s="85">
        <f>IF(OR($A343="",$B343=""),"",IF($F343="","No date",IF($G343&lt;0,"Overdue",IF($G343&lt;=30,"Due &lt;=30",IF($G343&lt;=60,"Due 31-60","OK")))))</f>
        <v/>
      </c>
      <c r="I343" s="54"/>
      <c r="J343" s="54"/>
      <c r="K343" s="54"/>
      <c r="L343" s="54"/>
      <c r="M343" s="105">
        <f>IF($F343="","",$F343+ROW()/100000)</f>
        <v/>
      </c>
    </row>
    <row r="344" spans="1:13">
      <c r="A344" s="54"/>
      <c r="B344" s="54"/>
      <c r="C344" s="52"/>
      <c r="D344" s="83">
        <f>IF($B344="","",IFERROR(IF(VLOOKUP($B344,Reference!$A$6:$C$27,3,FALSE)&gt;0,VLOOKUP($B344,Reference!$A$6:$C$27,3,FALSE),""),""))</f>
        <v/>
      </c>
      <c r="E344" s="53"/>
      <c r="F344" s="82">
        <f>IF(OR($A344="",$B344="",NOT(ISNUMBER($C344))),"",IF(ISNUMBER($E344),IF($E344&gt;0,EDATE($C344,$E344),""),IF(ISNUMBER($D344),EDATE($C344,$D344),"")))</f>
        <v/>
      </c>
      <c r="G344" s="83">
        <f>IF($F344="","",$F344-TODAY())</f>
        <v/>
      </c>
      <c r="H344" s="85">
        <f>IF(OR($A344="",$B344=""),"",IF($F344="","No date",IF($G344&lt;0,"Overdue",IF($G344&lt;=30,"Due &lt;=30",IF($G344&lt;=60,"Due 31-60","OK")))))</f>
        <v/>
      </c>
      <c r="I344" s="54"/>
      <c r="J344" s="54"/>
      <c r="K344" s="54"/>
      <c r="L344" s="54"/>
      <c r="M344" s="105">
        <f>IF($F344="","",$F344+ROW()/100000)</f>
        <v/>
      </c>
    </row>
    <row r="345" spans="1:13">
      <c r="A345" s="54"/>
      <c r="B345" s="54"/>
      <c r="C345" s="52"/>
      <c r="D345" s="83">
        <f>IF($B345="","",IFERROR(IF(VLOOKUP($B345,Reference!$A$6:$C$27,3,FALSE)&gt;0,VLOOKUP($B345,Reference!$A$6:$C$27,3,FALSE),""),""))</f>
        <v/>
      </c>
      <c r="E345" s="53"/>
      <c r="F345" s="82">
        <f>IF(OR($A345="",$B345="",NOT(ISNUMBER($C345))),"",IF(ISNUMBER($E345),IF($E345&gt;0,EDATE($C345,$E345),""),IF(ISNUMBER($D345),EDATE($C345,$D345),"")))</f>
        <v/>
      </c>
      <c r="G345" s="83">
        <f>IF($F345="","",$F345-TODAY())</f>
        <v/>
      </c>
      <c r="H345" s="85">
        <f>IF(OR($A345="",$B345=""),"",IF($F345="","No date",IF($G345&lt;0,"Overdue",IF($G345&lt;=30,"Due &lt;=30",IF($G345&lt;=60,"Due 31-60","OK")))))</f>
        <v/>
      </c>
      <c r="I345" s="54"/>
      <c r="J345" s="54"/>
      <c r="K345" s="54"/>
      <c r="L345" s="54"/>
      <c r="M345" s="105">
        <f>IF($F345="","",$F345+ROW()/100000)</f>
        <v/>
      </c>
    </row>
    <row r="346" spans="1:13">
      <c r="A346" s="54"/>
      <c r="B346" s="54"/>
      <c r="C346" s="52"/>
      <c r="D346" s="83">
        <f>IF($B346="","",IFERROR(IF(VLOOKUP($B346,Reference!$A$6:$C$27,3,FALSE)&gt;0,VLOOKUP($B346,Reference!$A$6:$C$27,3,FALSE),""),""))</f>
        <v/>
      </c>
      <c r="E346" s="53"/>
      <c r="F346" s="82">
        <f>IF(OR($A346="",$B346="",NOT(ISNUMBER($C346))),"",IF(ISNUMBER($E346),IF($E346&gt;0,EDATE($C346,$E346),""),IF(ISNUMBER($D346),EDATE($C346,$D346),"")))</f>
        <v/>
      </c>
      <c r="G346" s="83">
        <f>IF($F346="","",$F346-TODAY())</f>
        <v/>
      </c>
      <c r="H346" s="85">
        <f>IF(OR($A346="",$B346=""),"",IF($F346="","No date",IF($G346&lt;0,"Overdue",IF($G346&lt;=30,"Due &lt;=30",IF($G346&lt;=60,"Due 31-60","OK")))))</f>
        <v/>
      </c>
      <c r="I346" s="54"/>
      <c r="J346" s="54"/>
      <c r="K346" s="54"/>
      <c r="L346" s="54"/>
      <c r="M346" s="105">
        <f>IF($F346="","",$F346+ROW()/100000)</f>
        <v/>
      </c>
    </row>
    <row r="347" spans="1:13">
      <c r="A347" s="54"/>
      <c r="B347" s="54"/>
      <c r="C347" s="52"/>
      <c r="D347" s="83">
        <f>IF($B347="","",IFERROR(IF(VLOOKUP($B347,Reference!$A$6:$C$27,3,FALSE)&gt;0,VLOOKUP($B347,Reference!$A$6:$C$27,3,FALSE),""),""))</f>
        <v/>
      </c>
      <c r="E347" s="53"/>
      <c r="F347" s="82">
        <f>IF(OR($A347="",$B347="",NOT(ISNUMBER($C347))),"",IF(ISNUMBER($E347),IF($E347&gt;0,EDATE($C347,$E347),""),IF(ISNUMBER($D347),EDATE($C347,$D347),"")))</f>
        <v/>
      </c>
      <c r="G347" s="83">
        <f>IF($F347="","",$F347-TODAY())</f>
        <v/>
      </c>
      <c r="H347" s="85">
        <f>IF(OR($A347="",$B347=""),"",IF($F347="","No date",IF($G347&lt;0,"Overdue",IF($G347&lt;=30,"Due &lt;=30",IF($G347&lt;=60,"Due 31-60","OK")))))</f>
        <v/>
      </c>
      <c r="I347" s="54"/>
      <c r="J347" s="54"/>
      <c r="K347" s="54"/>
      <c r="L347" s="54"/>
      <c r="M347" s="105">
        <f>IF($F347="","",$F347+ROW()/100000)</f>
        <v/>
      </c>
    </row>
    <row r="348" spans="1:13">
      <c r="A348" s="54"/>
      <c r="B348" s="54"/>
      <c r="C348" s="52"/>
      <c r="D348" s="83">
        <f>IF($B348="","",IFERROR(IF(VLOOKUP($B348,Reference!$A$6:$C$27,3,FALSE)&gt;0,VLOOKUP($B348,Reference!$A$6:$C$27,3,FALSE),""),""))</f>
        <v/>
      </c>
      <c r="E348" s="53"/>
      <c r="F348" s="82">
        <f>IF(OR($A348="",$B348="",NOT(ISNUMBER($C348))),"",IF(ISNUMBER($E348),IF($E348&gt;0,EDATE($C348,$E348),""),IF(ISNUMBER($D348),EDATE($C348,$D348),"")))</f>
        <v/>
      </c>
      <c r="G348" s="83">
        <f>IF($F348="","",$F348-TODAY())</f>
        <v/>
      </c>
      <c r="H348" s="85">
        <f>IF(OR($A348="",$B348=""),"",IF($F348="","No date",IF($G348&lt;0,"Overdue",IF($G348&lt;=30,"Due &lt;=30",IF($G348&lt;=60,"Due 31-60","OK")))))</f>
        <v/>
      </c>
      <c r="I348" s="54"/>
      <c r="J348" s="54"/>
      <c r="K348" s="54"/>
      <c r="L348" s="54"/>
      <c r="M348" s="105">
        <f>IF($F348="","",$F348+ROW()/100000)</f>
        <v/>
      </c>
    </row>
    <row r="349" spans="1:13">
      <c r="A349" s="54"/>
      <c r="B349" s="54"/>
      <c r="C349" s="52"/>
      <c r="D349" s="83">
        <f>IF($B349="","",IFERROR(IF(VLOOKUP($B349,Reference!$A$6:$C$27,3,FALSE)&gt;0,VLOOKUP($B349,Reference!$A$6:$C$27,3,FALSE),""),""))</f>
        <v/>
      </c>
      <c r="E349" s="53"/>
      <c r="F349" s="82">
        <f>IF(OR($A349="",$B349="",NOT(ISNUMBER($C349))),"",IF(ISNUMBER($E349),IF($E349&gt;0,EDATE($C349,$E349),""),IF(ISNUMBER($D349),EDATE($C349,$D349),"")))</f>
        <v/>
      </c>
      <c r="G349" s="83">
        <f>IF($F349="","",$F349-TODAY())</f>
        <v/>
      </c>
      <c r="H349" s="85">
        <f>IF(OR($A349="",$B349=""),"",IF($F349="","No date",IF($G349&lt;0,"Overdue",IF($G349&lt;=30,"Due &lt;=30",IF($G349&lt;=60,"Due 31-60","OK")))))</f>
        <v/>
      </c>
      <c r="I349" s="54"/>
      <c r="J349" s="54"/>
      <c r="K349" s="54"/>
      <c r="L349" s="54"/>
      <c r="M349" s="105">
        <f>IF($F349="","",$F349+ROW()/100000)</f>
        <v/>
      </c>
    </row>
    <row r="350" spans="1:13">
      <c r="A350" s="54"/>
      <c r="B350" s="54"/>
      <c r="C350" s="52"/>
      <c r="D350" s="83">
        <f>IF($B350="","",IFERROR(IF(VLOOKUP($B350,Reference!$A$6:$C$27,3,FALSE)&gt;0,VLOOKUP($B350,Reference!$A$6:$C$27,3,FALSE),""),""))</f>
        <v/>
      </c>
      <c r="E350" s="53"/>
      <c r="F350" s="82">
        <f>IF(OR($A350="",$B350="",NOT(ISNUMBER($C350))),"",IF(ISNUMBER($E350),IF($E350&gt;0,EDATE($C350,$E350),""),IF(ISNUMBER($D350),EDATE($C350,$D350),"")))</f>
        <v/>
      </c>
      <c r="G350" s="83">
        <f>IF($F350="","",$F350-TODAY())</f>
        <v/>
      </c>
      <c r="H350" s="85">
        <f>IF(OR($A350="",$B350=""),"",IF($F350="","No date",IF($G350&lt;0,"Overdue",IF($G350&lt;=30,"Due &lt;=30",IF($G350&lt;=60,"Due 31-60","OK")))))</f>
        <v/>
      </c>
      <c r="I350" s="54"/>
      <c r="J350" s="54"/>
      <c r="K350" s="54"/>
      <c r="L350" s="54"/>
      <c r="M350" s="105">
        <f>IF($F350="","",$F350+ROW()/100000)</f>
        <v/>
      </c>
    </row>
    <row r="351" spans="1:13">
      <c r="A351" s="54"/>
      <c r="B351" s="54"/>
      <c r="C351" s="52"/>
      <c r="D351" s="83">
        <f>IF($B351="","",IFERROR(IF(VLOOKUP($B351,Reference!$A$6:$C$27,3,FALSE)&gt;0,VLOOKUP($B351,Reference!$A$6:$C$27,3,FALSE),""),""))</f>
        <v/>
      </c>
      <c r="E351" s="53"/>
      <c r="F351" s="82">
        <f>IF(OR($A351="",$B351="",NOT(ISNUMBER($C351))),"",IF(ISNUMBER($E351),IF($E351&gt;0,EDATE($C351,$E351),""),IF(ISNUMBER($D351),EDATE($C351,$D351),"")))</f>
        <v/>
      </c>
      <c r="G351" s="83">
        <f>IF($F351="","",$F351-TODAY())</f>
        <v/>
      </c>
      <c r="H351" s="85">
        <f>IF(OR($A351="",$B351=""),"",IF($F351="","No date",IF($G351&lt;0,"Overdue",IF($G351&lt;=30,"Due &lt;=30",IF($G351&lt;=60,"Due 31-60","OK")))))</f>
        <v/>
      </c>
      <c r="I351" s="54"/>
      <c r="J351" s="54"/>
      <c r="K351" s="54"/>
      <c r="L351" s="54"/>
      <c r="M351" s="105">
        <f>IF($F351="","",$F351+ROW()/100000)</f>
        <v/>
      </c>
    </row>
    <row r="352" spans="1:13">
      <c r="A352" s="54"/>
      <c r="B352" s="54"/>
      <c r="C352" s="52"/>
      <c r="D352" s="83">
        <f>IF($B352="","",IFERROR(IF(VLOOKUP($B352,Reference!$A$6:$C$27,3,FALSE)&gt;0,VLOOKUP($B352,Reference!$A$6:$C$27,3,FALSE),""),""))</f>
        <v/>
      </c>
      <c r="E352" s="53"/>
      <c r="F352" s="82">
        <f>IF(OR($A352="",$B352="",NOT(ISNUMBER($C352))),"",IF(ISNUMBER($E352),IF($E352&gt;0,EDATE($C352,$E352),""),IF(ISNUMBER($D352),EDATE($C352,$D352),"")))</f>
        <v/>
      </c>
      <c r="G352" s="83">
        <f>IF($F352="","",$F352-TODAY())</f>
        <v/>
      </c>
      <c r="H352" s="85">
        <f>IF(OR($A352="",$B352=""),"",IF($F352="","No date",IF($G352&lt;0,"Overdue",IF($G352&lt;=30,"Due &lt;=30",IF($G352&lt;=60,"Due 31-60","OK")))))</f>
        <v/>
      </c>
      <c r="I352" s="54"/>
      <c r="J352" s="54"/>
      <c r="K352" s="54"/>
      <c r="L352" s="54"/>
      <c r="M352" s="105">
        <f>IF($F352="","",$F352+ROW()/100000)</f>
        <v/>
      </c>
    </row>
    <row r="353" spans="1:13">
      <c r="A353" s="54"/>
      <c r="B353" s="54"/>
      <c r="C353" s="52"/>
      <c r="D353" s="83">
        <f>IF($B353="","",IFERROR(IF(VLOOKUP($B353,Reference!$A$6:$C$27,3,FALSE)&gt;0,VLOOKUP($B353,Reference!$A$6:$C$27,3,FALSE),""),""))</f>
        <v/>
      </c>
      <c r="E353" s="53"/>
      <c r="F353" s="82">
        <f>IF(OR($A353="",$B353="",NOT(ISNUMBER($C353))),"",IF(ISNUMBER($E353),IF($E353&gt;0,EDATE($C353,$E353),""),IF(ISNUMBER($D353),EDATE($C353,$D353),"")))</f>
        <v/>
      </c>
      <c r="G353" s="83">
        <f>IF($F353="","",$F353-TODAY())</f>
        <v/>
      </c>
      <c r="H353" s="85">
        <f>IF(OR($A353="",$B353=""),"",IF($F353="","No date",IF($G353&lt;0,"Overdue",IF($G353&lt;=30,"Due &lt;=30",IF($G353&lt;=60,"Due 31-60","OK")))))</f>
        <v/>
      </c>
      <c r="I353" s="54"/>
      <c r="J353" s="54"/>
      <c r="K353" s="54"/>
      <c r="L353" s="54"/>
      <c r="M353" s="105">
        <f>IF($F353="","",$F353+ROW()/100000)</f>
        <v/>
      </c>
    </row>
    <row r="354" spans="1:13">
      <c r="A354" s="54"/>
      <c r="B354" s="54"/>
      <c r="C354" s="52"/>
      <c r="D354" s="83">
        <f>IF($B354="","",IFERROR(IF(VLOOKUP($B354,Reference!$A$6:$C$27,3,FALSE)&gt;0,VLOOKUP($B354,Reference!$A$6:$C$27,3,FALSE),""),""))</f>
        <v/>
      </c>
      <c r="E354" s="53"/>
      <c r="F354" s="82">
        <f>IF(OR($A354="",$B354="",NOT(ISNUMBER($C354))),"",IF(ISNUMBER($E354),IF($E354&gt;0,EDATE($C354,$E354),""),IF(ISNUMBER($D354),EDATE($C354,$D354),"")))</f>
        <v/>
      </c>
      <c r="G354" s="83">
        <f>IF($F354="","",$F354-TODAY())</f>
        <v/>
      </c>
      <c r="H354" s="85">
        <f>IF(OR($A354="",$B354=""),"",IF($F354="","No date",IF($G354&lt;0,"Overdue",IF($G354&lt;=30,"Due &lt;=30",IF($G354&lt;=60,"Due 31-60","OK")))))</f>
        <v/>
      </c>
      <c r="I354" s="54"/>
      <c r="J354" s="54"/>
      <c r="K354" s="54"/>
      <c r="L354" s="54"/>
      <c r="M354" s="105">
        <f>IF($F354="","",$F354+ROW()/100000)</f>
        <v/>
      </c>
    </row>
    <row r="355" spans="1:13">
      <c r="A355" s="54"/>
      <c r="B355" s="54"/>
      <c r="C355" s="52"/>
      <c r="D355" s="83">
        <f>IF($B355="","",IFERROR(IF(VLOOKUP($B355,Reference!$A$6:$C$27,3,FALSE)&gt;0,VLOOKUP($B355,Reference!$A$6:$C$27,3,FALSE),""),""))</f>
        <v/>
      </c>
      <c r="E355" s="53"/>
      <c r="F355" s="82">
        <f>IF(OR($A355="",$B355="",NOT(ISNUMBER($C355))),"",IF(ISNUMBER($E355),IF($E355&gt;0,EDATE($C355,$E355),""),IF(ISNUMBER($D355),EDATE($C355,$D355),"")))</f>
        <v/>
      </c>
      <c r="G355" s="83">
        <f>IF($F355="","",$F355-TODAY())</f>
        <v/>
      </c>
      <c r="H355" s="85">
        <f>IF(OR($A355="",$B355=""),"",IF($F355="","No date",IF($G355&lt;0,"Overdue",IF($G355&lt;=30,"Due &lt;=30",IF($G355&lt;=60,"Due 31-60","OK")))))</f>
        <v/>
      </c>
      <c r="I355" s="54"/>
      <c r="J355" s="54"/>
      <c r="K355" s="54"/>
      <c r="L355" s="54"/>
      <c r="M355" s="105">
        <f>IF($F355="","",$F355+ROW()/100000)</f>
        <v/>
      </c>
    </row>
    <row r="356" spans="1:13">
      <c r="A356" s="54"/>
      <c r="B356" s="54"/>
      <c r="C356" s="52"/>
      <c r="D356" s="83">
        <f>IF($B356="","",IFERROR(IF(VLOOKUP($B356,Reference!$A$6:$C$27,3,FALSE)&gt;0,VLOOKUP($B356,Reference!$A$6:$C$27,3,FALSE),""),""))</f>
        <v/>
      </c>
      <c r="E356" s="53"/>
      <c r="F356" s="82">
        <f>IF(OR($A356="",$B356="",NOT(ISNUMBER($C356))),"",IF(ISNUMBER($E356),IF($E356&gt;0,EDATE($C356,$E356),""),IF(ISNUMBER($D356),EDATE($C356,$D356),"")))</f>
        <v/>
      </c>
      <c r="G356" s="83">
        <f>IF($F356="","",$F356-TODAY())</f>
        <v/>
      </c>
      <c r="H356" s="85">
        <f>IF(OR($A356="",$B356=""),"",IF($F356="","No date",IF($G356&lt;0,"Overdue",IF($G356&lt;=30,"Due &lt;=30",IF($G356&lt;=60,"Due 31-60","OK")))))</f>
        <v/>
      </c>
      <c r="I356" s="54"/>
      <c r="J356" s="54"/>
      <c r="K356" s="54"/>
      <c r="L356" s="54"/>
      <c r="M356" s="105">
        <f>IF($F356="","",$F356+ROW()/100000)</f>
        <v/>
      </c>
    </row>
    <row r="357" spans="1:13">
      <c r="A357" s="54"/>
      <c r="B357" s="54"/>
      <c r="C357" s="52"/>
      <c r="D357" s="83">
        <f>IF($B357="","",IFERROR(IF(VLOOKUP($B357,Reference!$A$6:$C$27,3,FALSE)&gt;0,VLOOKUP($B357,Reference!$A$6:$C$27,3,FALSE),""),""))</f>
        <v/>
      </c>
      <c r="E357" s="53"/>
      <c r="F357" s="82">
        <f>IF(OR($A357="",$B357="",NOT(ISNUMBER($C357))),"",IF(ISNUMBER($E357),IF($E357&gt;0,EDATE($C357,$E357),""),IF(ISNUMBER($D357),EDATE($C357,$D357),"")))</f>
        <v/>
      </c>
      <c r="G357" s="83">
        <f>IF($F357="","",$F357-TODAY())</f>
        <v/>
      </c>
      <c r="H357" s="85">
        <f>IF(OR($A357="",$B357=""),"",IF($F357="","No date",IF($G357&lt;0,"Overdue",IF($G357&lt;=30,"Due &lt;=30",IF($G357&lt;=60,"Due 31-60","OK")))))</f>
        <v/>
      </c>
      <c r="I357" s="54"/>
      <c r="J357" s="54"/>
      <c r="K357" s="54"/>
      <c r="L357" s="54"/>
      <c r="M357" s="105">
        <f>IF($F357="","",$F357+ROW()/100000)</f>
        <v/>
      </c>
    </row>
    <row r="358" spans="1:13">
      <c r="A358" s="54"/>
      <c r="B358" s="54"/>
      <c r="C358" s="52"/>
      <c r="D358" s="83">
        <f>IF($B358="","",IFERROR(IF(VLOOKUP($B358,Reference!$A$6:$C$27,3,FALSE)&gt;0,VLOOKUP($B358,Reference!$A$6:$C$27,3,FALSE),""),""))</f>
        <v/>
      </c>
      <c r="E358" s="53"/>
      <c r="F358" s="82">
        <f>IF(OR($A358="",$B358="",NOT(ISNUMBER($C358))),"",IF(ISNUMBER($E358),IF($E358&gt;0,EDATE($C358,$E358),""),IF(ISNUMBER($D358),EDATE($C358,$D358),"")))</f>
        <v/>
      </c>
      <c r="G358" s="83">
        <f>IF($F358="","",$F358-TODAY())</f>
        <v/>
      </c>
      <c r="H358" s="85">
        <f>IF(OR($A358="",$B358=""),"",IF($F358="","No date",IF($G358&lt;0,"Overdue",IF($G358&lt;=30,"Due &lt;=30",IF($G358&lt;=60,"Due 31-60","OK")))))</f>
        <v/>
      </c>
      <c r="I358" s="54"/>
      <c r="J358" s="54"/>
      <c r="K358" s="54"/>
      <c r="L358" s="54"/>
      <c r="M358" s="105">
        <f>IF($F358="","",$F358+ROW()/100000)</f>
        <v/>
      </c>
    </row>
    <row r="359" spans="1:13">
      <c r="A359" s="54"/>
      <c r="B359" s="54"/>
      <c r="C359" s="52"/>
      <c r="D359" s="83">
        <f>IF($B359="","",IFERROR(IF(VLOOKUP($B359,Reference!$A$6:$C$27,3,FALSE)&gt;0,VLOOKUP($B359,Reference!$A$6:$C$27,3,FALSE),""),""))</f>
        <v/>
      </c>
      <c r="E359" s="53"/>
      <c r="F359" s="82">
        <f>IF(OR($A359="",$B359="",NOT(ISNUMBER($C359))),"",IF(ISNUMBER($E359),IF($E359&gt;0,EDATE($C359,$E359),""),IF(ISNUMBER($D359),EDATE($C359,$D359),"")))</f>
        <v/>
      </c>
      <c r="G359" s="83">
        <f>IF($F359="","",$F359-TODAY())</f>
        <v/>
      </c>
      <c r="H359" s="85">
        <f>IF(OR($A359="",$B359=""),"",IF($F359="","No date",IF($G359&lt;0,"Overdue",IF($G359&lt;=30,"Due &lt;=30",IF($G359&lt;=60,"Due 31-60","OK")))))</f>
        <v/>
      </c>
      <c r="I359" s="54"/>
      <c r="J359" s="54"/>
      <c r="K359" s="54"/>
      <c r="L359" s="54"/>
      <c r="M359" s="105">
        <f>IF($F359="","",$F359+ROW()/100000)</f>
        <v/>
      </c>
    </row>
    <row r="360" spans="1:13">
      <c r="A360" s="54"/>
      <c r="B360" s="54"/>
      <c r="C360" s="52"/>
      <c r="D360" s="83">
        <f>IF($B360="","",IFERROR(IF(VLOOKUP($B360,Reference!$A$6:$C$27,3,FALSE)&gt;0,VLOOKUP($B360,Reference!$A$6:$C$27,3,FALSE),""),""))</f>
        <v/>
      </c>
      <c r="E360" s="53"/>
      <c r="F360" s="82">
        <f>IF(OR($A360="",$B360="",NOT(ISNUMBER($C360))),"",IF(ISNUMBER($E360),IF($E360&gt;0,EDATE($C360,$E360),""),IF(ISNUMBER($D360),EDATE($C360,$D360),"")))</f>
        <v/>
      </c>
      <c r="G360" s="83">
        <f>IF($F360="","",$F360-TODAY())</f>
        <v/>
      </c>
      <c r="H360" s="85">
        <f>IF(OR($A360="",$B360=""),"",IF($F360="","No date",IF($G360&lt;0,"Overdue",IF($G360&lt;=30,"Due &lt;=30",IF($G360&lt;=60,"Due 31-60","OK")))))</f>
        <v/>
      </c>
      <c r="I360" s="54"/>
      <c r="J360" s="54"/>
      <c r="K360" s="54"/>
      <c r="L360" s="54"/>
      <c r="M360" s="105">
        <f>IF($F360="","",$F360+ROW()/100000)</f>
        <v/>
      </c>
    </row>
    <row r="361" spans="1:13">
      <c r="A361" s="54"/>
      <c r="B361" s="54"/>
      <c r="C361" s="52"/>
      <c r="D361" s="83">
        <f>IF($B361="","",IFERROR(IF(VLOOKUP($B361,Reference!$A$6:$C$27,3,FALSE)&gt;0,VLOOKUP($B361,Reference!$A$6:$C$27,3,FALSE),""),""))</f>
        <v/>
      </c>
      <c r="E361" s="53"/>
      <c r="F361" s="82">
        <f>IF(OR($A361="",$B361="",NOT(ISNUMBER($C361))),"",IF(ISNUMBER($E361),IF($E361&gt;0,EDATE($C361,$E361),""),IF(ISNUMBER($D361),EDATE($C361,$D361),"")))</f>
        <v/>
      </c>
      <c r="G361" s="83">
        <f>IF($F361="","",$F361-TODAY())</f>
        <v/>
      </c>
      <c r="H361" s="85">
        <f>IF(OR($A361="",$B361=""),"",IF($F361="","No date",IF($G361&lt;0,"Overdue",IF($G361&lt;=30,"Due &lt;=30",IF($G361&lt;=60,"Due 31-60","OK")))))</f>
        <v/>
      </c>
      <c r="I361" s="54"/>
      <c r="J361" s="54"/>
      <c r="K361" s="54"/>
      <c r="L361" s="54"/>
      <c r="M361" s="105">
        <f>IF($F361="","",$F361+ROW()/100000)</f>
        <v/>
      </c>
    </row>
    <row r="362" spans="1:13">
      <c r="A362" s="54"/>
      <c r="B362" s="54"/>
      <c r="C362" s="52"/>
      <c r="D362" s="83">
        <f>IF($B362="","",IFERROR(IF(VLOOKUP($B362,Reference!$A$6:$C$27,3,FALSE)&gt;0,VLOOKUP($B362,Reference!$A$6:$C$27,3,FALSE),""),""))</f>
        <v/>
      </c>
      <c r="E362" s="53"/>
      <c r="F362" s="82">
        <f>IF(OR($A362="",$B362="",NOT(ISNUMBER($C362))),"",IF(ISNUMBER($E362),IF($E362&gt;0,EDATE($C362,$E362),""),IF(ISNUMBER($D362),EDATE($C362,$D362),"")))</f>
        <v/>
      </c>
      <c r="G362" s="83">
        <f>IF($F362="","",$F362-TODAY())</f>
        <v/>
      </c>
      <c r="H362" s="85">
        <f>IF(OR($A362="",$B362=""),"",IF($F362="","No date",IF($G362&lt;0,"Overdue",IF($G362&lt;=30,"Due &lt;=30",IF($G362&lt;=60,"Due 31-60","OK")))))</f>
        <v/>
      </c>
      <c r="I362" s="54"/>
      <c r="J362" s="54"/>
      <c r="K362" s="54"/>
      <c r="L362" s="54"/>
      <c r="M362" s="105">
        <f>IF($F362="","",$F362+ROW()/100000)</f>
        <v/>
      </c>
    </row>
    <row r="363" spans="1:13">
      <c r="A363" s="54"/>
      <c r="B363" s="54"/>
      <c r="C363" s="52"/>
      <c r="D363" s="83">
        <f>IF($B363="","",IFERROR(IF(VLOOKUP($B363,Reference!$A$6:$C$27,3,FALSE)&gt;0,VLOOKUP($B363,Reference!$A$6:$C$27,3,FALSE),""),""))</f>
        <v/>
      </c>
      <c r="E363" s="53"/>
      <c r="F363" s="82">
        <f>IF(OR($A363="",$B363="",NOT(ISNUMBER($C363))),"",IF(ISNUMBER($E363),IF($E363&gt;0,EDATE($C363,$E363),""),IF(ISNUMBER($D363),EDATE($C363,$D363),"")))</f>
        <v/>
      </c>
      <c r="G363" s="83">
        <f>IF($F363="","",$F363-TODAY())</f>
        <v/>
      </c>
      <c r="H363" s="85">
        <f>IF(OR($A363="",$B363=""),"",IF($F363="","No date",IF($G363&lt;0,"Overdue",IF($G363&lt;=30,"Due &lt;=30",IF($G363&lt;=60,"Due 31-60","OK")))))</f>
        <v/>
      </c>
      <c r="I363" s="54"/>
      <c r="J363" s="54"/>
      <c r="K363" s="54"/>
      <c r="L363" s="54"/>
      <c r="M363" s="105">
        <f>IF($F363="","",$F363+ROW()/100000)</f>
        <v/>
      </c>
    </row>
    <row r="364" spans="1:13">
      <c r="A364" s="54"/>
      <c r="B364" s="54"/>
      <c r="C364" s="52"/>
      <c r="D364" s="83">
        <f>IF($B364="","",IFERROR(IF(VLOOKUP($B364,Reference!$A$6:$C$27,3,FALSE)&gt;0,VLOOKUP($B364,Reference!$A$6:$C$27,3,FALSE),""),""))</f>
        <v/>
      </c>
      <c r="E364" s="53"/>
      <c r="F364" s="82">
        <f>IF(OR($A364="",$B364="",NOT(ISNUMBER($C364))),"",IF(ISNUMBER($E364),IF($E364&gt;0,EDATE($C364,$E364),""),IF(ISNUMBER($D364),EDATE($C364,$D364),"")))</f>
        <v/>
      </c>
      <c r="G364" s="83">
        <f>IF($F364="","",$F364-TODAY())</f>
        <v/>
      </c>
      <c r="H364" s="85">
        <f>IF(OR($A364="",$B364=""),"",IF($F364="","No date",IF($G364&lt;0,"Overdue",IF($G364&lt;=30,"Due &lt;=30",IF($G364&lt;=60,"Due 31-60","OK")))))</f>
        <v/>
      </c>
      <c r="I364" s="54"/>
      <c r="J364" s="54"/>
      <c r="K364" s="54"/>
      <c r="L364" s="54"/>
      <c r="M364" s="105">
        <f>IF($F364="","",$F364+ROW()/100000)</f>
        <v/>
      </c>
    </row>
    <row r="365" spans="1:13">
      <c r="A365" s="54"/>
      <c r="B365" s="54"/>
      <c r="C365" s="52"/>
      <c r="D365" s="83">
        <f>IF($B365="","",IFERROR(IF(VLOOKUP($B365,Reference!$A$6:$C$27,3,FALSE)&gt;0,VLOOKUP($B365,Reference!$A$6:$C$27,3,FALSE),""),""))</f>
        <v/>
      </c>
      <c r="E365" s="53"/>
      <c r="F365" s="82">
        <f>IF(OR($A365="",$B365="",NOT(ISNUMBER($C365))),"",IF(ISNUMBER($E365),IF($E365&gt;0,EDATE($C365,$E365),""),IF(ISNUMBER($D365),EDATE($C365,$D365),"")))</f>
        <v/>
      </c>
      <c r="G365" s="83">
        <f>IF($F365="","",$F365-TODAY())</f>
        <v/>
      </c>
      <c r="H365" s="85">
        <f>IF(OR($A365="",$B365=""),"",IF($F365="","No date",IF($G365&lt;0,"Overdue",IF($G365&lt;=30,"Due &lt;=30",IF($G365&lt;=60,"Due 31-60","OK")))))</f>
        <v/>
      </c>
      <c r="I365" s="54"/>
      <c r="J365" s="54"/>
      <c r="K365" s="54"/>
      <c r="L365" s="54"/>
      <c r="M365" s="105">
        <f>IF($F365="","",$F365+ROW()/100000)</f>
        <v/>
      </c>
    </row>
    <row r="366" spans="1:13">
      <c r="A366" s="54"/>
      <c r="B366" s="54"/>
      <c r="C366" s="52"/>
      <c r="D366" s="83">
        <f>IF($B366="","",IFERROR(IF(VLOOKUP($B366,Reference!$A$6:$C$27,3,FALSE)&gt;0,VLOOKUP($B366,Reference!$A$6:$C$27,3,FALSE),""),""))</f>
        <v/>
      </c>
      <c r="E366" s="53"/>
      <c r="F366" s="82">
        <f>IF(OR($A366="",$B366="",NOT(ISNUMBER($C366))),"",IF(ISNUMBER($E366),IF($E366&gt;0,EDATE($C366,$E366),""),IF(ISNUMBER($D366),EDATE($C366,$D366),"")))</f>
        <v/>
      </c>
      <c r="G366" s="83">
        <f>IF($F366="","",$F366-TODAY())</f>
        <v/>
      </c>
      <c r="H366" s="85">
        <f>IF(OR($A366="",$B366=""),"",IF($F366="","No date",IF($G366&lt;0,"Overdue",IF($G366&lt;=30,"Due &lt;=30",IF($G366&lt;=60,"Due 31-60","OK")))))</f>
        <v/>
      </c>
      <c r="I366" s="54"/>
      <c r="J366" s="54"/>
      <c r="K366" s="54"/>
      <c r="L366" s="54"/>
      <c r="M366" s="105">
        <f>IF($F366="","",$F366+ROW()/100000)</f>
        <v/>
      </c>
    </row>
    <row r="367" spans="1:13">
      <c r="A367" s="54"/>
      <c r="B367" s="54"/>
      <c r="C367" s="52"/>
      <c r="D367" s="83">
        <f>IF($B367="","",IFERROR(IF(VLOOKUP($B367,Reference!$A$6:$C$27,3,FALSE)&gt;0,VLOOKUP($B367,Reference!$A$6:$C$27,3,FALSE),""),""))</f>
        <v/>
      </c>
      <c r="E367" s="53"/>
      <c r="F367" s="82">
        <f>IF(OR($A367="",$B367="",NOT(ISNUMBER($C367))),"",IF(ISNUMBER($E367),IF($E367&gt;0,EDATE($C367,$E367),""),IF(ISNUMBER($D367),EDATE($C367,$D367),"")))</f>
        <v/>
      </c>
      <c r="G367" s="83">
        <f>IF($F367="","",$F367-TODAY())</f>
        <v/>
      </c>
      <c r="H367" s="85">
        <f>IF(OR($A367="",$B367=""),"",IF($F367="","No date",IF($G367&lt;0,"Overdue",IF($G367&lt;=30,"Due &lt;=30",IF($G367&lt;=60,"Due 31-60","OK")))))</f>
        <v/>
      </c>
      <c r="I367" s="54"/>
      <c r="J367" s="54"/>
      <c r="K367" s="54"/>
      <c r="L367" s="54"/>
      <c r="M367" s="105">
        <f>IF($F367="","",$F367+ROW()/100000)</f>
        <v/>
      </c>
    </row>
    <row r="368" spans="1:13">
      <c r="A368" s="54"/>
      <c r="B368" s="54"/>
      <c r="C368" s="52"/>
      <c r="D368" s="83">
        <f>IF($B368="","",IFERROR(IF(VLOOKUP($B368,Reference!$A$6:$C$27,3,FALSE)&gt;0,VLOOKUP($B368,Reference!$A$6:$C$27,3,FALSE),""),""))</f>
        <v/>
      </c>
      <c r="E368" s="53"/>
      <c r="F368" s="82">
        <f>IF(OR($A368="",$B368="",NOT(ISNUMBER($C368))),"",IF(ISNUMBER($E368),IF($E368&gt;0,EDATE($C368,$E368),""),IF(ISNUMBER($D368),EDATE($C368,$D368),"")))</f>
        <v/>
      </c>
      <c r="G368" s="83">
        <f>IF($F368="","",$F368-TODAY())</f>
        <v/>
      </c>
      <c r="H368" s="85">
        <f>IF(OR($A368="",$B368=""),"",IF($F368="","No date",IF($G368&lt;0,"Overdue",IF($G368&lt;=30,"Due &lt;=30",IF($G368&lt;=60,"Due 31-60","OK")))))</f>
        <v/>
      </c>
      <c r="I368" s="54"/>
      <c r="J368" s="54"/>
      <c r="K368" s="54"/>
      <c r="L368" s="54"/>
      <c r="M368" s="105">
        <f>IF($F368="","",$F368+ROW()/100000)</f>
        <v/>
      </c>
    </row>
    <row r="369" spans="1:13">
      <c r="A369" s="54"/>
      <c r="B369" s="54"/>
      <c r="C369" s="52"/>
      <c r="D369" s="83">
        <f>IF($B369="","",IFERROR(IF(VLOOKUP($B369,Reference!$A$6:$C$27,3,FALSE)&gt;0,VLOOKUP($B369,Reference!$A$6:$C$27,3,FALSE),""),""))</f>
        <v/>
      </c>
      <c r="E369" s="53"/>
      <c r="F369" s="82">
        <f>IF(OR($A369="",$B369="",NOT(ISNUMBER($C369))),"",IF(ISNUMBER($E369),IF($E369&gt;0,EDATE($C369,$E369),""),IF(ISNUMBER($D369),EDATE($C369,$D369),"")))</f>
        <v/>
      </c>
      <c r="G369" s="83">
        <f>IF($F369="","",$F369-TODAY())</f>
        <v/>
      </c>
      <c r="H369" s="85">
        <f>IF(OR($A369="",$B369=""),"",IF($F369="","No date",IF($G369&lt;0,"Overdue",IF($G369&lt;=30,"Due &lt;=30",IF($G369&lt;=60,"Due 31-60","OK")))))</f>
        <v/>
      </c>
      <c r="I369" s="54"/>
      <c r="J369" s="54"/>
      <c r="K369" s="54"/>
      <c r="L369" s="54"/>
      <c r="M369" s="105">
        <f>IF($F369="","",$F369+ROW()/100000)</f>
        <v/>
      </c>
    </row>
    <row r="370" spans="1:13">
      <c r="A370" s="54"/>
      <c r="B370" s="54"/>
      <c r="C370" s="52"/>
      <c r="D370" s="83">
        <f>IF($B370="","",IFERROR(IF(VLOOKUP($B370,Reference!$A$6:$C$27,3,FALSE)&gt;0,VLOOKUP($B370,Reference!$A$6:$C$27,3,FALSE),""),""))</f>
        <v/>
      </c>
      <c r="E370" s="53"/>
      <c r="F370" s="82">
        <f>IF(OR($A370="",$B370="",NOT(ISNUMBER($C370))),"",IF(ISNUMBER($E370),IF($E370&gt;0,EDATE($C370,$E370),""),IF(ISNUMBER($D370),EDATE($C370,$D370),"")))</f>
        <v/>
      </c>
      <c r="G370" s="83">
        <f>IF($F370="","",$F370-TODAY())</f>
        <v/>
      </c>
      <c r="H370" s="85">
        <f>IF(OR($A370="",$B370=""),"",IF($F370="","No date",IF($G370&lt;0,"Overdue",IF($G370&lt;=30,"Due &lt;=30",IF($G370&lt;=60,"Due 31-60","OK")))))</f>
        <v/>
      </c>
      <c r="I370" s="54"/>
      <c r="J370" s="54"/>
      <c r="K370" s="54"/>
      <c r="L370" s="54"/>
      <c r="M370" s="105">
        <f>IF($F370="","",$F370+ROW()/100000)</f>
        <v/>
      </c>
    </row>
    <row r="371" spans="1:13">
      <c r="A371" s="54"/>
      <c r="B371" s="54"/>
      <c r="C371" s="52"/>
      <c r="D371" s="83">
        <f>IF($B371="","",IFERROR(IF(VLOOKUP($B371,Reference!$A$6:$C$27,3,FALSE)&gt;0,VLOOKUP($B371,Reference!$A$6:$C$27,3,FALSE),""),""))</f>
        <v/>
      </c>
      <c r="E371" s="53"/>
      <c r="F371" s="82">
        <f>IF(OR($A371="",$B371="",NOT(ISNUMBER($C371))),"",IF(ISNUMBER($E371),IF($E371&gt;0,EDATE($C371,$E371),""),IF(ISNUMBER($D371),EDATE($C371,$D371),"")))</f>
        <v/>
      </c>
      <c r="G371" s="83">
        <f>IF($F371="","",$F371-TODAY())</f>
        <v/>
      </c>
      <c r="H371" s="85">
        <f>IF(OR($A371="",$B371=""),"",IF($F371="","No date",IF($G371&lt;0,"Overdue",IF($G371&lt;=30,"Due &lt;=30",IF($G371&lt;=60,"Due 31-60","OK")))))</f>
        <v/>
      </c>
      <c r="I371" s="54"/>
      <c r="J371" s="54"/>
      <c r="K371" s="54"/>
      <c r="L371" s="54"/>
      <c r="M371" s="105">
        <f>IF($F371="","",$F371+ROW()/100000)</f>
        <v/>
      </c>
    </row>
    <row r="372" spans="1:13">
      <c r="A372" s="54"/>
      <c r="B372" s="54"/>
      <c r="C372" s="52"/>
      <c r="D372" s="83">
        <f>IF($B372="","",IFERROR(IF(VLOOKUP($B372,Reference!$A$6:$C$27,3,FALSE)&gt;0,VLOOKUP($B372,Reference!$A$6:$C$27,3,FALSE),""),""))</f>
        <v/>
      </c>
      <c r="E372" s="53"/>
      <c r="F372" s="82">
        <f>IF(OR($A372="",$B372="",NOT(ISNUMBER($C372))),"",IF(ISNUMBER($E372),IF($E372&gt;0,EDATE($C372,$E372),""),IF(ISNUMBER($D372),EDATE($C372,$D372),"")))</f>
        <v/>
      </c>
      <c r="G372" s="83">
        <f>IF($F372="","",$F372-TODAY())</f>
        <v/>
      </c>
      <c r="H372" s="85">
        <f>IF(OR($A372="",$B372=""),"",IF($F372="","No date",IF($G372&lt;0,"Overdue",IF($G372&lt;=30,"Due &lt;=30",IF($G372&lt;=60,"Due 31-60","OK")))))</f>
        <v/>
      </c>
      <c r="I372" s="54"/>
      <c r="J372" s="54"/>
      <c r="K372" s="54"/>
      <c r="L372" s="54"/>
      <c r="M372" s="105">
        <f>IF($F372="","",$F372+ROW()/100000)</f>
        <v/>
      </c>
    </row>
    <row r="373" spans="1:13">
      <c r="A373" s="54"/>
      <c r="B373" s="54"/>
      <c r="C373" s="52"/>
      <c r="D373" s="83">
        <f>IF($B373="","",IFERROR(IF(VLOOKUP($B373,Reference!$A$6:$C$27,3,FALSE)&gt;0,VLOOKUP($B373,Reference!$A$6:$C$27,3,FALSE),""),""))</f>
        <v/>
      </c>
      <c r="E373" s="53"/>
      <c r="F373" s="82">
        <f>IF(OR($A373="",$B373="",NOT(ISNUMBER($C373))),"",IF(ISNUMBER($E373),IF($E373&gt;0,EDATE($C373,$E373),""),IF(ISNUMBER($D373),EDATE($C373,$D373),"")))</f>
        <v/>
      </c>
      <c r="G373" s="83">
        <f>IF($F373="","",$F373-TODAY())</f>
        <v/>
      </c>
      <c r="H373" s="85">
        <f>IF(OR($A373="",$B373=""),"",IF($F373="","No date",IF($G373&lt;0,"Overdue",IF($G373&lt;=30,"Due &lt;=30",IF($G373&lt;=60,"Due 31-60","OK")))))</f>
        <v/>
      </c>
      <c r="I373" s="54"/>
      <c r="J373" s="54"/>
      <c r="K373" s="54"/>
      <c r="L373" s="54"/>
      <c r="M373" s="105">
        <f>IF($F373="","",$F373+ROW()/100000)</f>
        <v/>
      </c>
    </row>
    <row r="374" spans="1:13">
      <c r="A374" s="54"/>
      <c r="B374" s="54"/>
      <c r="C374" s="52"/>
      <c r="D374" s="83">
        <f>IF($B374="","",IFERROR(IF(VLOOKUP($B374,Reference!$A$6:$C$27,3,FALSE)&gt;0,VLOOKUP($B374,Reference!$A$6:$C$27,3,FALSE),""),""))</f>
        <v/>
      </c>
      <c r="E374" s="53"/>
      <c r="F374" s="82">
        <f>IF(OR($A374="",$B374="",NOT(ISNUMBER($C374))),"",IF(ISNUMBER($E374),IF($E374&gt;0,EDATE($C374,$E374),""),IF(ISNUMBER($D374),EDATE($C374,$D374),"")))</f>
        <v/>
      </c>
      <c r="G374" s="83">
        <f>IF($F374="","",$F374-TODAY())</f>
        <v/>
      </c>
      <c r="H374" s="85">
        <f>IF(OR($A374="",$B374=""),"",IF($F374="","No date",IF($G374&lt;0,"Overdue",IF($G374&lt;=30,"Due &lt;=30",IF($G374&lt;=60,"Due 31-60","OK")))))</f>
        <v/>
      </c>
      <c r="I374" s="54"/>
      <c r="J374" s="54"/>
      <c r="K374" s="54"/>
      <c r="L374" s="54"/>
      <c r="M374" s="105">
        <f>IF($F374="","",$F374+ROW()/100000)</f>
        <v/>
      </c>
    </row>
    <row r="375" spans="1:13">
      <c r="A375" s="54"/>
      <c r="B375" s="54"/>
      <c r="C375" s="52"/>
      <c r="D375" s="83">
        <f>IF($B375="","",IFERROR(IF(VLOOKUP($B375,Reference!$A$6:$C$27,3,FALSE)&gt;0,VLOOKUP($B375,Reference!$A$6:$C$27,3,FALSE),""),""))</f>
        <v/>
      </c>
      <c r="E375" s="53"/>
      <c r="F375" s="82">
        <f>IF(OR($A375="",$B375="",NOT(ISNUMBER($C375))),"",IF(ISNUMBER($E375),IF($E375&gt;0,EDATE($C375,$E375),""),IF(ISNUMBER($D375),EDATE($C375,$D375),"")))</f>
        <v/>
      </c>
      <c r="G375" s="83">
        <f>IF($F375="","",$F375-TODAY())</f>
        <v/>
      </c>
      <c r="H375" s="85">
        <f>IF(OR($A375="",$B375=""),"",IF($F375="","No date",IF($G375&lt;0,"Overdue",IF($G375&lt;=30,"Due &lt;=30",IF($G375&lt;=60,"Due 31-60","OK")))))</f>
        <v/>
      </c>
      <c r="I375" s="54"/>
      <c r="J375" s="54"/>
      <c r="K375" s="54"/>
      <c r="L375" s="54"/>
      <c r="M375" s="105">
        <f>IF($F375="","",$F375+ROW()/100000)</f>
        <v/>
      </c>
    </row>
    <row r="376" spans="1:13">
      <c r="A376" s="54"/>
      <c r="B376" s="54"/>
      <c r="C376" s="52"/>
      <c r="D376" s="83">
        <f>IF($B376="","",IFERROR(IF(VLOOKUP($B376,Reference!$A$6:$C$27,3,FALSE)&gt;0,VLOOKUP($B376,Reference!$A$6:$C$27,3,FALSE),""),""))</f>
        <v/>
      </c>
      <c r="E376" s="53"/>
      <c r="F376" s="82">
        <f>IF(OR($A376="",$B376="",NOT(ISNUMBER($C376))),"",IF(ISNUMBER($E376),IF($E376&gt;0,EDATE($C376,$E376),""),IF(ISNUMBER($D376),EDATE($C376,$D376),"")))</f>
        <v/>
      </c>
      <c r="G376" s="83">
        <f>IF($F376="","",$F376-TODAY())</f>
        <v/>
      </c>
      <c r="H376" s="85">
        <f>IF(OR($A376="",$B376=""),"",IF($F376="","No date",IF($G376&lt;0,"Overdue",IF($G376&lt;=30,"Due &lt;=30",IF($G376&lt;=60,"Due 31-60","OK")))))</f>
        <v/>
      </c>
      <c r="I376" s="54"/>
      <c r="J376" s="54"/>
      <c r="K376" s="54"/>
      <c r="L376" s="54"/>
      <c r="M376" s="105">
        <f>IF($F376="","",$F376+ROW()/100000)</f>
        <v/>
      </c>
    </row>
    <row r="377" spans="1:13">
      <c r="A377" s="54"/>
      <c r="B377" s="54"/>
      <c r="C377" s="52"/>
      <c r="D377" s="83">
        <f>IF($B377="","",IFERROR(IF(VLOOKUP($B377,Reference!$A$6:$C$27,3,FALSE)&gt;0,VLOOKUP($B377,Reference!$A$6:$C$27,3,FALSE),""),""))</f>
        <v/>
      </c>
      <c r="E377" s="53"/>
      <c r="F377" s="82">
        <f>IF(OR($A377="",$B377="",NOT(ISNUMBER($C377))),"",IF(ISNUMBER($E377),IF($E377&gt;0,EDATE($C377,$E377),""),IF(ISNUMBER($D377),EDATE($C377,$D377),"")))</f>
        <v/>
      </c>
      <c r="G377" s="83">
        <f>IF($F377="","",$F377-TODAY())</f>
        <v/>
      </c>
      <c r="H377" s="85">
        <f>IF(OR($A377="",$B377=""),"",IF($F377="","No date",IF($G377&lt;0,"Overdue",IF($G377&lt;=30,"Due &lt;=30",IF($G377&lt;=60,"Due 31-60","OK")))))</f>
        <v/>
      </c>
      <c r="I377" s="54"/>
      <c r="J377" s="54"/>
      <c r="K377" s="54"/>
      <c r="L377" s="54"/>
      <c r="M377" s="105">
        <f>IF($F377="","",$F377+ROW()/100000)</f>
        <v/>
      </c>
    </row>
    <row r="378" spans="1:13">
      <c r="A378" s="54"/>
      <c r="B378" s="54"/>
      <c r="C378" s="52"/>
      <c r="D378" s="83">
        <f>IF($B378="","",IFERROR(IF(VLOOKUP($B378,Reference!$A$6:$C$27,3,FALSE)&gt;0,VLOOKUP($B378,Reference!$A$6:$C$27,3,FALSE),""),""))</f>
        <v/>
      </c>
      <c r="E378" s="53"/>
      <c r="F378" s="82">
        <f>IF(OR($A378="",$B378="",NOT(ISNUMBER($C378))),"",IF(ISNUMBER($E378),IF($E378&gt;0,EDATE($C378,$E378),""),IF(ISNUMBER($D378),EDATE($C378,$D378),"")))</f>
        <v/>
      </c>
      <c r="G378" s="83">
        <f>IF($F378="","",$F378-TODAY())</f>
        <v/>
      </c>
      <c r="H378" s="85">
        <f>IF(OR($A378="",$B378=""),"",IF($F378="","No date",IF($G378&lt;0,"Overdue",IF($G378&lt;=30,"Due &lt;=30",IF($G378&lt;=60,"Due 31-60","OK")))))</f>
        <v/>
      </c>
      <c r="I378" s="54"/>
      <c r="J378" s="54"/>
      <c r="K378" s="54"/>
      <c r="L378" s="54"/>
      <c r="M378" s="105">
        <f>IF($F378="","",$F378+ROW()/100000)</f>
        <v/>
      </c>
    </row>
    <row r="379" spans="1:13">
      <c r="A379" s="54"/>
      <c r="B379" s="54"/>
      <c r="C379" s="52"/>
      <c r="D379" s="83">
        <f>IF($B379="","",IFERROR(IF(VLOOKUP($B379,Reference!$A$6:$C$27,3,FALSE)&gt;0,VLOOKUP($B379,Reference!$A$6:$C$27,3,FALSE),""),""))</f>
        <v/>
      </c>
      <c r="E379" s="53"/>
      <c r="F379" s="82">
        <f>IF(OR($A379="",$B379="",NOT(ISNUMBER($C379))),"",IF(ISNUMBER($E379),IF($E379&gt;0,EDATE($C379,$E379),""),IF(ISNUMBER($D379),EDATE($C379,$D379),"")))</f>
        <v/>
      </c>
      <c r="G379" s="83">
        <f>IF($F379="","",$F379-TODAY())</f>
        <v/>
      </c>
      <c r="H379" s="85">
        <f>IF(OR($A379="",$B379=""),"",IF($F379="","No date",IF($G379&lt;0,"Overdue",IF($G379&lt;=30,"Due &lt;=30",IF($G379&lt;=60,"Due 31-60","OK")))))</f>
        <v/>
      </c>
      <c r="I379" s="54"/>
      <c r="J379" s="54"/>
      <c r="K379" s="54"/>
      <c r="L379" s="54"/>
      <c r="M379" s="105">
        <f>IF($F379="","",$F379+ROW()/100000)</f>
        <v/>
      </c>
    </row>
    <row r="380" spans="1:13">
      <c r="A380" s="54"/>
      <c r="B380" s="54"/>
      <c r="C380" s="52"/>
      <c r="D380" s="83">
        <f>IF($B380="","",IFERROR(IF(VLOOKUP($B380,Reference!$A$6:$C$27,3,FALSE)&gt;0,VLOOKUP($B380,Reference!$A$6:$C$27,3,FALSE),""),""))</f>
        <v/>
      </c>
      <c r="E380" s="53"/>
      <c r="F380" s="82">
        <f>IF(OR($A380="",$B380="",NOT(ISNUMBER($C380))),"",IF(ISNUMBER($E380),IF($E380&gt;0,EDATE($C380,$E380),""),IF(ISNUMBER($D380),EDATE($C380,$D380),"")))</f>
        <v/>
      </c>
      <c r="G380" s="83">
        <f>IF($F380="","",$F380-TODAY())</f>
        <v/>
      </c>
      <c r="H380" s="85">
        <f>IF(OR($A380="",$B380=""),"",IF($F380="","No date",IF($G380&lt;0,"Overdue",IF($G380&lt;=30,"Due &lt;=30",IF($G380&lt;=60,"Due 31-60","OK")))))</f>
        <v/>
      </c>
      <c r="I380" s="54"/>
      <c r="J380" s="54"/>
      <c r="K380" s="54"/>
      <c r="L380" s="54"/>
      <c r="M380" s="105">
        <f>IF($F380="","",$F380+ROW()/100000)</f>
        <v/>
      </c>
    </row>
    <row r="381" spans="1:13">
      <c r="A381" s="54"/>
      <c r="B381" s="54"/>
      <c r="C381" s="52"/>
      <c r="D381" s="83">
        <f>IF($B381="","",IFERROR(IF(VLOOKUP($B381,Reference!$A$6:$C$27,3,FALSE)&gt;0,VLOOKUP($B381,Reference!$A$6:$C$27,3,FALSE),""),""))</f>
        <v/>
      </c>
      <c r="E381" s="53"/>
      <c r="F381" s="82">
        <f>IF(OR($A381="",$B381="",NOT(ISNUMBER($C381))),"",IF(ISNUMBER($E381),IF($E381&gt;0,EDATE($C381,$E381),""),IF(ISNUMBER($D381),EDATE($C381,$D381),"")))</f>
        <v/>
      </c>
      <c r="G381" s="83">
        <f>IF($F381="","",$F381-TODAY())</f>
        <v/>
      </c>
      <c r="H381" s="85">
        <f>IF(OR($A381="",$B381=""),"",IF($F381="","No date",IF($G381&lt;0,"Overdue",IF($G381&lt;=30,"Due &lt;=30",IF($G381&lt;=60,"Due 31-60","OK")))))</f>
        <v/>
      </c>
      <c r="I381" s="54"/>
      <c r="J381" s="54"/>
      <c r="K381" s="54"/>
      <c r="L381" s="54"/>
      <c r="M381" s="105">
        <f>IF($F381="","",$F381+ROW()/100000)</f>
        <v/>
      </c>
    </row>
    <row r="382" spans="1:13">
      <c r="A382" s="54"/>
      <c r="B382" s="54"/>
      <c r="C382" s="52"/>
      <c r="D382" s="83">
        <f>IF($B382="","",IFERROR(IF(VLOOKUP($B382,Reference!$A$6:$C$27,3,FALSE)&gt;0,VLOOKUP($B382,Reference!$A$6:$C$27,3,FALSE),""),""))</f>
        <v/>
      </c>
      <c r="E382" s="53"/>
      <c r="F382" s="82">
        <f>IF(OR($A382="",$B382="",NOT(ISNUMBER($C382))),"",IF(ISNUMBER($E382),IF($E382&gt;0,EDATE($C382,$E382),""),IF(ISNUMBER($D382),EDATE($C382,$D382),"")))</f>
        <v/>
      </c>
      <c r="G382" s="83">
        <f>IF($F382="","",$F382-TODAY())</f>
        <v/>
      </c>
      <c r="H382" s="85">
        <f>IF(OR($A382="",$B382=""),"",IF($F382="","No date",IF($G382&lt;0,"Overdue",IF($G382&lt;=30,"Due &lt;=30",IF($G382&lt;=60,"Due 31-60","OK")))))</f>
        <v/>
      </c>
      <c r="I382" s="54"/>
      <c r="J382" s="54"/>
      <c r="K382" s="54"/>
      <c r="L382" s="54"/>
      <c r="M382" s="105">
        <f>IF($F382="","",$F382+ROW()/100000)</f>
        <v/>
      </c>
    </row>
    <row r="383" spans="1:13">
      <c r="A383" s="54"/>
      <c r="B383" s="54"/>
      <c r="C383" s="52"/>
      <c r="D383" s="83">
        <f>IF($B383="","",IFERROR(IF(VLOOKUP($B383,Reference!$A$6:$C$27,3,FALSE)&gt;0,VLOOKUP($B383,Reference!$A$6:$C$27,3,FALSE),""),""))</f>
        <v/>
      </c>
      <c r="E383" s="53"/>
      <c r="F383" s="82">
        <f>IF(OR($A383="",$B383="",NOT(ISNUMBER($C383))),"",IF(ISNUMBER($E383),IF($E383&gt;0,EDATE($C383,$E383),""),IF(ISNUMBER($D383),EDATE($C383,$D383),"")))</f>
        <v/>
      </c>
      <c r="G383" s="83">
        <f>IF($F383="","",$F383-TODAY())</f>
        <v/>
      </c>
      <c r="H383" s="85">
        <f>IF(OR($A383="",$B383=""),"",IF($F383="","No date",IF($G383&lt;0,"Overdue",IF($G383&lt;=30,"Due &lt;=30",IF($G383&lt;=60,"Due 31-60","OK")))))</f>
        <v/>
      </c>
      <c r="I383" s="54"/>
      <c r="J383" s="54"/>
      <c r="K383" s="54"/>
      <c r="L383" s="54"/>
      <c r="M383" s="105">
        <f>IF($F383="","",$F383+ROW()/100000)</f>
        <v/>
      </c>
    </row>
    <row r="384" spans="1:13">
      <c r="A384" s="54"/>
      <c r="B384" s="54"/>
      <c r="C384" s="52"/>
      <c r="D384" s="83">
        <f>IF($B384="","",IFERROR(IF(VLOOKUP($B384,Reference!$A$6:$C$27,3,FALSE)&gt;0,VLOOKUP($B384,Reference!$A$6:$C$27,3,FALSE),""),""))</f>
        <v/>
      </c>
      <c r="E384" s="53"/>
      <c r="F384" s="82">
        <f>IF(OR($A384="",$B384="",NOT(ISNUMBER($C384))),"",IF(ISNUMBER($E384),IF($E384&gt;0,EDATE($C384,$E384),""),IF(ISNUMBER($D384),EDATE($C384,$D384),"")))</f>
        <v/>
      </c>
      <c r="G384" s="83">
        <f>IF($F384="","",$F384-TODAY())</f>
        <v/>
      </c>
      <c r="H384" s="85">
        <f>IF(OR($A384="",$B384=""),"",IF($F384="","No date",IF($G384&lt;0,"Overdue",IF($G384&lt;=30,"Due &lt;=30",IF($G384&lt;=60,"Due 31-60","OK")))))</f>
        <v/>
      </c>
      <c r="I384" s="54"/>
      <c r="J384" s="54"/>
      <c r="K384" s="54"/>
      <c r="L384" s="54"/>
      <c r="M384" s="105">
        <f>IF($F384="","",$F384+ROW()/100000)</f>
        <v/>
      </c>
    </row>
    <row r="385" spans="1:13">
      <c r="A385" s="54"/>
      <c r="B385" s="54"/>
      <c r="C385" s="52"/>
      <c r="D385" s="83">
        <f>IF($B385="","",IFERROR(IF(VLOOKUP($B385,Reference!$A$6:$C$27,3,FALSE)&gt;0,VLOOKUP($B385,Reference!$A$6:$C$27,3,FALSE),""),""))</f>
        <v/>
      </c>
      <c r="E385" s="53"/>
      <c r="F385" s="82">
        <f>IF(OR($A385="",$B385="",NOT(ISNUMBER($C385))),"",IF(ISNUMBER($E385),IF($E385&gt;0,EDATE($C385,$E385),""),IF(ISNUMBER($D385),EDATE($C385,$D385),"")))</f>
        <v/>
      </c>
      <c r="G385" s="83">
        <f>IF($F385="","",$F385-TODAY())</f>
        <v/>
      </c>
      <c r="H385" s="85">
        <f>IF(OR($A385="",$B385=""),"",IF($F385="","No date",IF($G385&lt;0,"Overdue",IF($G385&lt;=30,"Due &lt;=30",IF($G385&lt;=60,"Due 31-60","OK")))))</f>
        <v/>
      </c>
      <c r="I385" s="54"/>
      <c r="J385" s="54"/>
      <c r="K385" s="54"/>
      <c r="L385" s="54"/>
      <c r="M385" s="105">
        <f>IF($F385="","",$F385+ROW()/100000)</f>
        <v/>
      </c>
    </row>
    <row r="386" spans="1:13">
      <c r="A386" s="54"/>
      <c r="B386" s="54"/>
      <c r="C386" s="52"/>
      <c r="D386" s="83">
        <f>IF($B386="","",IFERROR(IF(VLOOKUP($B386,Reference!$A$6:$C$27,3,FALSE)&gt;0,VLOOKUP($B386,Reference!$A$6:$C$27,3,FALSE),""),""))</f>
        <v/>
      </c>
      <c r="E386" s="53"/>
      <c r="F386" s="82">
        <f>IF(OR($A386="",$B386="",NOT(ISNUMBER($C386))),"",IF(ISNUMBER($E386),IF($E386&gt;0,EDATE($C386,$E386),""),IF(ISNUMBER($D386),EDATE($C386,$D386),"")))</f>
        <v/>
      </c>
      <c r="G386" s="83">
        <f>IF($F386="","",$F386-TODAY())</f>
        <v/>
      </c>
      <c r="H386" s="85">
        <f>IF(OR($A386="",$B386=""),"",IF($F386="","No date",IF($G386&lt;0,"Overdue",IF($G386&lt;=30,"Due &lt;=30",IF($G386&lt;=60,"Due 31-60","OK")))))</f>
        <v/>
      </c>
      <c r="I386" s="54"/>
      <c r="J386" s="54"/>
      <c r="K386" s="54"/>
      <c r="L386" s="54"/>
      <c r="M386" s="105">
        <f>IF($F386="","",$F386+ROW()/100000)</f>
        <v/>
      </c>
    </row>
    <row r="387" spans="1:13">
      <c r="A387" s="54"/>
      <c r="B387" s="54"/>
      <c r="C387" s="52"/>
      <c r="D387" s="83">
        <f>IF($B387="","",IFERROR(IF(VLOOKUP($B387,Reference!$A$6:$C$27,3,FALSE)&gt;0,VLOOKUP($B387,Reference!$A$6:$C$27,3,FALSE),""),""))</f>
        <v/>
      </c>
      <c r="E387" s="53"/>
      <c r="F387" s="82">
        <f>IF(OR($A387="",$B387="",NOT(ISNUMBER($C387))),"",IF(ISNUMBER($E387),IF($E387&gt;0,EDATE($C387,$E387),""),IF(ISNUMBER($D387),EDATE($C387,$D387),"")))</f>
        <v/>
      </c>
      <c r="G387" s="83">
        <f>IF($F387="","",$F387-TODAY())</f>
        <v/>
      </c>
      <c r="H387" s="85">
        <f>IF(OR($A387="",$B387=""),"",IF($F387="","No date",IF($G387&lt;0,"Overdue",IF($G387&lt;=30,"Due &lt;=30",IF($G387&lt;=60,"Due 31-60","OK")))))</f>
        <v/>
      </c>
      <c r="I387" s="54"/>
      <c r="J387" s="54"/>
      <c r="K387" s="54"/>
      <c r="L387" s="54"/>
      <c r="M387" s="105">
        <f>IF($F387="","",$F387+ROW()/100000)</f>
        <v/>
      </c>
    </row>
    <row r="388" spans="1:13">
      <c r="A388" s="54"/>
      <c r="B388" s="54"/>
      <c r="C388" s="52"/>
      <c r="D388" s="83">
        <f>IF($B388="","",IFERROR(IF(VLOOKUP($B388,Reference!$A$6:$C$27,3,FALSE)&gt;0,VLOOKUP($B388,Reference!$A$6:$C$27,3,FALSE),""),""))</f>
        <v/>
      </c>
      <c r="E388" s="53"/>
      <c r="F388" s="82">
        <f>IF(OR($A388="",$B388="",NOT(ISNUMBER($C388))),"",IF(ISNUMBER($E388),IF($E388&gt;0,EDATE($C388,$E388),""),IF(ISNUMBER($D388),EDATE($C388,$D388),"")))</f>
        <v/>
      </c>
      <c r="G388" s="83">
        <f>IF($F388="","",$F388-TODAY())</f>
        <v/>
      </c>
      <c r="H388" s="85">
        <f>IF(OR($A388="",$B388=""),"",IF($F388="","No date",IF($G388&lt;0,"Overdue",IF($G388&lt;=30,"Due &lt;=30",IF($G388&lt;=60,"Due 31-60","OK")))))</f>
        <v/>
      </c>
      <c r="I388" s="54"/>
      <c r="J388" s="54"/>
      <c r="K388" s="54"/>
      <c r="L388" s="54"/>
      <c r="M388" s="105">
        <f>IF($F388="","",$F388+ROW()/100000)</f>
        <v/>
      </c>
    </row>
    <row r="389" spans="1:13">
      <c r="A389" s="54"/>
      <c r="B389" s="54"/>
      <c r="C389" s="52"/>
      <c r="D389" s="83">
        <f>IF($B389="","",IFERROR(IF(VLOOKUP($B389,Reference!$A$6:$C$27,3,FALSE)&gt;0,VLOOKUP($B389,Reference!$A$6:$C$27,3,FALSE),""),""))</f>
        <v/>
      </c>
      <c r="E389" s="53"/>
      <c r="F389" s="82">
        <f>IF(OR($A389="",$B389="",NOT(ISNUMBER($C389))),"",IF(ISNUMBER($E389),IF($E389&gt;0,EDATE($C389,$E389),""),IF(ISNUMBER($D389),EDATE($C389,$D389),"")))</f>
        <v/>
      </c>
      <c r="G389" s="83">
        <f>IF($F389="","",$F389-TODAY())</f>
        <v/>
      </c>
      <c r="H389" s="85">
        <f>IF(OR($A389="",$B389=""),"",IF($F389="","No date",IF($G389&lt;0,"Overdue",IF($G389&lt;=30,"Due &lt;=30",IF($G389&lt;=60,"Due 31-60","OK")))))</f>
        <v/>
      </c>
      <c r="I389" s="54"/>
      <c r="J389" s="54"/>
      <c r="K389" s="54"/>
      <c r="L389" s="54"/>
      <c r="M389" s="105">
        <f>IF($F389="","",$F389+ROW()/100000)</f>
        <v/>
      </c>
    </row>
    <row r="390" spans="1:13">
      <c r="A390" s="54"/>
      <c r="B390" s="54"/>
      <c r="C390" s="52"/>
      <c r="D390" s="83">
        <f>IF($B390="","",IFERROR(IF(VLOOKUP($B390,Reference!$A$6:$C$27,3,FALSE)&gt;0,VLOOKUP($B390,Reference!$A$6:$C$27,3,FALSE),""),""))</f>
        <v/>
      </c>
      <c r="E390" s="53"/>
      <c r="F390" s="82">
        <f>IF(OR($A390="",$B390="",NOT(ISNUMBER($C390))),"",IF(ISNUMBER($E390),IF($E390&gt;0,EDATE($C390,$E390),""),IF(ISNUMBER($D390),EDATE($C390,$D390),"")))</f>
        <v/>
      </c>
      <c r="G390" s="83">
        <f>IF($F390="","",$F390-TODAY())</f>
        <v/>
      </c>
      <c r="H390" s="85">
        <f>IF(OR($A390="",$B390=""),"",IF($F390="","No date",IF($G390&lt;0,"Overdue",IF($G390&lt;=30,"Due &lt;=30",IF($G390&lt;=60,"Due 31-60","OK")))))</f>
        <v/>
      </c>
      <c r="I390" s="54"/>
      <c r="J390" s="54"/>
      <c r="K390" s="54"/>
      <c r="L390" s="54"/>
      <c r="M390" s="105">
        <f>IF($F390="","",$F390+ROW()/100000)</f>
        <v/>
      </c>
    </row>
    <row r="391" spans="1:13">
      <c r="A391" s="54"/>
      <c r="B391" s="54"/>
      <c r="C391" s="52"/>
      <c r="D391" s="83">
        <f>IF($B391="","",IFERROR(IF(VLOOKUP($B391,Reference!$A$6:$C$27,3,FALSE)&gt;0,VLOOKUP($B391,Reference!$A$6:$C$27,3,FALSE),""),""))</f>
        <v/>
      </c>
      <c r="E391" s="53"/>
      <c r="F391" s="82">
        <f>IF(OR($A391="",$B391="",NOT(ISNUMBER($C391))),"",IF(ISNUMBER($E391),IF($E391&gt;0,EDATE($C391,$E391),""),IF(ISNUMBER($D391),EDATE($C391,$D391),"")))</f>
        <v/>
      </c>
      <c r="G391" s="83">
        <f>IF($F391="","",$F391-TODAY())</f>
        <v/>
      </c>
      <c r="H391" s="85">
        <f>IF(OR($A391="",$B391=""),"",IF($F391="","No date",IF($G391&lt;0,"Overdue",IF($G391&lt;=30,"Due &lt;=30",IF($G391&lt;=60,"Due 31-60","OK")))))</f>
        <v/>
      </c>
      <c r="I391" s="54"/>
      <c r="J391" s="54"/>
      <c r="K391" s="54"/>
      <c r="L391" s="54"/>
      <c r="M391" s="105">
        <f>IF($F391="","",$F391+ROW()/100000)</f>
        <v/>
      </c>
    </row>
    <row r="392" spans="1:13">
      <c r="A392" s="54"/>
      <c r="B392" s="54"/>
      <c r="C392" s="52"/>
      <c r="D392" s="83">
        <f>IF($B392="","",IFERROR(IF(VLOOKUP($B392,Reference!$A$6:$C$27,3,FALSE)&gt;0,VLOOKUP($B392,Reference!$A$6:$C$27,3,FALSE),""),""))</f>
        <v/>
      </c>
      <c r="E392" s="53"/>
      <c r="F392" s="82">
        <f>IF(OR($A392="",$B392="",NOT(ISNUMBER($C392))),"",IF(ISNUMBER($E392),IF($E392&gt;0,EDATE($C392,$E392),""),IF(ISNUMBER($D392),EDATE($C392,$D392),"")))</f>
        <v/>
      </c>
      <c r="G392" s="83">
        <f>IF($F392="","",$F392-TODAY())</f>
        <v/>
      </c>
      <c r="H392" s="85">
        <f>IF(OR($A392="",$B392=""),"",IF($F392="","No date",IF($G392&lt;0,"Overdue",IF($G392&lt;=30,"Due &lt;=30",IF($G392&lt;=60,"Due 31-60","OK")))))</f>
        <v/>
      </c>
      <c r="I392" s="54"/>
      <c r="J392" s="54"/>
      <c r="K392" s="54"/>
      <c r="L392" s="54"/>
      <c r="M392" s="105">
        <f>IF($F392="","",$F392+ROW()/100000)</f>
        <v/>
      </c>
    </row>
    <row r="393" spans="1:13">
      <c r="A393" s="54"/>
      <c r="B393" s="54"/>
      <c r="C393" s="52"/>
      <c r="D393" s="83">
        <f>IF($B393="","",IFERROR(IF(VLOOKUP($B393,Reference!$A$6:$C$27,3,FALSE)&gt;0,VLOOKUP($B393,Reference!$A$6:$C$27,3,FALSE),""),""))</f>
        <v/>
      </c>
      <c r="E393" s="53"/>
      <c r="F393" s="82">
        <f>IF(OR($A393="",$B393="",NOT(ISNUMBER($C393))),"",IF(ISNUMBER($E393),IF($E393&gt;0,EDATE($C393,$E393),""),IF(ISNUMBER($D393),EDATE($C393,$D393),"")))</f>
        <v/>
      </c>
      <c r="G393" s="83">
        <f>IF($F393="","",$F393-TODAY())</f>
        <v/>
      </c>
      <c r="H393" s="85">
        <f>IF(OR($A393="",$B393=""),"",IF($F393="","No date",IF($G393&lt;0,"Overdue",IF($G393&lt;=30,"Due &lt;=30",IF($G393&lt;=60,"Due 31-60","OK")))))</f>
        <v/>
      </c>
      <c r="I393" s="54"/>
      <c r="J393" s="54"/>
      <c r="K393" s="54"/>
      <c r="L393" s="54"/>
      <c r="M393" s="105">
        <f>IF($F393="","",$F393+ROW()/100000)</f>
        <v/>
      </c>
    </row>
    <row r="394" spans="1:13">
      <c r="A394" s="54"/>
      <c r="B394" s="54"/>
      <c r="C394" s="52"/>
      <c r="D394" s="83">
        <f>IF($B394="","",IFERROR(IF(VLOOKUP($B394,Reference!$A$6:$C$27,3,FALSE)&gt;0,VLOOKUP($B394,Reference!$A$6:$C$27,3,FALSE),""),""))</f>
        <v/>
      </c>
      <c r="E394" s="53"/>
      <c r="F394" s="82">
        <f>IF(OR($A394="",$B394="",NOT(ISNUMBER($C394))),"",IF(ISNUMBER($E394),IF($E394&gt;0,EDATE($C394,$E394),""),IF(ISNUMBER($D394),EDATE($C394,$D394),"")))</f>
        <v/>
      </c>
      <c r="G394" s="83">
        <f>IF($F394="","",$F394-TODAY())</f>
        <v/>
      </c>
      <c r="H394" s="85">
        <f>IF(OR($A394="",$B394=""),"",IF($F394="","No date",IF($G394&lt;0,"Overdue",IF($G394&lt;=30,"Due &lt;=30",IF($G394&lt;=60,"Due 31-60","OK")))))</f>
        <v/>
      </c>
      <c r="I394" s="54"/>
      <c r="J394" s="54"/>
      <c r="K394" s="54"/>
      <c r="L394" s="54"/>
      <c r="M394" s="105">
        <f>IF($F394="","",$F394+ROW()/100000)</f>
        <v/>
      </c>
    </row>
    <row r="395" spans="1:13">
      <c r="A395" s="54"/>
      <c r="B395" s="54"/>
      <c r="C395" s="52"/>
      <c r="D395" s="83">
        <f>IF($B395="","",IFERROR(IF(VLOOKUP($B395,Reference!$A$6:$C$27,3,FALSE)&gt;0,VLOOKUP($B395,Reference!$A$6:$C$27,3,FALSE),""),""))</f>
        <v/>
      </c>
      <c r="E395" s="53"/>
      <c r="F395" s="82">
        <f>IF(OR($A395="",$B395="",NOT(ISNUMBER($C395))),"",IF(ISNUMBER($E395),IF($E395&gt;0,EDATE($C395,$E395),""),IF(ISNUMBER($D395),EDATE($C395,$D395),"")))</f>
        <v/>
      </c>
      <c r="G395" s="83">
        <f>IF($F395="","",$F395-TODAY())</f>
        <v/>
      </c>
      <c r="H395" s="85">
        <f>IF(OR($A395="",$B395=""),"",IF($F395="","No date",IF($G395&lt;0,"Overdue",IF($G395&lt;=30,"Due &lt;=30",IF($G395&lt;=60,"Due 31-60","OK")))))</f>
        <v/>
      </c>
      <c r="I395" s="54"/>
      <c r="J395" s="54"/>
      <c r="K395" s="54"/>
      <c r="L395" s="54"/>
      <c r="M395" s="105">
        <f>IF($F395="","",$F395+ROW()/100000)</f>
        <v/>
      </c>
    </row>
    <row r="396" spans="1:13">
      <c r="A396" s="54"/>
      <c r="B396" s="54"/>
      <c r="C396" s="52"/>
      <c r="D396" s="83">
        <f>IF($B396="","",IFERROR(IF(VLOOKUP($B396,Reference!$A$6:$C$27,3,FALSE)&gt;0,VLOOKUP($B396,Reference!$A$6:$C$27,3,FALSE),""),""))</f>
        <v/>
      </c>
      <c r="E396" s="53"/>
      <c r="F396" s="82">
        <f>IF(OR($A396="",$B396="",NOT(ISNUMBER($C396))),"",IF(ISNUMBER($E396),IF($E396&gt;0,EDATE($C396,$E396),""),IF(ISNUMBER($D396),EDATE($C396,$D396),"")))</f>
        <v/>
      </c>
      <c r="G396" s="83">
        <f>IF($F396="","",$F396-TODAY())</f>
        <v/>
      </c>
      <c r="H396" s="85">
        <f>IF(OR($A396="",$B396=""),"",IF($F396="","No date",IF($G396&lt;0,"Overdue",IF($G396&lt;=30,"Due &lt;=30",IF($G396&lt;=60,"Due 31-60","OK")))))</f>
        <v/>
      </c>
      <c r="I396" s="54"/>
      <c r="J396" s="54"/>
      <c r="K396" s="54"/>
      <c r="L396" s="54"/>
      <c r="M396" s="105">
        <f>IF($F396="","",$F396+ROW()/100000)</f>
        <v/>
      </c>
    </row>
    <row r="397" spans="1:13">
      <c r="A397" s="54"/>
      <c r="B397" s="54"/>
      <c r="C397" s="52"/>
      <c r="D397" s="83">
        <f>IF($B397="","",IFERROR(IF(VLOOKUP($B397,Reference!$A$6:$C$27,3,FALSE)&gt;0,VLOOKUP($B397,Reference!$A$6:$C$27,3,FALSE),""),""))</f>
        <v/>
      </c>
      <c r="E397" s="53"/>
      <c r="F397" s="82">
        <f>IF(OR($A397="",$B397="",NOT(ISNUMBER($C397))),"",IF(ISNUMBER($E397),IF($E397&gt;0,EDATE($C397,$E397),""),IF(ISNUMBER($D397),EDATE($C397,$D397),"")))</f>
        <v/>
      </c>
      <c r="G397" s="83">
        <f>IF($F397="","",$F397-TODAY())</f>
        <v/>
      </c>
      <c r="H397" s="85">
        <f>IF(OR($A397="",$B397=""),"",IF($F397="","No date",IF($G397&lt;0,"Overdue",IF($G397&lt;=30,"Due &lt;=30",IF($G397&lt;=60,"Due 31-60","OK")))))</f>
        <v/>
      </c>
      <c r="I397" s="54"/>
      <c r="J397" s="54"/>
      <c r="K397" s="54"/>
      <c r="L397" s="54"/>
      <c r="M397" s="105">
        <f>IF($F397="","",$F397+ROW()/100000)</f>
        <v/>
      </c>
    </row>
    <row r="398" spans="1:13">
      <c r="A398" s="54"/>
      <c r="B398" s="54"/>
      <c r="C398" s="52"/>
      <c r="D398" s="83">
        <f>IF($B398="","",IFERROR(IF(VLOOKUP($B398,Reference!$A$6:$C$27,3,FALSE)&gt;0,VLOOKUP($B398,Reference!$A$6:$C$27,3,FALSE),""),""))</f>
        <v/>
      </c>
      <c r="E398" s="53"/>
      <c r="F398" s="82">
        <f>IF(OR($A398="",$B398="",NOT(ISNUMBER($C398))),"",IF(ISNUMBER($E398),IF($E398&gt;0,EDATE($C398,$E398),""),IF(ISNUMBER($D398),EDATE($C398,$D398),"")))</f>
        <v/>
      </c>
      <c r="G398" s="83">
        <f>IF($F398="","",$F398-TODAY())</f>
        <v/>
      </c>
      <c r="H398" s="85">
        <f>IF(OR($A398="",$B398=""),"",IF($F398="","No date",IF($G398&lt;0,"Overdue",IF($G398&lt;=30,"Due &lt;=30",IF($G398&lt;=60,"Due 31-60","OK")))))</f>
        <v/>
      </c>
      <c r="I398" s="54"/>
      <c r="J398" s="54"/>
      <c r="K398" s="54"/>
      <c r="L398" s="54"/>
      <c r="M398" s="105">
        <f>IF($F398="","",$F398+ROW()/100000)</f>
        <v/>
      </c>
    </row>
    <row r="399" spans="1:13">
      <c r="A399" s="54"/>
      <c r="B399" s="54"/>
      <c r="C399" s="52"/>
      <c r="D399" s="83">
        <f>IF($B399="","",IFERROR(IF(VLOOKUP($B399,Reference!$A$6:$C$27,3,FALSE)&gt;0,VLOOKUP($B399,Reference!$A$6:$C$27,3,FALSE),""),""))</f>
        <v/>
      </c>
      <c r="E399" s="53"/>
      <c r="F399" s="82">
        <f>IF(OR($A399="",$B399="",NOT(ISNUMBER($C399))),"",IF(ISNUMBER($E399),IF($E399&gt;0,EDATE($C399,$E399),""),IF(ISNUMBER($D399),EDATE($C399,$D399),"")))</f>
        <v/>
      </c>
      <c r="G399" s="83">
        <f>IF($F399="","",$F399-TODAY())</f>
        <v/>
      </c>
      <c r="H399" s="85">
        <f>IF(OR($A399="",$B399=""),"",IF($F399="","No date",IF($G399&lt;0,"Overdue",IF($G399&lt;=30,"Due &lt;=30",IF($G399&lt;=60,"Due 31-60","OK")))))</f>
        <v/>
      </c>
      <c r="I399" s="54"/>
      <c r="J399" s="54"/>
      <c r="K399" s="54"/>
      <c r="L399" s="54"/>
      <c r="M399" s="105">
        <f>IF($F399="","",$F399+ROW()/100000)</f>
        <v/>
      </c>
    </row>
    <row r="400" spans="1:13">
      <c r="A400" s="54"/>
      <c r="B400" s="54"/>
      <c r="C400" s="52"/>
      <c r="D400" s="83">
        <f>IF($B400="","",IFERROR(IF(VLOOKUP($B400,Reference!$A$6:$C$27,3,FALSE)&gt;0,VLOOKUP($B400,Reference!$A$6:$C$27,3,FALSE),""),""))</f>
        <v/>
      </c>
      <c r="E400" s="53"/>
      <c r="F400" s="82">
        <f>IF(OR($A400="",$B400="",NOT(ISNUMBER($C400))),"",IF(ISNUMBER($E400),IF($E400&gt;0,EDATE($C400,$E400),""),IF(ISNUMBER($D400),EDATE($C400,$D400),"")))</f>
        <v/>
      </c>
      <c r="G400" s="83">
        <f>IF($F400="","",$F400-TODAY())</f>
        <v/>
      </c>
      <c r="H400" s="85">
        <f>IF(OR($A400="",$B400=""),"",IF($F400="","No date",IF($G400&lt;0,"Overdue",IF($G400&lt;=30,"Due &lt;=30",IF($G400&lt;=60,"Due 31-60","OK")))))</f>
        <v/>
      </c>
      <c r="I400" s="54"/>
      <c r="J400" s="54"/>
      <c r="K400" s="54"/>
      <c r="L400" s="54"/>
      <c r="M400" s="105">
        <f>IF($F400="","",$F400+ROW()/100000)</f>
        <v/>
      </c>
    </row>
    <row r="401" spans="1:13">
      <c r="A401" s="54"/>
      <c r="B401" s="54"/>
      <c r="C401" s="52"/>
      <c r="D401" s="83">
        <f>IF($B401="","",IFERROR(IF(VLOOKUP($B401,Reference!$A$6:$C$27,3,FALSE)&gt;0,VLOOKUP($B401,Reference!$A$6:$C$27,3,FALSE),""),""))</f>
        <v/>
      </c>
      <c r="E401" s="53"/>
      <c r="F401" s="82">
        <f>IF(OR($A401="",$B401="",NOT(ISNUMBER($C401))),"",IF(ISNUMBER($E401),IF($E401&gt;0,EDATE($C401,$E401),""),IF(ISNUMBER($D401),EDATE($C401,$D401),"")))</f>
        <v/>
      </c>
      <c r="G401" s="83">
        <f>IF($F401="","",$F401-TODAY())</f>
        <v/>
      </c>
      <c r="H401" s="85">
        <f>IF(OR($A401="",$B401=""),"",IF($F401="","No date",IF($G401&lt;0,"Overdue",IF($G401&lt;=30,"Due &lt;=30",IF($G401&lt;=60,"Due 31-60","OK")))))</f>
        <v/>
      </c>
      <c r="I401" s="54"/>
      <c r="J401" s="54"/>
      <c r="K401" s="54"/>
      <c r="L401" s="54"/>
      <c r="M401" s="105">
        <f>IF($F401="","",$F401+ROW()/100000)</f>
        <v/>
      </c>
    </row>
    <row r="402" spans="1:13">
      <c r="A402" s="54"/>
      <c r="B402" s="54"/>
      <c r="C402" s="52"/>
      <c r="D402" s="83">
        <f>IF($B402="","",IFERROR(IF(VLOOKUP($B402,Reference!$A$6:$C$27,3,FALSE)&gt;0,VLOOKUP($B402,Reference!$A$6:$C$27,3,FALSE),""),""))</f>
        <v/>
      </c>
      <c r="E402" s="53"/>
      <c r="F402" s="82">
        <f>IF(OR($A402="",$B402="",NOT(ISNUMBER($C402))),"",IF(ISNUMBER($E402),IF($E402&gt;0,EDATE($C402,$E402),""),IF(ISNUMBER($D402),EDATE($C402,$D402),"")))</f>
        <v/>
      </c>
      <c r="G402" s="83">
        <f>IF($F402="","",$F402-TODAY())</f>
        <v/>
      </c>
      <c r="H402" s="85">
        <f>IF(OR($A402="",$B402=""),"",IF($F402="","No date",IF($G402&lt;0,"Overdue",IF($G402&lt;=30,"Due &lt;=30",IF($G402&lt;=60,"Due 31-60","OK")))))</f>
        <v/>
      </c>
      <c r="I402" s="54"/>
      <c r="J402" s="54"/>
      <c r="K402" s="54"/>
      <c r="L402" s="54"/>
      <c r="M402" s="105">
        <f>IF($F402="","",$F402+ROW()/100000)</f>
        <v/>
      </c>
    </row>
    <row r="403" spans="1:13">
      <c r="A403" s="54"/>
      <c r="B403" s="54"/>
      <c r="C403" s="52"/>
      <c r="D403" s="83">
        <f>IF($B403="","",IFERROR(IF(VLOOKUP($B403,Reference!$A$6:$C$27,3,FALSE)&gt;0,VLOOKUP($B403,Reference!$A$6:$C$27,3,FALSE),""),""))</f>
        <v/>
      </c>
      <c r="E403" s="53"/>
      <c r="F403" s="82">
        <f>IF(OR($A403="",$B403="",NOT(ISNUMBER($C403))),"",IF(ISNUMBER($E403),IF($E403&gt;0,EDATE($C403,$E403),""),IF(ISNUMBER($D403),EDATE($C403,$D403),"")))</f>
        <v/>
      </c>
      <c r="G403" s="83">
        <f>IF($F403="","",$F403-TODAY())</f>
        <v/>
      </c>
      <c r="H403" s="85">
        <f>IF(OR($A403="",$B403=""),"",IF($F403="","No date",IF($G403&lt;0,"Overdue",IF($G403&lt;=30,"Due &lt;=30",IF($G403&lt;=60,"Due 31-60","OK")))))</f>
        <v/>
      </c>
      <c r="I403" s="54"/>
      <c r="J403" s="54"/>
      <c r="K403" s="54"/>
      <c r="L403" s="54"/>
      <c r="M403" s="105">
        <f>IF($F403="","",$F403+ROW()/100000)</f>
        <v/>
      </c>
    </row>
    <row r="404" spans="1:13">
      <c r="A404" s="54"/>
      <c r="B404" s="54"/>
      <c r="C404" s="52"/>
      <c r="D404" s="83">
        <f>IF($B404="","",IFERROR(IF(VLOOKUP($B404,Reference!$A$6:$C$27,3,FALSE)&gt;0,VLOOKUP($B404,Reference!$A$6:$C$27,3,FALSE),""),""))</f>
        <v/>
      </c>
      <c r="E404" s="53"/>
      <c r="F404" s="82">
        <f>IF(OR($A404="",$B404="",NOT(ISNUMBER($C404))),"",IF(ISNUMBER($E404),IF($E404&gt;0,EDATE($C404,$E404),""),IF(ISNUMBER($D404),EDATE($C404,$D404),"")))</f>
        <v/>
      </c>
      <c r="G404" s="83">
        <f>IF($F404="","",$F404-TODAY())</f>
        <v/>
      </c>
      <c r="H404" s="85">
        <f>IF(OR($A404="",$B404=""),"",IF($F404="","No date",IF($G404&lt;0,"Overdue",IF($G404&lt;=30,"Due &lt;=30",IF($G404&lt;=60,"Due 31-60","OK")))))</f>
        <v/>
      </c>
      <c r="I404" s="54"/>
      <c r="J404" s="54"/>
      <c r="K404" s="54"/>
      <c r="L404" s="54"/>
      <c r="M404" s="105">
        <f>IF($F404="","",$F404+ROW()/100000)</f>
        <v/>
      </c>
    </row>
    <row r="405" spans="1:13">
      <c r="A405" s="54"/>
      <c r="B405" s="54"/>
      <c r="C405" s="52"/>
      <c r="D405" s="83">
        <f>IF($B405="","",IFERROR(IF(VLOOKUP($B405,Reference!$A$6:$C$27,3,FALSE)&gt;0,VLOOKUP($B405,Reference!$A$6:$C$27,3,FALSE),""),""))</f>
        <v/>
      </c>
      <c r="E405" s="53"/>
      <c r="F405" s="82">
        <f>IF(OR($A405="",$B405="",NOT(ISNUMBER($C405))),"",IF(ISNUMBER($E405),IF($E405&gt;0,EDATE($C405,$E405),""),IF(ISNUMBER($D405),EDATE($C405,$D405),"")))</f>
        <v/>
      </c>
      <c r="G405" s="83">
        <f>IF($F405="","",$F405-TODAY())</f>
        <v/>
      </c>
      <c r="H405" s="85">
        <f>IF(OR($A405="",$B405=""),"",IF($F405="","No date",IF($G405&lt;0,"Overdue",IF($G405&lt;=30,"Due &lt;=30",IF($G405&lt;=60,"Due 31-60","OK")))))</f>
        <v/>
      </c>
      <c r="I405" s="54"/>
      <c r="J405" s="54"/>
      <c r="K405" s="54"/>
      <c r="L405" s="54"/>
      <c r="M405" s="105">
        <f>IF($F405="","",$F405+ROW()/100000)</f>
        <v/>
      </c>
    </row>
    <row r="406" spans="1:13">
      <c r="A406" s="54"/>
      <c r="B406" s="54"/>
      <c r="C406" s="52"/>
      <c r="D406" s="83">
        <f>IF($B406="","",IFERROR(IF(VLOOKUP($B406,Reference!$A$6:$C$27,3,FALSE)&gt;0,VLOOKUP($B406,Reference!$A$6:$C$27,3,FALSE),""),""))</f>
        <v/>
      </c>
      <c r="E406" s="53"/>
      <c r="F406" s="82">
        <f>IF(OR($A406="",$B406="",NOT(ISNUMBER($C406))),"",IF(ISNUMBER($E406),IF($E406&gt;0,EDATE($C406,$E406),""),IF(ISNUMBER($D406),EDATE($C406,$D406),"")))</f>
        <v/>
      </c>
      <c r="G406" s="83">
        <f>IF($F406="","",$F406-TODAY())</f>
        <v/>
      </c>
      <c r="H406" s="85">
        <f>IF(OR($A406="",$B406=""),"",IF($F406="","No date",IF($G406&lt;0,"Overdue",IF($G406&lt;=30,"Due &lt;=30",IF($G406&lt;=60,"Due 31-60","OK")))))</f>
        <v/>
      </c>
      <c r="I406" s="54"/>
      <c r="J406" s="54"/>
      <c r="K406" s="54"/>
      <c r="L406" s="54"/>
      <c r="M406" s="105">
        <f>IF($F406="","",$F406+ROW()/100000)</f>
        <v/>
      </c>
    </row>
    <row r="407" spans="1:13">
      <c r="A407" s="54"/>
      <c r="B407" s="54"/>
      <c r="C407" s="52"/>
      <c r="D407" s="83">
        <f>IF($B407="","",IFERROR(IF(VLOOKUP($B407,Reference!$A$6:$C$27,3,FALSE)&gt;0,VLOOKUP($B407,Reference!$A$6:$C$27,3,FALSE),""),""))</f>
        <v/>
      </c>
      <c r="E407" s="53"/>
      <c r="F407" s="82">
        <f>IF(OR($A407="",$B407="",NOT(ISNUMBER($C407))),"",IF(ISNUMBER($E407),IF($E407&gt;0,EDATE($C407,$E407),""),IF(ISNUMBER($D407),EDATE($C407,$D407),"")))</f>
        <v/>
      </c>
      <c r="G407" s="83">
        <f>IF($F407="","",$F407-TODAY())</f>
        <v/>
      </c>
      <c r="H407" s="85">
        <f>IF(OR($A407="",$B407=""),"",IF($F407="","No date",IF($G407&lt;0,"Overdue",IF($G407&lt;=30,"Due &lt;=30",IF($G407&lt;=60,"Due 31-60","OK")))))</f>
        <v/>
      </c>
      <c r="I407" s="54"/>
      <c r="J407" s="54"/>
      <c r="K407" s="54"/>
      <c r="L407" s="54"/>
      <c r="M407" s="105">
        <f>IF($F407="","",$F407+ROW()/100000)</f>
        <v/>
      </c>
    </row>
    <row r="408" spans="1:13">
      <c r="A408" s="54"/>
      <c r="B408" s="54"/>
      <c r="C408" s="52"/>
      <c r="D408" s="83">
        <f>IF($B408="","",IFERROR(IF(VLOOKUP($B408,Reference!$A$6:$C$27,3,FALSE)&gt;0,VLOOKUP($B408,Reference!$A$6:$C$27,3,FALSE),""),""))</f>
        <v/>
      </c>
      <c r="E408" s="53"/>
      <c r="F408" s="82">
        <f>IF(OR($A408="",$B408="",NOT(ISNUMBER($C408))),"",IF(ISNUMBER($E408),IF($E408&gt;0,EDATE($C408,$E408),""),IF(ISNUMBER($D408),EDATE($C408,$D408),"")))</f>
        <v/>
      </c>
      <c r="G408" s="83">
        <f>IF($F408="","",$F408-TODAY())</f>
        <v/>
      </c>
      <c r="H408" s="85">
        <f>IF(OR($A408="",$B408=""),"",IF($F408="","No date",IF($G408&lt;0,"Overdue",IF($G408&lt;=30,"Due &lt;=30",IF($G408&lt;=60,"Due 31-60","OK")))))</f>
        <v/>
      </c>
      <c r="I408" s="54"/>
      <c r="J408" s="54"/>
      <c r="K408" s="54"/>
      <c r="L408" s="54"/>
      <c r="M408" s="105">
        <f>IF($F408="","",$F408+ROW()/100000)</f>
        <v/>
      </c>
    </row>
    <row r="409" spans="1:13">
      <c r="A409" s="54"/>
      <c r="B409" s="54"/>
      <c r="C409" s="52"/>
      <c r="D409" s="83">
        <f>IF($B409="","",IFERROR(IF(VLOOKUP($B409,Reference!$A$6:$C$27,3,FALSE)&gt;0,VLOOKUP($B409,Reference!$A$6:$C$27,3,FALSE),""),""))</f>
        <v/>
      </c>
      <c r="E409" s="53"/>
      <c r="F409" s="82">
        <f>IF(OR($A409="",$B409="",NOT(ISNUMBER($C409))),"",IF(ISNUMBER($E409),IF($E409&gt;0,EDATE($C409,$E409),""),IF(ISNUMBER($D409),EDATE($C409,$D409),"")))</f>
        <v/>
      </c>
      <c r="G409" s="83">
        <f>IF($F409="","",$F409-TODAY())</f>
        <v/>
      </c>
      <c r="H409" s="85">
        <f>IF(OR($A409="",$B409=""),"",IF($F409="","No date",IF($G409&lt;0,"Overdue",IF($G409&lt;=30,"Due &lt;=30",IF($G409&lt;=60,"Due 31-60","OK")))))</f>
        <v/>
      </c>
      <c r="I409" s="54"/>
      <c r="J409" s="54"/>
      <c r="K409" s="54"/>
      <c r="L409" s="54"/>
      <c r="M409" s="105">
        <f>IF($F409="","",$F409+ROW()/100000)</f>
        <v/>
      </c>
    </row>
    <row r="410" spans="1:13">
      <c r="A410" s="54"/>
      <c r="B410" s="54"/>
      <c r="C410" s="52"/>
      <c r="D410" s="83">
        <f>IF($B410="","",IFERROR(IF(VLOOKUP($B410,Reference!$A$6:$C$27,3,FALSE)&gt;0,VLOOKUP($B410,Reference!$A$6:$C$27,3,FALSE),""),""))</f>
        <v/>
      </c>
      <c r="E410" s="53"/>
      <c r="F410" s="82">
        <f>IF(OR($A410="",$B410="",NOT(ISNUMBER($C410))),"",IF(ISNUMBER($E410),IF($E410&gt;0,EDATE($C410,$E410),""),IF(ISNUMBER($D410),EDATE($C410,$D410),"")))</f>
        <v/>
      </c>
      <c r="G410" s="83">
        <f>IF($F410="","",$F410-TODAY())</f>
        <v/>
      </c>
      <c r="H410" s="85">
        <f>IF(OR($A410="",$B410=""),"",IF($F410="","No date",IF($G410&lt;0,"Overdue",IF($G410&lt;=30,"Due &lt;=30",IF($G410&lt;=60,"Due 31-60","OK")))))</f>
        <v/>
      </c>
      <c r="I410" s="54"/>
      <c r="J410" s="54"/>
      <c r="K410" s="54"/>
      <c r="L410" s="54"/>
      <c r="M410" s="105">
        <f>IF($F410="","",$F410+ROW()/100000)</f>
        <v/>
      </c>
    </row>
    <row r="411" spans="1:13">
      <c r="A411" s="54"/>
      <c r="B411" s="54"/>
      <c r="C411" s="52"/>
      <c r="D411" s="83">
        <f>IF($B411="","",IFERROR(IF(VLOOKUP($B411,Reference!$A$6:$C$27,3,FALSE)&gt;0,VLOOKUP($B411,Reference!$A$6:$C$27,3,FALSE),""),""))</f>
        <v/>
      </c>
      <c r="E411" s="53"/>
      <c r="F411" s="82">
        <f>IF(OR($A411="",$B411="",NOT(ISNUMBER($C411))),"",IF(ISNUMBER($E411),IF($E411&gt;0,EDATE($C411,$E411),""),IF(ISNUMBER($D411),EDATE($C411,$D411),"")))</f>
        <v/>
      </c>
      <c r="G411" s="83">
        <f>IF($F411="","",$F411-TODAY())</f>
        <v/>
      </c>
      <c r="H411" s="85">
        <f>IF(OR($A411="",$B411=""),"",IF($F411="","No date",IF($G411&lt;0,"Overdue",IF($G411&lt;=30,"Due &lt;=30",IF($G411&lt;=60,"Due 31-60","OK")))))</f>
        <v/>
      </c>
      <c r="I411" s="54"/>
      <c r="J411" s="54"/>
      <c r="K411" s="54"/>
      <c r="L411" s="54"/>
      <c r="M411" s="105">
        <f>IF($F411="","",$F411+ROW()/100000)</f>
        <v/>
      </c>
    </row>
    <row r="412" spans="1:13">
      <c r="A412" s="54"/>
      <c r="B412" s="54"/>
      <c r="C412" s="52"/>
      <c r="D412" s="83">
        <f>IF($B412="","",IFERROR(IF(VLOOKUP($B412,Reference!$A$6:$C$27,3,FALSE)&gt;0,VLOOKUP($B412,Reference!$A$6:$C$27,3,FALSE),""),""))</f>
        <v/>
      </c>
      <c r="E412" s="53"/>
      <c r="F412" s="82">
        <f>IF(OR($A412="",$B412="",NOT(ISNUMBER($C412))),"",IF(ISNUMBER($E412),IF($E412&gt;0,EDATE($C412,$E412),""),IF(ISNUMBER($D412),EDATE($C412,$D412),"")))</f>
        <v/>
      </c>
      <c r="G412" s="83">
        <f>IF($F412="","",$F412-TODAY())</f>
        <v/>
      </c>
      <c r="H412" s="85">
        <f>IF(OR($A412="",$B412=""),"",IF($F412="","No date",IF($G412&lt;0,"Overdue",IF($G412&lt;=30,"Due &lt;=30",IF($G412&lt;=60,"Due 31-60","OK")))))</f>
        <v/>
      </c>
      <c r="I412" s="54"/>
      <c r="J412" s="54"/>
      <c r="K412" s="54"/>
      <c r="L412" s="54"/>
      <c r="M412" s="105">
        <f>IF($F412="","",$F412+ROW()/100000)</f>
        <v/>
      </c>
    </row>
    <row r="413" spans="1:13">
      <c r="A413" s="54"/>
      <c r="B413" s="54"/>
      <c r="C413" s="52"/>
      <c r="D413" s="83">
        <f>IF($B413="","",IFERROR(IF(VLOOKUP($B413,Reference!$A$6:$C$27,3,FALSE)&gt;0,VLOOKUP($B413,Reference!$A$6:$C$27,3,FALSE),""),""))</f>
        <v/>
      </c>
      <c r="E413" s="53"/>
      <c r="F413" s="82">
        <f>IF(OR($A413="",$B413="",NOT(ISNUMBER($C413))),"",IF(ISNUMBER($E413),IF($E413&gt;0,EDATE($C413,$E413),""),IF(ISNUMBER($D413),EDATE($C413,$D413),"")))</f>
        <v/>
      </c>
      <c r="G413" s="83">
        <f>IF($F413="","",$F413-TODAY())</f>
        <v/>
      </c>
      <c r="H413" s="85">
        <f>IF(OR($A413="",$B413=""),"",IF($F413="","No date",IF($G413&lt;0,"Overdue",IF($G413&lt;=30,"Due &lt;=30",IF($G413&lt;=60,"Due 31-60","OK")))))</f>
        <v/>
      </c>
      <c r="I413" s="54"/>
      <c r="J413" s="54"/>
      <c r="K413" s="54"/>
      <c r="L413" s="54"/>
      <c r="M413" s="105">
        <f>IF($F413="","",$F413+ROW()/100000)</f>
        <v/>
      </c>
    </row>
    <row r="414" spans="1:13">
      <c r="A414" s="54"/>
      <c r="B414" s="54"/>
      <c r="C414" s="52"/>
      <c r="D414" s="83">
        <f>IF($B414="","",IFERROR(IF(VLOOKUP($B414,Reference!$A$6:$C$27,3,FALSE)&gt;0,VLOOKUP($B414,Reference!$A$6:$C$27,3,FALSE),""),""))</f>
        <v/>
      </c>
      <c r="E414" s="53"/>
      <c r="F414" s="82">
        <f>IF(OR($A414="",$B414="",NOT(ISNUMBER($C414))),"",IF(ISNUMBER($E414),IF($E414&gt;0,EDATE($C414,$E414),""),IF(ISNUMBER($D414),EDATE($C414,$D414),"")))</f>
        <v/>
      </c>
      <c r="G414" s="83">
        <f>IF($F414="","",$F414-TODAY())</f>
        <v/>
      </c>
      <c r="H414" s="85">
        <f>IF(OR($A414="",$B414=""),"",IF($F414="","No date",IF($G414&lt;0,"Overdue",IF($G414&lt;=30,"Due &lt;=30",IF($G414&lt;=60,"Due 31-60","OK")))))</f>
        <v/>
      </c>
      <c r="I414" s="54"/>
      <c r="J414" s="54"/>
      <c r="K414" s="54"/>
      <c r="L414" s="54"/>
      <c r="M414" s="105">
        <f>IF($F414="","",$F414+ROW()/100000)</f>
        <v/>
      </c>
    </row>
    <row r="415" spans="1:13">
      <c r="A415" s="54"/>
      <c r="B415" s="54"/>
      <c r="C415" s="52"/>
      <c r="D415" s="83">
        <f>IF($B415="","",IFERROR(IF(VLOOKUP($B415,Reference!$A$6:$C$27,3,FALSE)&gt;0,VLOOKUP($B415,Reference!$A$6:$C$27,3,FALSE),""),""))</f>
        <v/>
      </c>
      <c r="E415" s="53"/>
      <c r="F415" s="82">
        <f>IF(OR($A415="",$B415="",NOT(ISNUMBER($C415))),"",IF(ISNUMBER($E415),IF($E415&gt;0,EDATE($C415,$E415),""),IF(ISNUMBER($D415),EDATE($C415,$D415),"")))</f>
        <v/>
      </c>
      <c r="G415" s="83">
        <f>IF($F415="","",$F415-TODAY())</f>
        <v/>
      </c>
      <c r="H415" s="85">
        <f>IF(OR($A415="",$B415=""),"",IF($F415="","No date",IF($G415&lt;0,"Overdue",IF($G415&lt;=30,"Due &lt;=30",IF($G415&lt;=60,"Due 31-60","OK")))))</f>
        <v/>
      </c>
      <c r="I415" s="54"/>
      <c r="J415" s="54"/>
      <c r="K415" s="54"/>
      <c r="L415" s="54"/>
      <c r="M415" s="105">
        <f>IF($F415="","",$F415+ROW()/100000)</f>
        <v/>
      </c>
    </row>
    <row r="416" spans="1:13">
      <c r="A416" s="54"/>
      <c r="B416" s="54"/>
      <c r="C416" s="52"/>
      <c r="D416" s="83">
        <f>IF($B416="","",IFERROR(IF(VLOOKUP($B416,Reference!$A$6:$C$27,3,FALSE)&gt;0,VLOOKUP($B416,Reference!$A$6:$C$27,3,FALSE),""),""))</f>
        <v/>
      </c>
      <c r="E416" s="53"/>
      <c r="F416" s="82">
        <f>IF(OR($A416="",$B416="",NOT(ISNUMBER($C416))),"",IF(ISNUMBER($E416),IF($E416&gt;0,EDATE($C416,$E416),""),IF(ISNUMBER($D416),EDATE($C416,$D416),"")))</f>
        <v/>
      </c>
      <c r="G416" s="83">
        <f>IF($F416="","",$F416-TODAY())</f>
        <v/>
      </c>
      <c r="H416" s="85">
        <f>IF(OR($A416="",$B416=""),"",IF($F416="","No date",IF($G416&lt;0,"Overdue",IF($G416&lt;=30,"Due &lt;=30",IF($G416&lt;=60,"Due 31-60","OK")))))</f>
        <v/>
      </c>
      <c r="I416" s="54"/>
      <c r="J416" s="54"/>
      <c r="K416" s="54"/>
      <c r="L416" s="54"/>
      <c r="M416" s="105">
        <f>IF($F416="","",$F416+ROW()/100000)</f>
        <v/>
      </c>
    </row>
    <row r="417" spans="1:13">
      <c r="A417" s="54"/>
      <c r="B417" s="54"/>
      <c r="C417" s="52"/>
      <c r="D417" s="83">
        <f>IF($B417="","",IFERROR(IF(VLOOKUP($B417,Reference!$A$6:$C$27,3,FALSE)&gt;0,VLOOKUP($B417,Reference!$A$6:$C$27,3,FALSE),""),""))</f>
        <v/>
      </c>
      <c r="E417" s="53"/>
      <c r="F417" s="82">
        <f>IF(OR($A417="",$B417="",NOT(ISNUMBER($C417))),"",IF(ISNUMBER($E417),IF($E417&gt;0,EDATE($C417,$E417),""),IF(ISNUMBER($D417),EDATE($C417,$D417),"")))</f>
        <v/>
      </c>
      <c r="G417" s="83">
        <f>IF($F417="","",$F417-TODAY())</f>
        <v/>
      </c>
      <c r="H417" s="85">
        <f>IF(OR($A417="",$B417=""),"",IF($F417="","No date",IF($G417&lt;0,"Overdue",IF($G417&lt;=30,"Due &lt;=30",IF($G417&lt;=60,"Due 31-60","OK")))))</f>
        <v/>
      </c>
      <c r="I417" s="54"/>
      <c r="J417" s="54"/>
      <c r="K417" s="54"/>
      <c r="L417" s="54"/>
      <c r="M417" s="105">
        <f>IF($F417="","",$F417+ROW()/100000)</f>
        <v/>
      </c>
    </row>
    <row r="418" spans="1:13">
      <c r="A418" s="54"/>
      <c r="B418" s="54"/>
      <c r="C418" s="52"/>
      <c r="D418" s="83">
        <f>IF($B418="","",IFERROR(IF(VLOOKUP($B418,Reference!$A$6:$C$27,3,FALSE)&gt;0,VLOOKUP($B418,Reference!$A$6:$C$27,3,FALSE),""),""))</f>
        <v/>
      </c>
      <c r="E418" s="53"/>
      <c r="F418" s="82">
        <f>IF(OR($A418="",$B418="",NOT(ISNUMBER($C418))),"",IF(ISNUMBER($E418),IF($E418&gt;0,EDATE($C418,$E418),""),IF(ISNUMBER($D418),EDATE($C418,$D418),"")))</f>
        <v/>
      </c>
      <c r="G418" s="83">
        <f>IF($F418="","",$F418-TODAY())</f>
        <v/>
      </c>
      <c r="H418" s="85">
        <f>IF(OR($A418="",$B418=""),"",IF($F418="","No date",IF($G418&lt;0,"Overdue",IF($G418&lt;=30,"Due &lt;=30",IF($G418&lt;=60,"Due 31-60","OK")))))</f>
        <v/>
      </c>
      <c r="I418" s="54"/>
      <c r="J418" s="54"/>
      <c r="K418" s="54"/>
      <c r="L418" s="54"/>
      <c r="M418" s="105">
        <f>IF($F418="","",$F418+ROW()/100000)</f>
        <v/>
      </c>
    </row>
    <row r="419" spans="1:13">
      <c r="A419" s="54"/>
      <c r="B419" s="54"/>
      <c r="C419" s="52"/>
      <c r="D419" s="83">
        <f>IF($B419="","",IFERROR(IF(VLOOKUP($B419,Reference!$A$6:$C$27,3,FALSE)&gt;0,VLOOKUP($B419,Reference!$A$6:$C$27,3,FALSE),""),""))</f>
        <v/>
      </c>
      <c r="E419" s="53"/>
      <c r="F419" s="82">
        <f>IF(OR($A419="",$B419="",NOT(ISNUMBER($C419))),"",IF(ISNUMBER($E419),IF($E419&gt;0,EDATE($C419,$E419),""),IF(ISNUMBER($D419),EDATE($C419,$D419),"")))</f>
        <v/>
      </c>
      <c r="G419" s="83">
        <f>IF($F419="","",$F419-TODAY())</f>
        <v/>
      </c>
      <c r="H419" s="85">
        <f>IF(OR($A419="",$B419=""),"",IF($F419="","No date",IF($G419&lt;0,"Overdue",IF($G419&lt;=30,"Due &lt;=30",IF($G419&lt;=60,"Due 31-60","OK")))))</f>
        <v/>
      </c>
      <c r="I419" s="54"/>
      <c r="J419" s="54"/>
      <c r="K419" s="54"/>
      <c r="L419" s="54"/>
      <c r="M419" s="105">
        <f>IF($F419="","",$F419+ROW()/100000)</f>
        <v/>
      </c>
    </row>
    <row r="420" spans="1:13">
      <c r="A420" s="54"/>
      <c r="B420" s="54"/>
      <c r="C420" s="52"/>
      <c r="D420" s="83">
        <f>IF($B420="","",IFERROR(IF(VLOOKUP($B420,Reference!$A$6:$C$27,3,FALSE)&gt;0,VLOOKUP($B420,Reference!$A$6:$C$27,3,FALSE),""),""))</f>
        <v/>
      </c>
      <c r="E420" s="53"/>
      <c r="F420" s="82">
        <f>IF(OR($A420="",$B420="",NOT(ISNUMBER($C420))),"",IF(ISNUMBER($E420),IF($E420&gt;0,EDATE($C420,$E420),""),IF(ISNUMBER($D420),EDATE($C420,$D420),"")))</f>
        <v/>
      </c>
      <c r="G420" s="83">
        <f>IF($F420="","",$F420-TODAY())</f>
        <v/>
      </c>
      <c r="H420" s="85">
        <f>IF(OR($A420="",$B420=""),"",IF($F420="","No date",IF($G420&lt;0,"Overdue",IF($G420&lt;=30,"Due &lt;=30",IF($G420&lt;=60,"Due 31-60","OK")))))</f>
        <v/>
      </c>
      <c r="I420" s="54"/>
      <c r="J420" s="54"/>
      <c r="K420" s="54"/>
      <c r="L420" s="54"/>
      <c r="M420" s="105">
        <f>IF($F420="","",$F420+ROW()/100000)</f>
        <v/>
      </c>
    </row>
    <row r="421" spans="1:13">
      <c r="A421" s="54"/>
      <c r="B421" s="54"/>
      <c r="C421" s="52"/>
      <c r="D421" s="83">
        <f>IF($B421="","",IFERROR(IF(VLOOKUP($B421,Reference!$A$6:$C$27,3,FALSE)&gt;0,VLOOKUP($B421,Reference!$A$6:$C$27,3,FALSE),""),""))</f>
        <v/>
      </c>
      <c r="E421" s="53"/>
      <c r="F421" s="82">
        <f>IF(OR($A421="",$B421="",NOT(ISNUMBER($C421))),"",IF(ISNUMBER($E421),IF($E421&gt;0,EDATE($C421,$E421),""),IF(ISNUMBER($D421),EDATE($C421,$D421),"")))</f>
        <v/>
      </c>
      <c r="G421" s="83">
        <f>IF($F421="","",$F421-TODAY())</f>
        <v/>
      </c>
      <c r="H421" s="85">
        <f>IF(OR($A421="",$B421=""),"",IF($F421="","No date",IF($G421&lt;0,"Overdue",IF($G421&lt;=30,"Due &lt;=30",IF($G421&lt;=60,"Due 31-60","OK")))))</f>
        <v/>
      </c>
      <c r="I421" s="54"/>
      <c r="J421" s="54"/>
      <c r="K421" s="54"/>
      <c r="L421" s="54"/>
      <c r="M421" s="105">
        <f>IF($F421="","",$F421+ROW()/100000)</f>
        <v/>
      </c>
    </row>
    <row r="422" spans="1:13">
      <c r="A422" s="54"/>
      <c r="B422" s="54"/>
      <c r="C422" s="52"/>
      <c r="D422" s="83">
        <f>IF($B422="","",IFERROR(IF(VLOOKUP($B422,Reference!$A$6:$C$27,3,FALSE)&gt;0,VLOOKUP($B422,Reference!$A$6:$C$27,3,FALSE),""),""))</f>
        <v/>
      </c>
      <c r="E422" s="53"/>
      <c r="F422" s="82">
        <f>IF(OR($A422="",$B422="",NOT(ISNUMBER($C422))),"",IF(ISNUMBER($E422),IF($E422&gt;0,EDATE($C422,$E422),""),IF(ISNUMBER($D422),EDATE($C422,$D422),"")))</f>
        <v/>
      </c>
      <c r="G422" s="83">
        <f>IF($F422="","",$F422-TODAY())</f>
        <v/>
      </c>
      <c r="H422" s="85">
        <f>IF(OR($A422="",$B422=""),"",IF($F422="","No date",IF($G422&lt;0,"Overdue",IF($G422&lt;=30,"Due &lt;=30",IF($G422&lt;=60,"Due 31-60","OK")))))</f>
        <v/>
      </c>
      <c r="I422" s="54"/>
      <c r="J422" s="54"/>
      <c r="K422" s="54"/>
      <c r="L422" s="54"/>
      <c r="M422" s="105">
        <f>IF($F422="","",$F422+ROW()/100000)</f>
        <v/>
      </c>
    </row>
    <row r="423" spans="1:13">
      <c r="A423" s="54"/>
      <c r="B423" s="54"/>
      <c r="C423" s="52"/>
      <c r="D423" s="83">
        <f>IF($B423="","",IFERROR(IF(VLOOKUP($B423,Reference!$A$6:$C$27,3,FALSE)&gt;0,VLOOKUP($B423,Reference!$A$6:$C$27,3,FALSE),""),""))</f>
        <v/>
      </c>
      <c r="E423" s="53"/>
      <c r="F423" s="82">
        <f>IF(OR($A423="",$B423="",NOT(ISNUMBER($C423))),"",IF(ISNUMBER($E423),IF($E423&gt;0,EDATE($C423,$E423),""),IF(ISNUMBER($D423),EDATE($C423,$D423),"")))</f>
        <v/>
      </c>
      <c r="G423" s="83">
        <f>IF($F423="","",$F423-TODAY())</f>
        <v/>
      </c>
      <c r="H423" s="85">
        <f>IF(OR($A423="",$B423=""),"",IF($F423="","No date",IF($G423&lt;0,"Overdue",IF($G423&lt;=30,"Due &lt;=30",IF($G423&lt;=60,"Due 31-60","OK")))))</f>
        <v/>
      </c>
      <c r="I423" s="54"/>
      <c r="J423" s="54"/>
      <c r="K423" s="54"/>
      <c r="L423" s="54"/>
      <c r="M423" s="105">
        <f>IF($F423="","",$F423+ROW()/100000)</f>
        <v/>
      </c>
    </row>
    <row r="424" spans="1:13">
      <c r="A424" s="54"/>
      <c r="B424" s="54"/>
      <c r="C424" s="52"/>
      <c r="D424" s="83">
        <f>IF($B424="","",IFERROR(IF(VLOOKUP($B424,Reference!$A$6:$C$27,3,FALSE)&gt;0,VLOOKUP($B424,Reference!$A$6:$C$27,3,FALSE),""),""))</f>
        <v/>
      </c>
      <c r="E424" s="53"/>
      <c r="F424" s="82">
        <f>IF(OR($A424="",$B424="",NOT(ISNUMBER($C424))),"",IF(ISNUMBER($E424),IF($E424&gt;0,EDATE($C424,$E424),""),IF(ISNUMBER($D424),EDATE($C424,$D424),"")))</f>
        <v/>
      </c>
      <c r="G424" s="83">
        <f>IF($F424="","",$F424-TODAY())</f>
        <v/>
      </c>
      <c r="H424" s="85">
        <f>IF(OR($A424="",$B424=""),"",IF($F424="","No date",IF($G424&lt;0,"Overdue",IF($G424&lt;=30,"Due &lt;=30",IF($G424&lt;=60,"Due 31-60","OK")))))</f>
        <v/>
      </c>
      <c r="I424" s="54"/>
      <c r="J424" s="54"/>
      <c r="K424" s="54"/>
      <c r="L424" s="54"/>
      <c r="M424" s="105">
        <f>IF($F424="","",$F424+ROW()/100000)</f>
        <v/>
      </c>
    </row>
    <row r="425" spans="1:13">
      <c r="A425" s="54"/>
      <c r="B425" s="54"/>
      <c r="C425" s="52"/>
      <c r="D425" s="83">
        <f>IF($B425="","",IFERROR(IF(VLOOKUP($B425,Reference!$A$6:$C$27,3,FALSE)&gt;0,VLOOKUP($B425,Reference!$A$6:$C$27,3,FALSE),""),""))</f>
        <v/>
      </c>
      <c r="E425" s="53"/>
      <c r="F425" s="82">
        <f>IF(OR($A425="",$B425="",NOT(ISNUMBER($C425))),"",IF(ISNUMBER($E425),IF($E425&gt;0,EDATE($C425,$E425),""),IF(ISNUMBER($D425),EDATE($C425,$D425),"")))</f>
        <v/>
      </c>
      <c r="G425" s="83">
        <f>IF($F425="","",$F425-TODAY())</f>
        <v/>
      </c>
      <c r="H425" s="85">
        <f>IF(OR($A425="",$B425=""),"",IF($F425="","No date",IF($G425&lt;0,"Overdue",IF($G425&lt;=30,"Due &lt;=30",IF($G425&lt;=60,"Due 31-60","OK")))))</f>
        <v/>
      </c>
      <c r="I425" s="54"/>
      <c r="J425" s="54"/>
      <c r="K425" s="54"/>
      <c r="L425" s="54"/>
      <c r="M425" s="105">
        <f>IF($F425="","",$F425+ROW()/100000)</f>
        <v/>
      </c>
    </row>
    <row r="426" spans="1:13">
      <c r="A426" s="54"/>
      <c r="B426" s="54"/>
      <c r="C426" s="52"/>
      <c r="D426" s="83">
        <f>IF($B426="","",IFERROR(IF(VLOOKUP($B426,Reference!$A$6:$C$27,3,FALSE)&gt;0,VLOOKUP($B426,Reference!$A$6:$C$27,3,FALSE),""),""))</f>
        <v/>
      </c>
      <c r="E426" s="53"/>
      <c r="F426" s="82">
        <f>IF(OR($A426="",$B426="",NOT(ISNUMBER($C426))),"",IF(ISNUMBER($E426),IF($E426&gt;0,EDATE($C426,$E426),""),IF(ISNUMBER($D426),EDATE($C426,$D426),"")))</f>
        <v/>
      </c>
      <c r="G426" s="83">
        <f>IF($F426="","",$F426-TODAY())</f>
        <v/>
      </c>
      <c r="H426" s="85">
        <f>IF(OR($A426="",$B426=""),"",IF($F426="","No date",IF($G426&lt;0,"Overdue",IF($G426&lt;=30,"Due &lt;=30",IF($G426&lt;=60,"Due 31-60","OK")))))</f>
        <v/>
      </c>
      <c r="I426" s="54"/>
      <c r="J426" s="54"/>
      <c r="K426" s="54"/>
      <c r="L426" s="54"/>
      <c r="M426" s="105">
        <f>IF($F426="","",$F426+ROW()/100000)</f>
        <v/>
      </c>
    </row>
    <row r="427" spans="1:13">
      <c r="A427" s="54"/>
      <c r="B427" s="54"/>
      <c r="C427" s="52"/>
      <c r="D427" s="83">
        <f>IF($B427="","",IFERROR(IF(VLOOKUP($B427,Reference!$A$6:$C$27,3,FALSE)&gt;0,VLOOKUP($B427,Reference!$A$6:$C$27,3,FALSE),""),""))</f>
        <v/>
      </c>
      <c r="E427" s="53"/>
      <c r="F427" s="82">
        <f>IF(OR($A427="",$B427="",NOT(ISNUMBER($C427))),"",IF(ISNUMBER($E427),IF($E427&gt;0,EDATE($C427,$E427),""),IF(ISNUMBER($D427),EDATE($C427,$D427),"")))</f>
        <v/>
      </c>
      <c r="G427" s="83">
        <f>IF($F427="","",$F427-TODAY())</f>
        <v/>
      </c>
      <c r="H427" s="85">
        <f>IF(OR($A427="",$B427=""),"",IF($F427="","No date",IF($G427&lt;0,"Overdue",IF($G427&lt;=30,"Due &lt;=30",IF($G427&lt;=60,"Due 31-60","OK")))))</f>
        <v/>
      </c>
      <c r="I427" s="54"/>
      <c r="J427" s="54"/>
      <c r="K427" s="54"/>
      <c r="L427" s="54"/>
      <c r="M427" s="105">
        <f>IF($F427="","",$F427+ROW()/100000)</f>
        <v/>
      </c>
    </row>
    <row r="428" spans="1:13">
      <c r="A428" s="54"/>
      <c r="B428" s="54"/>
      <c r="C428" s="52"/>
      <c r="D428" s="83">
        <f>IF($B428="","",IFERROR(IF(VLOOKUP($B428,Reference!$A$6:$C$27,3,FALSE)&gt;0,VLOOKUP($B428,Reference!$A$6:$C$27,3,FALSE),""),""))</f>
        <v/>
      </c>
      <c r="E428" s="53"/>
      <c r="F428" s="82">
        <f>IF(OR($A428="",$B428="",NOT(ISNUMBER($C428))),"",IF(ISNUMBER($E428),IF($E428&gt;0,EDATE($C428,$E428),""),IF(ISNUMBER($D428),EDATE($C428,$D428),"")))</f>
        <v/>
      </c>
      <c r="G428" s="83">
        <f>IF($F428="","",$F428-TODAY())</f>
        <v/>
      </c>
      <c r="H428" s="85">
        <f>IF(OR($A428="",$B428=""),"",IF($F428="","No date",IF($G428&lt;0,"Overdue",IF($G428&lt;=30,"Due &lt;=30",IF($G428&lt;=60,"Due 31-60","OK")))))</f>
        <v/>
      </c>
      <c r="I428" s="54"/>
      <c r="J428" s="54"/>
      <c r="K428" s="54"/>
      <c r="L428" s="54"/>
      <c r="M428" s="105">
        <f>IF($F428="","",$F428+ROW()/100000)</f>
        <v/>
      </c>
    </row>
    <row r="429" spans="1:13">
      <c r="A429" s="54"/>
      <c r="B429" s="54"/>
      <c r="C429" s="52"/>
      <c r="D429" s="83">
        <f>IF($B429="","",IFERROR(IF(VLOOKUP($B429,Reference!$A$6:$C$27,3,FALSE)&gt;0,VLOOKUP($B429,Reference!$A$6:$C$27,3,FALSE),""),""))</f>
        <v/>
      </c>
      <c r="E429" s="53"/>
      <c r="F429" s="82">
        <f>IF(OR($A429="",$B429="",NOT(ISNUMBER($C429))),"",IF(ISNUMBER($E429),IF($E429&gt;0,EDATE($C429,$E429),""),IF(ISNUMBER($D429),EDATE($C429,$D429),"")))</f>
        <v/>
      </c>
      <c r="G429" s="83">
        <f>IF($F429="","",$F429-TODAY())</f>
        <v/>
      </c>
      <c r="H429" s="85">
        <f>IF(OR($A429="",$B429=""),"",IF($F429="","No date",IF($G429&lt;0,"Overdue",IF($G429&lt;=30,"Due &lt;=30",IF($G429&lt;=60,"Due 31-60","OK")))))</f>
        <v/>
      </c>
      <c r="I429" s="54"/>
      <c r="J429" s="54"/>
      <c r="K429" s="54"/>
      <c r="L429" s="54"/>
      <c r="M429" s="105">
        <f>IF($F429="","",$F429+ROW()/100000)</f>
        <v/>
      </c>
    </row>
    <row r="430" spans="1:13">
      <c r="A430" s="54"/>
      <c r="B430" s="54"/>
      <c r="C430" s="52"/>
      <c r="D430" s="83">
        <f>IF($B430="","",IFERROR(IF(VLOOKUP($B430,Reference!$A$6:$C$27,3,FALSE)&gt;0,VLOOKUP($B430,Reference!$A$6:$C$27,3,FALSE),""),""))</f>
        <v/>
      </c>
      <c r="E430" s="53"/>
      <c r="F430" s="82">
        <f>IF(OR($A430="",$B430="",NOT(ISNUMBER($C430))),"",IF(ISNUMBER($E430),IF($E430&gt;0,EDATE($C430,$E430),""),IF(ISNUMBER($D430),EDATE($C430,$D430),"")))</f>
        <v/>
      </c>
      <c r="G430" s="83">
        <f>IF($F430="","",$F430-TODAY())</f>
        <v/>
      </c>
      <c r="H430" s="85">
        <f>IF(OR($A430="",$B430=""),"",IF($F430="","No date",IF($G430&lt;0,"Overdue",IF($G430&lt;=30,"Due &lt;=30",IF($G430&lt;=60,"Due 31-60","OK")))))</f>
        <v/>
      </c>
      <c r="I430" s="54"/>
      <c r="J430" s="54"/>
      <c r="K430" s="54"/>
      <c r="L430" s="54"/>
      <c r="M430" s="105">
        <f>IF($F430="","",$F430+ROW()/100000)</f>
        <v/>
      </c>
    </row>
    <row r="431" spans="1:13">
      <c r="A431" s="54"/>
      <c r="B431" s="54"/>
      <c r="C431" s="52"/>
      <c r="D431" s="83">
        <f>IF($B431="","",IFERROR(IF(VLOOKUP($B431,Reference!$A$6:$C$27,3,FALSE)&gt;0,VLOOKUP($B431,Reference!$A$6:$C$27,3,FALSE),""),""))</f>
        <v/>
      </c>
      <c r="E431" s="53"/>
      <c r="F431" s="82">
        <f>IF(OR($A431="",$B431="",NOT(ISNUMBER($C431))),"",IF(ISNUMBER($E431),IF($E431&gt;0,EDATE($C431,$E431),""),IF(ISNUMBER($D431),EDATE($C431,$D431),"")))</f>
        <v/>
      </c>
      <c r="G431" s="83">
        <f>IF($F431="","",$F431-TODAY())</f>
        <v/>
      </c>
      <c r="H431" s="85">
        <f>IF(OR($A431="",$B431=""),"",IF($F431="","No date",IF($G431&lt;0,"Overdue",IF($G431&lt;=30,"Due &lt;=30",IF($G431&lt;=60,"Due 31-60","OK")))))</f>
        <v/>
      </c>
      <c r="I431" s="54"/>
      <c r="J431" s="54"/>
      <c r="K431" s="54"/>
      <c r="L431" s="54"/>
      <c r="M431" s="105">
        <f>IF($F431="","",$F431+ROW()/100000)</f>
        <v/>
      </c>
    </row>
    <row r="432" spans="1:13">
      <c r="A432" s="54"/>
      <c r="B432" s="54"/>
      <c r="C432" s="52"/>
      <c r="D432" s="83">
        <f>IF($B432="","",IFERROR(IF(VLOOKUP($B432,Reference!$A$6:$C$27,3,FALSE)&gt;0,VLOOKUP($B432,Reference!$A$6:$C$27,3,FALSE),""),""))</f>
        <v/>
      </c>
      <c r="E432" s="53"/>
      <c r="F432" s="82">
        <f>IF(OR($A432="",$B432="",NOT(ISNUMBER($C432))),"",IF(ISNUMBER($E432),IF($E432&gt;0,EDATE($C432,$E432),""),IF(ISNUMBER($D432),EDATE($C432,$D432),"")))</f>
        <v/>
      </c>
      <c r="G432" s="83">
        <f>IF($F432="","",$F432-TODAY())</f>
        <v/>
      </c>
      <c r="H432" s="85">
        <f>IF(OR($A432="",$B432=""),"",IF($F432="","No date",IF($G432&lt;0,"Overdue",IF($G432&lt;=30,"Due &lt;=30",IF($G432&lt;=60,"Due 31-60","OK")))))</f>
        <v/>
      </c>
      <c r="I432" s="54"/>
      <c r="J432" s="54"/>
      <c r="K432" s="54"/>
      <c r="L432" s="54"/>
      <c r="M432" s="105">
        <f>IF($F432="","",$F432+ROW()/100000)</f>
        <v/>
      </c>
    </row>
    <row r="433" spans="1:13">
      <c r="A433" s="54"/>
      <c r="B433" s="54"/>
      <c r="C433" s="52"/>
      <c r="D433" s="83">
        <f>IF($B433="","",IFERROR(IF(VLOOKUP($B433,Reference!$A$6:$C$27,3,FALSE)&gt;0,VLOOKUP($B433,Reference!$A$6:$C$27,3,FALSE),""),""))</f>
        <v/>
      </c>
      <c r="E433" s="53"/>
      <c r="F433" s="82">
        <f>IF(OR($A433="",$B433="",NOT(ISNUMBER($C433))),"",IF(ISNUMBER($E433),IF($E433&gt;0,EDATE($C433,$E433),""),IF(ISNUMBER($D433),EDATE($C433,$D433),"")))</f>
        <v/>
      </c>
      <c r="G433" s="83">
        <f>IF($F433="","",$F433-TODAY())</f>
        <v/>
      </c>
      <c r="H433" s="85">
        <f>IF(OR($A433="",$B433=""),"",IF($F433="","No date",IF($G433&lt;0,"Overdue",IF($G433&lt;=30,"Due &lt;=30",IF($G433&lt;=60,"Due 31-60","OK")))))</f>
        <v/>
      </c>
      <c r="I433" s="54"/>
      <c r="J433" s="54"/>
      <c r="K433" s="54"/>
      <c r="L433" s="54"/>
      <c r="M433" s="105">
        <f>IF($F433="","",$F433+ROW()/100000)</f>
        <v/>
      </c>
    </row>
    <row r="434" spans="1:13">
      <c r="A434" s="54"/>
      <c r="B434" s="54"/>
      <c r="C434" s="52"/>
      <c r="D434" s="83">
        <f>IF($B434="","",IFERROR(IF(VLOOKUP($B434,Reference!$A$6:$C$27,3,FALSE)&gt;0,VLOOKUP($B434,Reference!$A$6:$C$27,3,FALSE),""),""))</f>
        <v/>
      </c>
      <c r="E434" s="53"/>
      <c r="F434" s="82">
        <f>IF(OR($A434="",$B434="",NOT(ISNUMBER($C434))),"",IF(ISNUMBER($E434),IF($E434&gt;0,EDATE($C434,$E434),""),IF(ISNUMBER($D434),EDATE($C434,$D434),"")))</f>
        <v/>
      </c>
      <c r="G434" s="83">
        <f>IF($F434="","",$F434-TODAY())</f>
        <v/>
      </c>
      <c r="H434" s="85">
        <f>IF(OR($A434="",$B434=""),"",IF($F434="","No date",IF($G434&lt;0,"Overdue",IF($G434&lt;=30,"Due &lt;=30",IF($G434&lt;=60,"Due 31-60","OK")))))</f>
        <v/>
      </c>
      <c r="I434" s="54"/>
      <c r="J434" s="54"/>
      <c r="K434" s="54"/>
      <c r="L434" s="54"/>
      <c r="M434" s="105">
        <f>IF($F434="","",$F434+ROW()/100000)</f>
        <v/>
      </c>
    </row>
    <row r="435" spans="1:13">
      <c r="A435" s="54"/>
      <c r="B435" s="54"/>
      <c r="C435" s="52"/>
      <c r="D435" s="83">
        <f>IF($B435="","",IFERROR(IF(VLOOKUP($B435,Reference!$A$6:$C$27,3,FALSE)&gt;0,VLOOKUP($B435,Reference!$A$6:$C$27,3,FALSE),""),""))</f>
        <v/>
      </c>
      <c r="E435" s="53"/>
      <c r="F435" s="82">
        <f>IF(OR($A435="",$B435="",NOT(ISNUMBER($C435))),"",IF(ISNUMBER($E435),IF($E435&gt;0,EDATE($C435,$E435),""),IF(ISNUMBER($D435),EDATE($C435,$D435),"")))</f>
        <v/>
      </c>
      <c r="G435" s="83">
        <f>IF($F435="","",$F435-TODAY())</f>
        <v/>
      </c>
      <c r="H435" s="85">
        <f>IF(OR($A435="",$B435=""),"",IF($F435="","No date",IF($G435&lt;0,"Overdue",IF($G435&lt;=30,"Due &lt;=30",IF($G435&lt;=60,"Due 31-60","OK")))))</f>
        <v/>
      </c>
      <c r="I435" s="54"/>
      <c r="J435" s="54"/>
      <c r="K435" s="54"/>
      <c r="L435" s="54"/>
      <c r="M435" s="105">
        <f>IF($F435="","",$F435+ROW()/100000)</f>
        <v/>
      </c>
    </row>
    <row r="436" spans="1:13">
      <c r="A436" s="54"/>
      <c r="B436" s="54"/>
      <c r="C436" s="52"/>
      <c r="D436" s="83">
        <f>IF($B436="","",IFERROR(IF(VLOOKUP($B436,Reference!$A$6:$C$27,3,FALSE)&gt;0,VLOOKUP($B436,Reference!$A$6:$C$27,3,FALSE),""),""))</f>
        <v/>
      </c>
      <c r="E436" s="53"/>
      <c r="F436" s="82">
        <f>IF(OR($A436="",$B436="",NOT(ISNUMBER($C436))),"",IF(ISNUMBER($E436),IF($E436&gt;0,EDATE($C436,$E436),""),IF(ISNUMBER($D436),EDATE($C436,$D436),"")))</f>
        <v/>
      </c>
      <c r="G436" s="83">
        <f>IF($F436="","",$F436-TODAY())</f>
        <v/>
      </c>
      <c r="H436" s="85">
        <f>IF(OR($A436="",$B436=""),"",IF($F436="","No date",IF($G436&lt;0,"Overdue",IF($G436&lt;=30,"Due &lt;=30",IF($G436&lt;=60,"Due 31-60","OK")))))</f>
        <v/>
      </c>
      <c r="I436" s="54"/>
      <c r="J436" s="54"/>
      <c r="K436" s="54"/>
      <c r="L436" s="54"/>
      <c r="M436" s="105">
        <f>IF($F436="","",$F436+ROW()/100000)</f>
        <v/>
      </c>
    </row>
    <row r="437" spans="1:13">
      <c r="A437" s="54"/>
      <c r="B437" s="54"/>
      <c r="C437" s="52"/>
      <c r="D437" s="83">
        <f>IF($B437="","",IFERROR(IF(VLOOKUP($B437,Reference!$A$6:$C$27,3,FALSE)&gt;0,VLOOKUP($B437,Reference!$A$6:$C$27,3,FALSE),""),""))</f>
        <v/>
      </c>
      <c r="E437" s="53"/>
      <c r="F437" s="82">
        <f>IF(OR($A437="",$B437="",NOT(ISNUMBER($C437))),"",IF(ISNUMBER($E437),IF($E437&gt;0,EDATE($C437,$E437),""),IF(ISNUMBER($D437),EDATE($C437,$D437),"")))</f>
        <v/>
      </c>
      <c r="G437" s="83">
        <f>IF($F437="","",$F437-TODAY())</f>
        <v/>
      </c>
      <c r="H437" s="85">
        <f>IF(OR($A437="",$B437=""),"",IF($F437="","No date",IF($G437&lt;0,"Overdue",IF($G437&lt;=30,"Due &lt;=30",IF($G437&lt;=60,"Due 31-60","OK")))))</f>
        <v/>
      </c>
      <c r="I437" s="54"/>
      <c r="J437" s="54"/>
      <c r="K437" s="54"/>
      <c r="L437" s="54"/>
      <c r="M437" s="105">
        <f>IF($F437="","",$F437+ROW()/100000)</f>
        <v/>
      </c>
    </row>
    <row r="438" spans="1:13">
      <c r="A438" s="54"/>
      <c r="B438" s="54"/>
      <c r="C438" s="52"/>
      <c r="D438" s="83">
        <f>IF($B438="","",IFERROR(IF(VLOOKUP($B438,Reference!$A$6:$C$27,3,FALSE)&gt;0,VLOOKUP($B438,Reference!$A$6:$C$27,3,FALSE),""),""))</f>
        <v/>
      </c>
      <c r="E438" s="53"/>
      <c r="F438" s="82">
        <f>IF(OR($A438="",$B438="",NOT(ISNUMBER($C438))),"",IF(ISNUMBER($E438),IF($E438&gt;0,EDATE($C438,$E438),""),IF(ISNUMBER($D438),EDATE($C438,$D438),"")))</f>
        <v/>
      </c>
      <c r="G438" s="83">
        <f>IF($F438="","",$F438-TODAY())</f>
        <v/>
      </c>
      <c r="H438" s="85">
        <f>IF(OR($A438="",$B438=""),"",IF($F438="","No date",IF($G438&lt;0,"Overdue",IF($G438&lt;=30,"Due &lt;=30",IF($G438&lt;=60,"Due 31-60","OK")))))</f>
        <v/>
      </c>
      <c r="I438" s="54"/>
      <c r="J438" s="54"/>
      <c r="K438" s="54"/>
      <c r="L438" s="54"/>
      <c r="M438" s="105">
        <f>IF($F438="","",$F438+ROW()/100000)</f>
        <v/>
      </c>
    </row>
    <row r="439" spans="1:13">
      <c r="A439" s="54"/>
      <c r="B439" s="54"/>
      <c r="C439" s="52"/>
      <c r="D439" s="83">
        <f>IF($B439="","",IFERROR(IF(VLOOKUP($B439,Reference!$A$6:$C$27,3,FALSE)&gt;0,VLOOKUP($B439,Reference!$A$6:$C$27,3,FALSE),""),""))</f>
        <v/>
      </c>
      <c r="E439" s="53"/>
      <c r="F439" s="82">
        <f>IF(OR($A439="",$B439="",NOT(ISNUMBER($C439))),"",IF(ISNUMBER($E439),IF($E439&gt;0,EDATE($C439,$E439),""),IF(ISNUMBER($D439),EDATE($C439,$D439),"")))</f>
        <v/>
      </c>
      <c r="G439" s="83">
        <f>IF($F439="","",$F439-TODAY())</f>
        <v/>
      </c>
      <c r="H439" s="85">
        <f>IF(OR($A439="",$B439=""),"",IF($F439="","No date",IF($G439&lt;0,"Overdue",IF($G439&lt;=30,"Due &lt;=30",IF($G439&lt;=60,"Due 31-60","OK")))))</f>
        <v/>
      </c>
      <c r="I439" s="54"/>
      <c r="J439" s="54"/>
      <c r="K439" s="54"/>
      <c r="L439" s="54"/>
      <c r="M439" s="105">
        <f>IF($F439="","",$F439+ROW()/100000)</f>
        <v/>
      </c>
    </row>
    <row r="440" spans="1:13">
      <c r="A440" s="54"/>
      <c r="B440" s="54"/>
      <c r="C440" s="52"/>
      <c r="D440" s="83">
        <f>IF($B440="","",IFERROR(IF(VLOOKUP($B440,Reference!$A$6:$C$27,3,FALSE)&gt;0,VLOOKUP($B440,Reference!$A$6:$C$27,3,FALSE),""),""))</f>
        <v/>
      </c>
      <c r="E440" s="53"/>
      <c r="F440" s="82">
        <f>IF(OR($A440="",$B440="",NOT(ISNUMBER($C440))),"",IF(ISNUMBER($E440),IF($E440&gt;0,EDATE($C440,$E440),""),IF(ISNUMBER($D440),EDATE($C440,$D440),"")))</f>
        <v/>
      </c>
      <c r="G440" s="83">
        <f>IF($F440="","",$F440-TODAY())</f>
        <v/>
      </c>
      <c r="H440" s="85">
        <f>IF(OR($A440="",$B440=""),"",IF($F440="","No date",IF($G440&lt;0,"Overdue",IF($G440&lt;=30,"Due &lt;=30",IF($G440&lt;=60,"Due 31-60","OK")))))</f>
        <v/>
      </c>
      <c r="I440" s="54"/>
      <c r="J440" s="54"/>
      <c r="K440" s="54"/>
      <c r="L440" s="54"/>
      <c r="M440" s="105">
        <f>IF($F440="","",$F440+ROW()/100000)</f>
        <v/>
      </c>
    </row>
    <row r="441" spans="1:13">
      <c r="A441" s="54"/>
      <c r="B441" s="54"/>
      <c r="C441" s="52"/>
      <c r="D441" s="83">
        <f>IF($B441="","",IFERROR(IF(VLOOKUP($B441,Reference!$A$6:$C$27,3,FALSE)&gt;0,VLOOKUP($B441,Reference!$A$6:$C$27,3,FALSE),""),""))</f>
        <v/>
      </c>
      <c r="E441" s="53"/>
      <c r="F441" s="82">
        <f>IF(OR($A441="",$B441="",NOT(ISNUMBER($C441))),"",IF(ISNUMBER($E441),IF($E441&gt;0,EDATE($C441,$E441),""),IF(ISNUMBER($D441),EDATE($C441,$D441),"")))</f>
        <v/>
      </c>
      <c r="G441" s="83">
        <f>IF($F441="","",$F441-TODAY())</f>
        <v/>
      </c>
      <c r="H441" s="85">
        <f>IF(OR($A441="",$B441=""),"",IF($F441="","No date",IF($G441&lt;0,"Overdue",IF($G441&lt;=30,"Due &lt;=30",IF($G441&lt;=60,"Due 31-60","OK")))))</f>
        <v/>
      </c>
      <c r="I441" s="54"/>
      <c r="J441" s="54"/>
      <c r="K441" s="54"/>
      <c r="L441" s="54"/>
      <c r="M441" s="105">
        <f>IF($F441="","",$F441+ROW()/100000)</f>
        <v/>
      </c>
    </row>
    <row r="442" spans="1:13">
      <c r="A442" s="54"/>
      <c r="B442" s="54"/>
      <c r="C442" s="52"/>
      <c r="D442" s="83">
        <f>IF($B442="","",IFERROR(IF(VLOOKUP($B442,Reference!$A$6:$C$27,3,FALSE)&gt;0,VLOOKUP($B442,Reference!$A$6:$C$27,3,FALSE),""),""))</f>
        <v/>
      </c>
      <c r="E442" s="53"/>
      <c r="F442" s="82">
        <f>IF(OR($A442="",$B442="",NOT(ISNUMBER($C442))),"",IF(ISNUMBER($E442),IF($E442&gt;0,EDATE($C442,$E442),""),IF(ISNUMBER($D442),EDATE($C442,$D442),"")))</f>
        <v/>
      </c>
      <c r="G442" s="83">
        <f>IF($F442="","",$F442-TODAY())</f>
        <v/>
      </c>
      <c r="H442" s="85">
        <f>IF(OR($A442="",$B442=""),"",IF($F442="","No date",IF($G442&lt;0,"Overdue",IF($G442&lt;=30,"Due &lt;=30",IF($G442&lt;=60,"Due 31-60","OK")))))</f>
        <v/>
      </c>
      <c r="I442" s="54"/>
      <c r="J442" s="54"/>
      <c r="K442" s="54"/>
      <c r="L442" s="54"/>
      <c r="M442" s="105">
        <f>IF($F442="","",$F442+ROW()/100000)</f>
        <v/>
      </c>
    </row>
    <row r="443" spans="1:13">
      <c r="A443" s="54"/>
      <c r="B443" s="54"/>
      <c r="C443" s="52"/>
      <c r="D443" s="83">
        <f>IF($B443="","",IFERROR(IF(VLOOKUP($B443,Reference!$A$6:$C$27,3,FALSE)&gt;0,VLOOKUP($B443,Reference!$A$6:$C$27,3,FALSE),""),""))</f>
        <v/>
      </c>
      <c r="E443" s="53"/>
      <c r="F443" s="82">
        <f>IF(OR($A443="",$B443="",NOT(ISNUMBER($C443))),"",IF(ISNUMBER($E443),IF($E443&gt;0,EDATE($C443,$E443),""),IF(ISNUMBER($D443),EDATE($C443,$D443),"")))</f>
        <v/>
      </c>
      <c r="G443" s="83">
        <f>IF($F443="","",$F443-TODAY())</f>
        <v/>
      </c>
      <c r="H443" s="85">
        <f>IF(OR($A443="",$B443=""),"",IF($F443="","No date",IF($G443&lt;0,"Overdue",IF($G443&lt;=30,"Due &lt;=30",IF($G443&lt;=60,"Due 31-60","OK")))))</f>
        <v/>
      </c>
      <c r="I443" s="54"/>
      <c r="J443" s="54"/>
      <c r="K443" s="54"/>
      <c r="L443" s="54"/>
      <c r="M443" s="105">
        <f>IF($F443="","",$F443+ROW()/100000)</f>
        <v/>
      </c>
    </row>
    <row r="444" spans="1:13">
      <c r="A444" s="54"/>
      <c r="B444" s="54"/>
      <c r="C444" s="52"/>
      <c r="D444" s="83">
        <f>IF($B444="","",IFERROR(IF(VLOOKUP($B444,Reference!$A$6:$C$27,3,FALSE)&gt;0,VLOOKUP($B444,Reference!$A$6:$C$27,3,FALSE),""),""))</f>
        <v/>
      </c>
      <c r="E444" s="53"/>
      <c r="F444" s="82">
        <f>IF(OR($A444="",$B444="",NOT(ISNUMBER($C444))),"",IF(ISNUMBER($E444),IF($E444&gt;0,EDATE($C444,$E444),""),IF(ISNUMBER($D444),EDATE($C444,$D444),"")))</f>
        <v/>
      </c>
      <c r="G444" s="83">
        <f>IF($F444="","",$F444-TODAY())</f>
        <v/>
      </c>
      <c r="H444" s="85">
        <f>IF(OR($A444="",$B444=""),"",IF($F444="","No date",IF($G444&lt;0,"Overdue",IF($G444&lt;=30,"Due &lt;=30",IF($G444&lt;=60,"Due 31-60","OK")))))</f>
        <v/>
      </c>
      <c r="I444" s="54"/>
      <c r="J444" s="54"/>
      <c r="K444" s="54"/>
      <c r="L444" s="54"/>
      <c r="M444" s="105">
        <f>IF($F444="","",$F444+ROW()/100000)</f>
        <v/>
      </c>
    </row>
    <row r="445" spans="1:13">
      <c r="A445" s="54"/>
      <c r="B445" s="54"/>
      <c r="C445" s="52"/>
      <c r="D445" s="83">
        <f>IF($B445="","",IFERROR(IF(VLOOKUP($B445,Reference!$A$6:$C$27,3,FALSE)&gt;0,VLOOKUP($B445,Reference!$A$6:$C$27,3,FALSE),""),""))</f>
        <v/>
      </c>
      <c r="E445" s="53"/>
      <c r="F445" s="82">
        <f>IF(OR($A445="",$B445="",NOT(ISNUMBER($C445))),"",IF(ISNUMBER($E445),IF($E445&gt;0,EDATE($C445,$E445),""),IF(ISNUMBER($D445),EDATE($C445,$D445),"")))</f>
        <v/>
      </c>
      <c r="G445" s="83">
        <f>IF($F445="","",$F445-TODAY())</f>
        <v/>
      </c>
      <c r="H445" s="85">
        <f>IF(OR($A445="",$B445=""),"",IF($F445="","No date",IF($G445&lt;0,"Overdue",IF($G445&lt;=30,"Due &lt;=30",IF($G445&lt;=60,"Due 31-60","OK")))))</f>
        <v/>
      </c>
      <c r="I445" s="54"/>
      <c r="J445" s="54"/>
      <c r="K445" s="54"/>
      <c r="L445" s="54"/>
      <c r="M445" s="105">
        <f>IF($F445="","",$F445+ROW()/100000)</f>
        <v/>
      </c>
    </row>
    <row r="446" spans="1:13">
      <c r="A446" s="54"/>
      <c r="B446" s="54"/>
      <c r="C446" s="52"/>
      <c r="D446" s="83">
        <f>IF($B446="","",IFERROR(IF(VLOOKUP($B446,Reference!$A$6:$C$27,3,FALSE)&gt;0,VLOOKUP($B446,Reference!$A$6:$C$27,3,FALSE),""),""))</f>
        <v/>
      </c>
      <c r="E446" s="53"/>
      <c r="F446" s="82">
        <f>IF(OR($A446="",$B446="",NOT(ISNUMBER($C446))),"",IF(ISNUMBER($E446),IF($E446&gt;0,EDATE($C446,$E446),""),IF(ISNUMBER($D446),EDATE($C446,$D446),"")))</f>
        <v/>
      </c>
      <c r="G446" s="83">
        <f>IF($F446="","",$F446-TODAY())</f>
        <v/>
      </c>
      <c r="H446" s="85">
        <f>IF(OR($A446="",$B446=""),"",IF($F446="","No date",IF($G446&lt;0,"Overdue",IF($G446&lt;=30,"Due &lt;=30",IF($G446&lt;=60,"Due 31-60","OK")))))</f>
        <v/>
      </c>
      <c r="I446" s="54"/>
      <c r="J446" s="54"/>
      <c r="K446" s="54"/>
      <c r="L446" s="54"/>
      <c r="M446" s="105">
        <f>IF($F446="","",$F446+ROW()/100000)</f>
        <v/>
      </c>
    </row>
    <row r="447" spans="1:13">
      <c r="A447" s="54"/>
      <c r="B447" s="54"/>
      <c r="C447" s="52"/>
      <c r="D447" s="83">
        <f>IF($B447="","",IFERROR(IF(VLOOKUP($B447,Reference!$A$6:$C$27,3,FALSE)&gt;0,VLOOKUP($B447,Reference!$A$6:$C$27,3,FALSE),""),""))</f>
        <v/>
      </c>
      <c r="E447" s="53"/>
      <c r="F447" s="82">
        <f>IF(OR($A447="",$B447="",NOT(ISNUMBER($C447))),"",IF(ISNUMBER($E447),IF($E447&gt;0,EDATE($C447,$E447),""),IF(ISNUMBER($D447),EDATE($C447,$D447),"")))</f>
        <v/>
      </c>
      <c r="G447" s="83">
        <f>IF($F447="","",$F447-TODAY())</f>
        <v/>
      </c>
      <c r="H447" s="85">
        <f>IF(OR($A447="",$B447=""),"",IF($F447="","No date",IF($G447&lt;0,"Overdue",IF($G447&lt;=30,"Due &lt;=30",IF($G447&lt;=60,"Due 31-60","OK")))))</f>
        <v/>
      </c>
      <c r="I447" s="54"/>
      <c r="J447" s="54"/>
      <c r="K447" s="54"/>
      <c r="L447" s="54"/>
      <c r="M447" s="105">
        <f>IF($F447="","",$F447+ROW()/100000)</f>
        <v/>
      </c>
    </row>
    <row r="448" spans="1:13">
      <c r="A448" s="54"/>
      <c r="B448" s="54"/>
      <c r="C448" s="52"/>
      <c r="D448" s="83">
        <f>IF($B448="","",IFERROR(IF(VLOOKUP($B448,Reference!$A$6:$C$27,3,FALSE)&gt;0,VLOOKUP($B448,Reference!$A$6:$C$27,3,FALSE),""),""))</f>
        <v/>
      </c>
      <c r="E448" s="53"/>
      <c r="F448" s="82">
        <f>IF(OR($A448="",$B448="",NOT(ISNUMBER($C448))),"",IF(ISNUMBER($E448),IF($E448&gt;0,EDATE($C448,$E448),""),IF(ISNUMBER($D448),EDATE($C448,$D448),"")))</f>
        <v/>
      </c>
      <c r="G448" s="83">
        <f>IF($F448="","",$F448-TODAY())</f>
        <v/>
      </c>
      <c r="H448" s="85">
        <f>IF(OR($A448="",$B448=""),"",IF($F448="","No date",IF($G448&lt;0,"Overdue",IF($G448&lt;=30,"Due &lt;=30",IF($G448&lt;=60,"Due 31-60","OK")))))</f>
        <v/>
      </c>
      <c r="I448" s="54"/>
      <c r="J448" s="54"/>
      <c r="K448" s="54"/>
      <c r="L448" s="54"/>
      <c r="M448" s="105">
        <f>IF($F448="","",$F448+ROW()/100000)</f>
        <v/>
      </c>
    </row>
    <row r="449" spans="1:13">
      <c r="A449" s="54"/>
      <c r="B449" s="54"/>
      <c r="C449" s="52"/>
      <c r="D449" s="83">
        <f>IF($B449="","",IFERROR(IF(VLOOKUP($B449,Reference!$A$6:$C$27,3,FALSE)&gt;0,VLOOKUP($B449,Reference!$A$6:$C$27,3,FALSE),""),""))</f>
        <v/>
      </c>
      <c r="E449" s="53"/>
      <c r="F449" s="82">
        <f>IF(OR($A449="",$B449="",NOT(ISNUMBER($C449))),"",IF(ISNUMBER($E449),IF($E449&gt;0,EDATE($C449,$E449),""),IF(ISNUMBER($D449),EDATE($C449,$D449),"")))</f>
        <v/>
      </c>
      <c r="G449" s="83">
        <f>IF($F449="","",$F449-TODAY())</f>
        <v/>
      </c>
      <c r="H449" s="85">
        <f>IF(OR($A449="",$B449=""),"",IF($F449="","No date",IF($G449&lt;0,"Overdue",IF($G449&lt;=30,"Due &lt;=30",IF($G449&lt;=60,"Due 31-60","OK")))))</f>
        <v/>
      </c>
      <c r="I449" s="54"/>
      <c r="J449" s="54"/>
      <c r="K449" s="54"/>
      <c r="L449" s="54"/>
      <c r="M449" s="105">
        <f>IF($F449="","",$F449+ROW()/100000)</f>
        <v/>
      </c>
    </row>
    <row r="450" spans="1:13">
      <c r="A450" s="54"/>
      <c r="B450" s="54"/>
      <c r="C450" s="52"/>
      <c r="D450" s="83">
        <f>IF($B450="","",IFERROR(IF(VLOOKUP($B450,Reference!$A$6:$C$27,3,FALSE)&gt;0,VLOOKUP($B450,Reference!$A$6:$C$27,3,FALSE),""),""))</f>
        <v/>
      </c>
      <c r="E450" s="53"/>
      <c r="F450" s="82">
        <f>IF(OR($A450="",$B450="",NOT(ISNUMBER($C450))),"",IF(ISNUMBER($E450),IF($E450&gt;0,EDATE($C450,$E450),""),IF(ISNUMBER($D450),EDATE($C450,$D450),"")))</f>
        <v/>
      </c>
      <c r="G450" s="83">
        <f>IF($F450="","",$F450-TODAY())</f>
        <v/>
      </c>
      <c r="H450" s="85">
        <f>IF(OR($A450="",$B450=""),"",IF($F450="","No date",IF($G450&lt;0,"Overdue",IF($G450&lt;=30,"Due &lt;=30",IF($G450&lt;=60,"Due 31-60","OK")))))</f>
        <v/>
      </c>
      <c r="I450" s="54"/>
      <c r="J450" s="54"/>
      <c r="K450" s="54"/>
      <c r="L450" s="54"/>
      <c r="M450" s="105">
        <f>IF($F450="","",$F450+ROW()/100000)</f>
        <v/>
      </c>
    </row>
    <row r="451" spans="1:13">
      <c r="A451" s="54"/>
      <c r="B451" s="54"/>
      <c r="C451" s="52"/>
      <c r="D451" s="83">
        <f>IF($B451="","",IFERROR(IF(VLOOKUP($B451,Reference!$A$6:$C$27,3,FALSE)&gt;0,VLOOKUP($B451,Reference!$A$6:$C$27,3,FALSE),""),""))</f>
        <v/>
      </c>
      <c r="E451" s="53"/>
      <c r="F451" s="82">
        <f>IF(OR($A451="",$B451="",NOT(ISNUMBER($C451))),"",IF(ISNUMBER($E451),IF($E451&gt;0,EDATE($C451,$E451),""),IF(ISNUMBER($D451),EDATE($C451,$D451),"")))</f>
        <v/>
      </c>
      <c r="G451" s="83">
        <f>IF($F451="","",$F451-TODAY())</f>
        <v/>
      </c>
      <c r="H451" s="85">
        <f>IF(OR($A451="",$B451=""),"",IF($F451="","No date",IF($G451&lt;0,"Overdue",IF($G451&lt;=30,"Due &lt;=30",IF($G451&lt;=60,"Due 31-60","OK")))))</f>
        <v/>
      </c>
      <c r="I451" s="54"/>
      <c r="J451" s="54"/>
      <c r="K451" s="54"/>
      <c r="L451" s="54"/>
      <c r="M451" s="105">
        <f>IF($F451="","",$F451+ROW()/100000)</f>
        <v/>
      </c>
    </row>
    <row r="452" spans="1:13">
      <c r="A452" s="54"/>
      <c r="B452" s="54"/>
      <c r="C452" s="52"/>
      <c r="D452" s="83">
        <f>IF($B452="","",IFERROR(IF(VLOOKUP($B452,Reference!$A$6:$C$27,3,FALSE)&gt;0,VLOOKUP($B452,Reference!$A$6:$C$27,3,FALSE),""),""))</f>
        <v/>
      </c>
      <c r="E452" s="53"/>
      <c r="F452" s="82">
        <f>IF(OR($A452="",$B452="",NOT(ISNUMBER($C452))),"",IF(ISNUMBER($E452),IF($E452&gt;0,EDATE($C452,$E452),""),IF(ISNUMBER($D452),EDATE($C452,$D452),"")))</f>
        <v/>
      </c>
      <c r="G452" s="83">
        <f>IF($F452="","",$F452-TODAY())</f>
        <v/>
      </c>
      <c r="H452" s="85">
        <f>IF(OR($A452="",$B452=""),"",IF($F452="","No date",IF($G452&lt;0,"Overdue",IF($G452&lt;=30,"Due &lt;=30",IF($G452&lt;=60,"Due 31-60","OK")))))</f>
        <v/>
      </c>
      <c r="I452" s="54"/>
      <c r="J452" s="54"/>
      <c r="K452" s="54"/>
      <c r="L452" s="54"/>
      <c r="M452" s="105">
        <f>IF($F452="","",$F452+ROW()/100000)</f>
        <v/>
      </c>
    </row>
    <row r="453" spans="1:13">
      <c r="A453" s="54"/>
      <c r="B453" s="54"/>
      <c r="C453" s="52"/>
      <c r="D453" s="83">
        <f>IF($B453="","",IFERROR(IF(VLOOKUP($B453,Reference!$A$6:$C$27,3,FALSE)&gt;0,VLOOKUP($B453,Reference!$A$6:$C$27,3,FALSE),""),""))</f>
        <v/>
      </c>
      <c r="E453" s="53"/>
      <c r="F453" s="82">
        <f>IF(OR($A453="",$B453="",NOT(ISNUMBER($C453))),"",IF(ISNUMBER($E453),IF($E453&gt;0,EDATE($C453,$E453),""),IF(ISNUMBER($D453),EDATE($C453,$D453),"")))</f>
        <v/>
      </c>
      <c r="G453" s="83">
        <f>IF($F453="","",$F453-TODAY())</f>
        <v/>
      </c>
      <c r="H453" s="85">
        <f>IF(OR($A453="",$B453=""),"",IF($F453="","No date",IF($G453&lt;0,"Overdue",IF($G453&lt;=30,"Due &lt;=30",IF($G453&lt;=60,"Due 31-60","OK")))))</f>
        <v/>
      </c>
      <c r="I453" s="54"/>
      <c r="J453" s="54"/>
      <c r="K453" s="54"/>
      <c r="L453" s="54"/>
      <c r="M453" s="105">
        <f>IF($F453="","",$F453+ROW()/100000)</f>
        <v/>
      </c>
    </row>
    <row r="454" spans="1:13">
      <c r="A454" s="54"/>
      <c r="B454" s="54"/>
      <c r="C454" s="52"/>
      <c r="D454" s="83">
        <f>IF($B454="","",IFERROR(IF(VLOOKUP($B454,Reference!$A$6:$C$27,3,FALSE)&gt;0,VLOOKUP($B454,Reference!$A$6:$C$27,3,FALSE),""),""))</f>
        <v/>
      </c>
      <c r="E454" s="53"/>
      <c r="F454" s="82">
        <f>IF(OR($A454="",$B454="",NOT(ISNUMBER($C454))),"",IF(ISNUMBER($E454),IF($E454&gt;0,EDATE($C454,$E454),""),IF(ISNUMBER($D454),EDATE($C454,$D454),"")))</f>
        <v/>
      </c>
      <c r="G454" s="83">
        <f>IF($F454="","",$F454-TODAY())</f>
        <v/>
      </c>
      <c r="H454" s="85">
        <f>IF(OR($A454="",$B454=""),"",IF($F454="","No date",IF($G454&lt;0,"Overdue",IF($G454&lt;=30,"Due &lt;=30",IF($G454&lt;=60,"Due 31-60","OK")))))</f>
        <v/>
      </c>
      <c r="I454" s="54"/>
      <c r="J454" s="54"/>
      <c r="K454" s="54"/>
      <c r="L454" s="54"/>
      <c r="M454" s="105">
        <f>IF($F454="","",$F454+ROW()/100000)</f>
        <v/>
      </c>
    </row>
    <row r="455" spans="1:13">
      <c r="A455" s="54"/>
      <c r="B455" s="54"/>
      <c r="C455" s="52"/>
      <c r="D455" s="83">
        <f>IF($B455="","",IFERROR(IF(VLOOKUP($B455,Reference!$A$6:$C$27,3,FALSE)&gt;0,VLOOKUP($B455,Reference!$A$6:$C$27,3,FALSE),""),""))</f>
        <v/>
      </c>
      <c r="E455" s="53"/>
      <c r="F455" s="82">
        <f>IF(OR($A455="",$B455="",NOT(ISNUMBER($C455))),"",IF(ISNUMBER($E455),IF($E455&gt;0,EDATE($C455,$E455),""),IF(ISNUMBER($D455),EDATE($C455,$D455),"")))</f>
        <v/>
      </c>
      <c r="G455" s="83">
        <f>IF($F455="","",$F455-TODAY())</f>
        <v/>
      </c>
      <c r="H455" s="85">
        <f>IF(OR($A455="",$B455=""),"",IF($F455="","No date",IF($G455&lt;0,"Overdue",IF($G455&lt;=30,"Due &lt;=30",IF($G455&lt;=60,"Due 31-60","OK")))))</f>
        <v/>
      </c>
      <c r="I455" s="54"/>
      <c r="J455" s="54"/>
      <c r="K455" s="54"/>
      <c r="L455" s="54"/>
      <c r="M455" s="105">
        <f>IF($F455="","",$F455+ROW()/100000)</f>
        <v/>
      </c>
    </row>
    <row r="456" spans="1:13">
      <c r="A456" s="54"/>
      <c r="B456" s="54"/>
      <c r="C456" s="52"/>
      <c r="D456" s="83">
        <f>IF($B456="","",IFERROR(IF(VLOOKUP($B456,Reference!$A$6:$C$27,3,FALSE)&gt;0,VLOOKUP($B456,Reference!$A$6:$C$27,3,FALSE),""),""))</f>
        <v/>
      </c>
      <c r="E456" s="53"/>
      <c r="F456" s="82">
        <f>IF(OR($A456="",$B456="",NOT(ISNUMBER($C456))),"",IF(ISNUMBER($E456),IF($E456&gt;0,EDATE($C456,$E456),""),IF(ISNUMBER($D456),EDATE($C456,$D456),"")))</f>
        <v/>
      </c>
      <c r="G456" s="83">
        <f>IF($F456="","",$F456-TODAY())</f>
        <v/>
      </c>
      <c r="H456" s="85">
        <f>IF(OR($A456="",$B456=""),"",IF($F456="","No date",IF($G456&lt;0,"Overdue",IF($G456&lt;=30,"Due &lt;=30",IF($G456&lt;=60,"Due 31-60","OK")))))</f>
        <v/>
      </c>
      <c r="I456" s="54"/>
      <c r="J456" s="54"/>
      <c r="K456" s="54"/>
      <c r="L456" s="54"/>
      <c r="M456" s="105">
        <f>IF($F456="","",$F456+ROW()/100000)</f>
        <v/>
      </c>
    </row>
    <row r="457" spans="1:13">
      <c r="A457" s="54"/>
      <c r="B457" s="54"/>
      <c r="C457" s="52"/>
      <c r="D457" s="83">
        <f>IF($B457="","",IFERROR(IF(VLOOKUP($B457,Reference!$A$6:$C$27,3,FALSE)&gt;0,VLOOKUP($B457,Reference!$A$6:$C$27,3,FALSE),""),""))</f>
        <v/>
      </c>
      <c r="E457" s="53"/>
      <c r="F457" s="82">
        <f>IF(OR($A457="",$B457="",NOT(ISNUMBER($C457))),"",IF(ISNUMBER($E457),IF($E457&gt;0,EDATE($C457,$E457),""),IF(ISNUMBER($D457),EDATE($C457,$D457),"")))</f>
        <v/>
      </c>
      <c r="G457" s="83">
        <f>IF($F457="","",$F457-TODAY())</f>
        <v/>
      </c>
      <c r="H457" s="85">
        <f>IF(OR($A457="",$B457=""),"",IF($F457="","No date",IF($G457&lt;0,"Overdue",IF($G457&lt;=30,"Due &lt;=30",IF($G457&lt;=60,"Due 31-60","OK")))))</f>
        <v/>
      </c>
      <c r="I457" s="54"/>
      <c r="J457" s="54"/>
      <c r="K457" s="54"/>
      <c r="L457" s="54"/>
      <c r="M457" s="105">
        <f>IF($F457="","",$F457+ROW()/100000)</f>
        <v/>
      </c>
    </row>
    <row r="458" spans="1:13">
      <c r="A458" s="54"/>
      <c r="B458" s="54"/>
      <c r="C458" s="52"/>
      <c r="D458" s="83">
        <f>IF($B458="","",IFERROR(IF(VLOOKUP($B458,Reference!$A$6:$C$27,3,FALSE)&gt;0,VLOOKUP($B458,Reference!$A$6:$C$27,3,FALSE),""),""))</f>
        <v/>
      </c>
      <c r="E458" s="53"/>
      <c r="F458" s="82">
        <f>IF(OR($A458="",$B458="",NOT(ISNUMBER($C458))),"",IF(ISNUMBER($E458),IF($E458&gt;0,EDATE($C458,$E458),""),IF(ISNUMBER($D458),EDATE($C458,$D458),"")))</f>
        <v/>
      </c>
      <c r="G458" s="83">
        <f>IF($F458="","",$F458-TODAY())</f>
        <v/>
      </c>
      <c r="H458" s="85">
        <f>IF(OR($A458="",$B458=""),"",IF($F458="","No date",IF($G458&lt;0,"Overdue",IF($G458&lt;=30,"Due &lt;=30",IF($G458&lt;=60,"Due 31-60","OK")))))</f>
        <v/>
      </c>
      <c r="I458" s="54"/>
      <c r="J458" s="54"/>
      <c r="K458" s="54"/>
      <c r="L458" s="54"/>
      <c r="M458" s="105">
        <f>IF($F458="","",$F458+ROW()/100000)</f>
        <v/>
      </c>
    </row>
    <row r="459" spans="1:13">
      <c r="A459" s="54"/>
      <c r="B459" s="54"/>
      <c r="C459" s="52"/>
      <c r="D459" s="83">
        <f>IF($B459="","",IFERROR(IF(VLOOKUP($B459,Reference!$A$6:$C$27,3,FALSE)&gt;0,VLOOKUP($B459,Reference!$A$6:$C$27,3,FALSE),""),""))</f>
        <v/>
      </c>
      <c r="E459" s="53"/>
      <c r="F459" s="82">
        <f>IF(OR($A459="",$B459="",NOT(ISNUMBER($C459))),"",IF(ISNUMBER($E459),IF($E459&gt;0,EDATE($C459,$E459),""),IF(ISNUMBER($D459),EDATE($C459,$D459),"")))</f>
        <v/>
      </c>
      <c r="G459" s="83">
        <f>IF($F459="","",$F459-TODAY())</f>
        <v/>
      </c>
      <c r="H459" s="85">
        <f>IF(OR($A459="",$B459=""),"",IF($F459="","No date",IF($G459&lt;0,"Overdue",IF($G459&lt;=30,"Due &lt;=30",IF($G459&lt;=60,"Due 31-60","OK")))))</f>
        <v/>
      </c>
      <c r="I459" s="54"/>
      <c r="J459" s="54"/>
      <c r="K459" s="54"/>
      <c r="L459" s="54"/>
      <c r="M459" s="105">
        <f>IF($F459="","",$F459+ROW()/100000)</f>
        <v/>
      </c>
    </row>
    <row r="460" spans="1:13">
      <c r="A460" s="54"/>
      <c r="B460" s="54"/>
      <c r="C460" s="52"/>
      <c r="D460" s="83">
        <f>IF($B460="","",IFERROR(IF(VLOOKUP($B460,Reference!$A$6:$C$27,3,FALSE)&gt;0,VLOOKUP($B460,Reference!$A$6:$C$27,3,FALSE),""),""))</f>
        <v/>
      </c>
      <c r="E460" s="53"/>
      <c r="F460" s="82">
        <f>IF(OR($A460="",$B460="",NOT(ISNUMBER($C460))),"",IF(ISNUMBER($E460),IF($E460&gt;0,EDATE($C460,$E460),""),IF(ISNUMBER($D460),EDATE($C460,$D460),"")))</f>
        <v/>
      </c>
      <c r="G460" s="83">
        <f>IF($F460="","",$F460-TODAY())</f>
        <v/>
      </c>
      <c r="H460" s="85">
        <f>IF(OR($A460="",$B460=""),"",IF($F460="","No date",IF($G460&lt;0,"Overdue",IF($G460&lt;=30,"Due &lt;=30",IF($G460&lt;=60,"Due 31-60","OK")))))</f>
        <v/>
      </c>
      <c r="I460" s="54"/>
      <c r="J460" s="54"/>
      <c r="K460" s="54"/>
      <c r="L460" s="54"/>
      <c r="M460" s="105">
        <f>IF($F460="","",$F460+ROW()/100000)</f>
        <v/>
      </c>
    </row>
    <row r="461" spans="1:13">
      <c r="A461" s="54"/>
      <c r="B461" s="54"/>
      <c r="C461" s="52"/>
      <c r="D461" s="83">
        <f>IF($B461="","",IFERROR(IF(VLOOKUP($B461,Reference!$A$6:$C$27,3,FALSE)&gt;0,VLOOKUP($B461,Reference!$A$6:$C$27,3,FALSE),""),""))</f>
        <v/>
      </c>
      <c r="E461" s="53"/>
      <c r="F461" s="82">
        <f>IF(OR($A461="",$B461="",NOT(ISNUMBER($C461))),"",IF(ISNUMBER($E461),IF($E461&gt;0,EDATE($C461,$E461),""),IF(ISNUMBER($D461),EDATE($C461,$D461),"")))</f>
        <v/>
      </c>
      <c r="G461" s="83">
        <f>IF($F461="","",$F461-TODAY())</f>
        <v/>
      </c>
      <c r="H461" s="85">
        <f>IF(OR($A461="",$B461=""),"",IF($F461="","No date",IF($G461&lt;0,"Overdue",IF($G461&lt;=30,"Due &lt;=30",IF($G461&lt;=60,"Due 31-60","OK")))))</f>
        <v/>
      </c>
      <c r="I461" s="54"/>
      <c r="J461" s="54"/>
      <c r="K461" s="54"/>
      <c r="L461" s="54"/>
      <c r="M461" s="105">
        <f>IF($F461="","",$F461+ROW()/100000)</f>
        <v/>
      </c>
    </row>
    <row r="462" spans="1:13">
      <c r="A462" s="54"/>
      <c r="B462" s="54"/>
      <c r="C462" s="52"/>
      <c r="D462" s="83">
        <f>IF($B462="","",IFERROR(IF(VLOOKUP($B462,Reference!$A$6:$C$27,3,FALSE)&gt;0,VLOOKUP($B462,Reference!$A$6:$C$27,3,FALSE),""),""))</f>
        <v/>
      </c>
      <c r="E462" s="53"/>
      <c r="F462" s="82">
        <f>IF(OR($A462="",$B462="",NOT(ISNUMBER($C462))),"",IF(ISNUMBER($E462),IF($E462&gt;0,EDATE($C462,$E462),""),IF(ISNUMBER($D462),EDATE($C462,$D462),"")))</f>
        <v/>
      </c>
      <c r="G462" s="83">
        <f>IF($F462="","",$F462-TODAY())</f>
        <v/>
      </c>
      <c r="H462" s="85">
        <f>IF(OR($A462="",$B462=""),"",IF($F462="","No date",IF($G462&lt;0,"Overdue",IF($G462&lt;=30,"Due &lt;=30",IF($G462&lt;=60,"Due 31-60","OK")))))</f>
        <v/>
      </c>
      <c r="I462" s="54"/>
      <c r="J462" s="54"/>
      <c r="K462" s="54"/>
      <c r="L462" s="54"/>
      <c r="M462" s="105">
        <f>IF($F462="","",$F462+ROW()/100000)</f>
        <v/>
      </c>
    </row>
    <row r="463" spans="1:13">
      <c r="A463" s="54"/>
      <c r="B463" s="54"/>
      <c r="C463" s="52"/>
      <c r="D463" s="83">
        <f>IF($B463="","",IFERROR(IF(VLOOKUP($B463,Reference!$A$6:$C$27,3,FALSE)&gt;0,VLOOKUP($B463,Reference!$A$6:$C$27,3,FALSE),""),""))</f>
        <v/>
      </c>
      <c r="E463" s="53"/>
      <c r="F463" s="82">
        <f>IF(OR($A463="",$B463="",NOT(ISNUMBER($C463))),"",IF(ISNUMBER($E463),IF($E463&gt;0,EDATE($C463,$E463),""),IF(ISNUMBER($D463),EDATE($C463,$D463),"")))</f>
        <v/>
      </c>
      <c r="G463" s="83">
        <f>IF($F463="","",$F463-TODAY())</f>
        <v/>
      </c>
      <c r="H463" s="85">
        <f>IF(OR($A463="",$B463=""),"",IF($F463="","No date",IF($G463&lt;0,"Overdue",IF($G463&lt;=30,"Due &lt;=30",IF($G463&lt;=60,"Due 31-60","OK")))))</f>
        <v/>
      </c>
      <c r="I463" s="54"/>
      <c r="J463" s="54"/>
      <c r="K463" s="54"/>
      <c r="L463" s="54"/>
      <c r="M463" s="105">
        <f>IF($F463="","",$F463+ROW()/100000)</f>
        <v/>
      </c>
    </row>
    <row r="464" spans="1:13">
      <c r="A464" s="54"/>
      <c r="B464" s="54"/>
      <c r="C464" s="52"/>
      <c r="D464" s="83">
        <f>IF($B464="","",IFERROR(IF(VLOOKUP($B464,Reference!$A$6:$C$27,3,FALSE)&gt;0,VLOOKUP($B464,Reference!$A$6:$C$27,3,FALSE),""),""))</f>
        <v/>
      </c>
      <c r="E464" s="53"/>
      <c r="F464" s="82">
        <f>IF(OR($A464="",$B464="",NOT(ISNUMBER($C464))),"",IF(ISNUMBER($E464),IF($E464&gt;0,EDATE($C464,$E464),""),IF(ISNUMBER($D464),EDATE($C464,$D464),"")))</f>
        <v/>
      </c>
      <c r="G464" s="83">
        <f>IF($F464="","",$F464-TODAY())</f>
        <v/>
      </c>
      <c r="H464" s="85">
        <f>IF(OR($A464="",$B464=""),"",IF($F464="","No date",IF($G464&lt;0,"Overdue",IF($G464&lt;=30,"Due &lt;=30",IF($G464&lt;=60,"Due 31-60","OK")))))</f>
        <v/>
      </c>
      <c r="I464" s="54"/>
      <c r="J464" s="54"/>
      <c r="K464" s="54"/>
      <c r="L464" s="54"/>
      <c r="M464" s="105">
        <f>IF($F464="","",$F464+ROW()/100000)</f>
        <v/>
      </c>
    </row>
    <row r="465" spans="1:13">
      <c r="A465" s="54"/>
      <c r="B465" s="54"/>
      <c r="C465" s="52"/>
      <c r="D465" s="83">
        <f>IF($B465="","",IFERROR(IF(VLOOKUP($B465,Reference!$A$6:$C$27,3,FALSE)&gt;0,VLOOKUP($B465,Reference!$A$6:$C$27,3,FALSE),""),""))</f>
        <v/>
      </c>
      <c r="E465" s="53"/>
      <c r="F465" s="82">
        <f>IF(OR($A465="",$B465="",NOT(ISNUMBER($C465))),"",IF(ISNUMBER($E465),IF($E465&gt;0,EDATE($C465,$E465),""),IF(ISNUMBER($D465),EDATE($C465,$D465),"")))</f>
        <v/>
      </c>
      <c r="G465" s="83">
        <f>IF($F465="","",$F465-TODAY())</f>
        <v/>
      </c>
      <c r="H465" s="85">
        <f>IF(OR($A465="",$B465=""),"",IF($F465="","No date",IF($G465&lt;0,"Overdue",IF($G465&lt;=30,"Due &lt;=30",IF($G465&lt;=60,"Due 31-60","OK")))))</f>
        <v/>
      </c>
      <c r="I465" s="54"/>
      <c r="J465" s="54"/>
      <c r="K465" s="54"/>
      <c r="L465" s="54"/>
      <c r="M465" s="105">
        <f>IF($F465="","",$F465+ROW()/100000)</f>
        <v/>
      </c>
    </row>
    <row r="466" spans="1:13">
      <c r="A466" s="54"/>
      <c r="B466" s="54"/>
      <c r="C466" s="52"/>
      <c r="D466" s="83">
        <f>IF($B466="","",IFERROR(IF(VLOOKUP($B466,Reference!$A$6:$C$27,3,FALSE)&gt;0,VLOOKUP($B466,Reference!$A$6:$C$27,3,FALSE),""),""))</f>
        <v/>
      </c>
      <c r="E466" s="53"/>
      <c r="F466" s="82">
        <f>IF(OR($A466="",$B466="",NOT(ISNUMBER($C466))),"",IF(ISNUMBER($E466),IF($E466&gt;0,EDATE($C466,$E466),""),IF(ISNUMBER($D466),EDATE($C466,$D466),"")))</f>
        <v/>
      </c>
      <c r="G466" s="83">
        <f>IF($F466="","",$F466-TODAY())</f>
        <v/>
      </c>
      <c r="H466" s="85">
        <f>IF(OR($A466="",$B466=""),"",IF($F466="","No date",IF($G466&lt;0,"Overdue",IF($G466&lt;=30,"Due &lt;=30",IF($G466&lt;=60,"Due 31-60","OK")))))</f>
        <v/>
      </c>
      <c r="I466" s="54"/>
      <c r="J466" s="54"/>
      <c r="K466" s="54"/>
      <c r="L466" s="54"/>
      <c r="M466" s="105">
        <f>IF($F466="","",$F466+ROW()/100000)</f>
        <v/>
      </c>
    </row>
    <row r="467" spans="1:13">
      <c r="A467" s="54"/>
      <c r="B467" s="54"/>
      <c r="C467" s="52"/>
      <c r="D467" s="83">
        <f>IF($B467="","",IFERROR(IF(VLOOKUP($B467,Reference!$A$6:$C$27,3,FALSE)&gt;0,VLOOKUP($B467,Reference!$A$6:$C$27,3,FALSE),""),""))</f>
        <v/>
      </c>
      <c r="E467" s="53"/>
      <c r="F467" s="82">
        <f>IF(OR($A467="",$B467="",NOT(ISNUMBER($C467))),"",IF(ISNUMBER($E467),IF($E467&gt;0,EDATE($C467,$E467),""),IF(ISNUMBER($D467),EDATE($C467,$D467),"")))</f>
        <v/>
      </c>
      <c r="G467" s="83">
        <f>IF($F467="","",$F467-TODAY())</f>
        <v/>
      </c>
      <c r="H467" s="85">
        <f>IF(OR($A467="",$B467=""),"",IF($F467="","No date",IF($G467&lt;0,"Overdue",IF($G467&lt;=30,"Due &lt;=30",IF($G467&lt;=60,"Due 31-60","OK")))))</f>
        <v/>
      </c>
      <c r="I467" s="54"/>
      <c r="J467" s="54"/>
      <c r="K467" s="54"/>
      <c r="L467" s="54"/>
      <c r="M467" s="105">
        <f>IF($F467="","",$F467+ROW()/100000)</f>
        <v/>
      </c>
    </row>
    <row r="468" spans="1:13">
      <c r="A468" s="54"/>
      <c r="B468" s="54"/>
      <c r="C468" s="52"/>
      <c r="D468" s="83">
        <f>IF($B468="","",IFERROR(IF(VLOOKUP($B468,Reference!$A$6:$C$27,3,FALSE)&gt;0,VLOOKUP($B468,Reference!$A$6:$C$27,3,FALSE),""),""))</f>
        <v/>
      </c>
      <c r="E468" s="53"/>
      <c r="F468" s="82">
        <f>IF(OR($A468="",$B468="",NOT(ISNUMBER($C468))),"",IF(ISNUMBER($E468),IF($E468&gt;0,EDATE($C468,$E468),""),IF(ISNUMBER($D468),EDATE($C468,$D468),"")))</f>
        <v/>
      </c>
      <c r="G468" s="83">
        <f>IF($F468="","",$F468-TODAY())</f>
        <v/>
      </c>
      <c r="H468" s="85">
        <f>IF(OR($A468="",$B468=""),"",IF($F468="","No date",IF($G468&lt;0,"Overdue",IF($G468&lt;=30,"Due &lt;=30",IF($G468&lt;=60,"Due 31-60","OK")))))</f>
        <v/>
      </c>
      <c r="I468" s="54"/>
      <c r="J468" s="54"/>
      <c r="K468" s="54"/>
      <c r="L468" s="54"/>
      <c r="M468" s="105">
        <f>IF($F468="","",$F468+ROW()/100000)</f>
        <v/>
      </c>
    </row>
    <row r="469" spans="1:13">
      <c r="A469" s="54"/>
      <c r="B469" s="54"/>
      <c r="C469" s="52"/>
      <c r="D469" s="83">
        <f>IF($B469="","",IFERROR(IF(VLOOKUP($B469,Reference!$A$6:$C$27,3,FALSE)&gt;0,VLOOKUP($B469,Reference!$A$6:$C$27,3,FALSE),""),""))</f>
        <v/>
      </c>
      <c r="E469" s="53"/>
      <c r="F469" s="82">
        <f>IF(OR($A469="",$B469="",NOT(ISNUMBER($C469))),"",IF(ISNUMBER($E469),IF($E469&gt;0,EDATE($C469,$E469),""),IF(ISNUMBER($D469),EDATE($C469,$D469),"")))</f>
        <v/>
      </c>
      <c r="G469" s="83">
        <f>IF($F469="","",$F469-TODAY())</f>
        <v/>
      </c>
      <c r="H469" s="85">
        <f>IF(OR($A469="",$B469=""),"",IF($F469="","No date",IF($G469&lt;0,"Overdue",IF($G469&lt;=30,"Due &lt;=30",IF($G469&lt;=60,"Due 31-60","OK")))))</f>
        <v/>
      </c>
      <c r="I469" s="54"/>
      <c r="J469" s="54"/>
      <c r="K469" s="54"/>
      <c r="L469" s="54"/>
      <c r="M469" s="105">
        <f>IF($F469="","",$F469+ROW()/100000)</f>
        <v/>
      </c>
    </row>
    <row r="470" spans="1:13">
      <c r="A470" s="54"/>
      <c r="B470" s="54"/>
      <c r="C470" s="52"/>
      <c r="D470" s="83">
        <f>IF($B470="","",IFERROR(IF(VLOOKUP($B470,Reference!$A$6:$C$27,3,FALSE)&gt;0,VLOOKUP($B470,Reference!$A$6:$C$27,3,FALSE),""),""))</f>
        <v/>
      </c>
      <c r="E470" s="53"/>
      <c r="F470" s="82">
        <f>IF(OR($A470="",$B470="",NOT(ISNUMBER($C470))),"",IF(ISNUMBER($E470),IF($E470&gt;0,EDATE($C470,$E470),""),IF(ISNUMBER($D470),EDATE($C470,$D470),"")))</f>
        <v/>
      </c>
      <c r="G470" s="83">
        <f>IF($F470="","",$F470-TODAY())</f>
        <v/>
      </c>
      <c r="H470" s="85">
        <f>IF(OR($A470="",$B470=""),"",IF($F470="","No date",IF($G470&lt;0,"Overdue",IF($G470&lt;=30,"Due &lt;=30",IF($G470&lt;=60,"Due 31-60","OK")))))</f>
        <v/>
      </c>
      <c r="I470" s="54"/>
      <c r="J470" s="54"/>
      <c r="K470" s="54"/>
      <c r="L470" s="54"/>
      <c r="M470" s="105">
        <f>IF($F470="","",$F470+ROW()/100000)</f>
        <v/>
      </c>
    </row>
    <row r="471" spans="1:13">
      <c r="A471" s="54"/>
      <c r="B471" s="54"/>
      <c r="C471" s="52"/>
      <c r="D471" s="83">
        <f>IF($B471="","",IFERROR(IF(VLOOKUP($B471,Reference!$A$6:$C$27,3,FALSE)&gt;0,VLOOKUP($B471,Reference!$A$6:$C$27,3,FALSE),""),""))</f>
        <v/>
      </c>
      <c r="E471" s="53"/>
      <c r="F471" s="82">
        <f>IF(OR($A471="",$B471="",NOT(ISNUMBER($C471))),"",IF(ISNUMBER($E471),IF($E471&gt;0,EDATE($C471,$E471),""),IF(ISNUMBER($D471),EDATE($C471,$D471),"")))</f>
        <v/>
      </c>
      <c r="G471" s="83">
        <f>IF($F471="","",$F471-TODAY())</f>
        <v/>
      </c>
      <c r="H471" s="85">
        <f>IF(OR($A471="",$B471=""),"",IF($F471="","No date",IF($G471&lt;0,"Overdue",IF($G471&lt;=30,"Due &lt;=30",IF($G471&lt;=60,"Due 31-60","OK")))))</f>
        <v/>
      </c>
      <c r="I471" s="54"/>
      <c r="J471" s="54"/>
      <c r="K471" s="54"/>
      <c r="L471" s="54"/>
      <c r="M471" s="105">
        <f>IF($F471="","",$F471+ROW()/100000)</f>
        <v/>
      </c>
    </row>
    <row r="472" spans="1:13">
      <c r="A472" s="54"/>
      <c r="B472" s="54"/>
      <c r="C472" s="52"/>
      <c r="D472" s="83">
        <f>IF($B472="","",IFERROR(IF(VLOOKUP($B472,Reference!$A$6:$C$27,3,FALSE)&gt;0,VLOOKUP($B472,Reference!$A$6:$C$27,3,FALSE),""),""))</f>
        <v/>
      </c>
      <c r="E472" s="53"/>
      <c r="F472" s="82">
        <f>IF(OR($A472="",$B472="",NOT(ISNUMBER($C472))),"",IF(ISNUMBER($E472),IF($E472&gt;0,EDATE($C472,$E472),""),IF(ISNUMBER($D472),EDATE($C472,$D472),"")))</f>
        <v/>
      </c>
      <c r="G472" s="83">
        <f>IF($F472="","",$F472-TODAY())</f>
        <v/>
      </c>
      <c r="H472" s="85">
        <f>IF(OR($A472="",$B472=""),"",IF($F472="","No date",IF($G472&lt;0,"Overdue",IF($G472&lt;=30,"Due &lt;=30",IF($G472&lt;=60,"Due 31-60","OK")))))</f>
        <v/>
      </c>
      <c r="I472" s="54"/>
      <c r="J472" s="54"/>
      <c r="K472" s="54"/>
      <c r="L472" s="54"/>
      <c r="M472" s="105">
        <f>IF($F472="","",$F472+ROW()/100000)</f>
        <v/>
      </c>
    </row>
    <row r="473" spans="1:13">
      <c r="A473" s="54"/>
      <c r="B473" s="54"/>
      <c r="C473" s="52"/>
      <c r="D473" s="83">
        <f>IF($B473="","",IFERROR(IF(VLOOKUP($B473,Reference!$A$6:$C$27,3,FALSE)&gt;0,VLOOKUP($B473,Reference!$A$6:$C$27,3,FALSE),""),""))</f>
        <v/>
      </c>
      <c r="E473" s="53"/>
      <c r="F473" s="82">
        <f>IF(OR($A473="",$B473="",NOT(ISNUMBER($C473))),"",IF(ISNUMBER($E473),IF($E473&gt;0,EDATE($C473,$E473),""),IF(ISNUMBER($D473),EDATE($C473,$D473),"")))</f>
        <v/>
      </c>
      <c r="G473" s="83">
        <f>IF($F473="","",$F473-TODAY())</f>
        <v/>
      </c>
      <c r="H473" s="85">
        <f>IF(OR($A473="",$B473=""),"",IF($F473="","No date",IF($G473&lt;0,"Overdue",IF($G473&lt;=30,"Due &lt;=30",IF($G473&lt;=60,"Due 31-60","OK")))))</f>
        <v/>
      </c>
      <c r="I473" s="54"/>
      <c r="J473" s="54"/>
      <c r="K473" s="54"/>
      <c r="L473" s="54"/>
      <c r="M473" s="105">
        <f>IF($F473="","",$F473+ROW()/100000)</f>
        <v/>
      </c>
    </row>
    <row r="474" spans="1:13">
      <c r="A474" s="54"/>
      <c r="B474" s="54"/>
      <c r="C474" s="52"/>
      <c r="D474" s="83">
        <f>IF($B474="","",IFERROR(IF(VLOOKUP($B474,Reference!$A$6:$C$27,3,FALSE)&gt;0,VLOOKUP($B474,Reference!$A$6:$C$27,3,FALSE),""),""))</f>
        <v/>
      </c>
      <c r="E474" s="53"/>
      <c r="F474" s="82">
        <f>IF(OR($A474="",$B474="",NOT(ISNUMBER($C474))),"",IF(ISNUMBER($E474),IF($E474&gt;0,EDATE($C474,$E474),""),IF(ISNUMBER($D474),EDATE($C474,$D474),"")))</f>
        <v/>
      </c>
      <c r="G474" s="83">
        <f>IF($F474="","",$F474-TODAY())</f>
        <v/>
      </c>
      <c r="H474" s="85">
        <f>IF(OR($A474="",$B474=""),"",IF($F474="","No date",IF($G474&lt;0,"Overdue",IF($G474&lt;=30,"Due &lt;=30",IF($G474&lt;=60,"Due 31-60","OK")))))</f>
        <v/>
      </c>
      <c r="I474" s="54"/>
      <c r="J474" s="54"/>
      <c r="K474" s="54"/>
      <c r="L474" s="54"/>
      <c r="M474" s="105">
        <f>IF($F474="","",$F474+ROW()/100000)</f>
        <v/>
      </c>
    </row>
    <row r="475" spans="1:13">
      <c r="A475" s="54"/>
      <c r="B475" s="54"/>
      <c r="C475" s="52"/>
      <c r="D475" s="83">
        <f>IF($B475="","",IFERROR(IF(VLOOKUP($B475,Reference!$A$6:$C$27,3,FALSE)&gt;0,VLOOKUP($B475,Reference!$A$6:$C$27,3,FALSE),""),""))</f>
        <v/>
      </c>
      <c r="E475" s="53"/>
      <c r="F475" s="82">
        <f>IF(OR($A475="",$B475="",NOT(ISNUMBER($C475))),"",IF(ISNUMBER($E475),IF($E475&gt;0,EDATE($C475,$E475),""),IF(ISNUMBER($D475),EDATE($C475,$D475),"")))</f>
        <v/>
      </c>
      <c r="G475" s="83">
        <f>IF($F475="","",$F475-TODAY())</f>
        <v/>
      </c>
      <c r="H475" s="85">
        <f>IF(OR($A475="",$B475=""),"",IF($F475="","No date",IF($G475&lt;0,"Overdue",IF($G475&lt;=30,"Due &lt;=30",IF($G475&lt;=60,"Due 31-60","OK")))))</f>
        <v/>
      </c>
      <c r="I475" s="54"/>
      <c r="J475" s="54"/>
      <c r="K475" s="54"/>
      <c r="L475" s="54"/>
      <c r="M475" s="105">
        <f>IF($F475="","",$F475+ROW()/100000)</f>
        <v/>
      </c>
    </row>
    <row r="476" spans="1:13">
      <c r="A476" s="54"/>
      <c r="B476" s="54"/>
      <c r="C476" s="52"/>
      <c r="D476" s="83">
        <f>IF($B476="","",IFERROR(IF(VLOOKUP($B476,Reference!$A$6:$C$27,3,FALSE)&gt;0,VLOOKUP($B476,Reference!$A$6:$C$27,3,FALSE),""),""))</f>
        <v/>
      </c>
      <c r="E476" s="53"/>
      <c r="F476" s="82">
        <f>IF(OR($A476="",$B476="",NOT(ISNUMBER($C476))),"",IF(ISNUMBER($E476),IF($E476&gt;0,EDATE($C476,$E476),""),IF(ISNUMBER($D476),EDATE($C476,$D476),"")))</f>
        <v/>
      </c>
      <c r="G476" s="83">
        <f>IF($F476="","",$F476-TODAY())</f>
        <v/>
      </c>
      <c r="H476" s="85">
        <f>IF(OR($A476="",$B476=""),"",IF($F476="","No date",IF($G476&lt;0,"Overdue",IF($G476&lt;=30,"Due &lt;=30",IF($G476&lt;=60,"Due 31-60","OK")))))</f>
        <v/>
      </c>
      <c r="I476" s="54"/>
      <c r="J476" s="54"/>
      <c r="K476" s="54"/>
      <c r="L476" s="54"/>
      <c r="M476" s="105">
        <f>IF($F476="","",$F476+ROW()/100000)</f>
        <v/>
      </c>
    </row>
    <row r="477" spans="1:13">
      <c r="A477" s="54"/>
      <c r="B477" s="54"/>
      <c r="C477" s="52"/>
      <c r="D477" s="83">
        <f>IF($B477="","",IFERROR(IF(VLOOKUP($B477,Reference!$A$6:$C$27,3,FALSE)&gt;0,VLOOKUP($B477,Reference!$A$6:$C$27,3,FALSE),""),""))</f>
        <v/>
      </c>
      <c r="E477" s="53"/>
      <c r="F477" s="82">
        <f>IF(OR($A477="",$B477="",NOT(ISNUMBER($C477))),"",IF(ISNUMBER($E477),IF($E477&gt;0,EDATE($C477,$E477),""),IF(ISNUMBER($D477),EDATE($C477,$D477),"")))</f>
        <v/>
      </c>
      <c r="G477" s="83">
        <f>IF($F477="","",$F477-TODAY())</f>
        <v/>
      </c>
      <c r="H477" s="85">
        <f>IF(OR($A477="",$B477=""),"",IF($F477="","No date",IF($G477&lt;0,"Overdue",IF($G477&lt;=30,"Due &lt;=30",IF($G477&lt;=60,"Due 31-60","OK")))))</f>
        <v/>
      </c>
      <c r="I477" s="54"/>
      <c r="J477" s="54"/>
      <c r="K477" s="54"/>
      <c r="L477" s="54"/>
      <c r="M477" s="105">
        <f>IF($F477="","",$F477+ROW()/100000)</f>
        <v/>
      </c>
    </row>
    <row r="478" spans="1:13">
      <c r="A478" s="54"/>
      <c r="B478" s="54"/>
      <c r="C478" s="52"/>
      <c r="D478" s="83">
        <f>IF($B478="","",IFERROR(IF(VLOOKUP($B478,Reference!$A$6:$C$27,3,FALSE)&gt;0,VLOOKUP($B478,Reference!$A$6:$C$27,3,FALSE),""),""))</f>
        <v/>
      </c>
      <c r="E478" s="53"/>
      <c r="F478" s="82">
        <f>IF(OR($A478="",$B478="",NOT(ISNUMBER($C478))),"",IF(ISNUMBER($E478),IF($E478&gt;0,EDATE($C478,$E478),""),IF(ISNUMBER($D478),EDATE($C478,$D478),"")))</f>
        <v/>
      </c>
      <c r="G478" s="83">
        <f>IF($F478="","",$F478-TODAY())</f>
        <v/>
      </c>
      <c r="H478" s="85">
        <f>IF(OR($A478="",$B478=""),"",IF($F478="","No date",IF($G478&lt;0,"Overdue",IF($G478&lt;=30,"Due &lt;=30",IF($G478&lt;=60,"Due 31-60","OK")))))</f>
        <v/>
      </c>
      <c r="I478" s="54"/>
      <c r="J478" s="54"/>
      <c r="K478" s="54"/>
      <c r="L478" s="54"/>
      <c r="M478" s="105">
        <f>IF($F478="","",$F478+ROW()/100000)</f>
        <v/>
      </c>
    </row>
    <row r="479" spans="1:13">
      <c r="A479" s="54"/>
      <c r="B479" s="54"/>
      <c r="C479" s="52"/>
      <c r="D479" s="83">
        <f>IF($B479="","",IFERROR(IF(VLOOKUP($B479,Reference!$A$6:$C$27,3,FALSE)&gt;0,VLOOKUP($B479,Reference!$A$6:$C$27,3,FALSE),""),""))</f>
        <v/>
      </c>
      <c r="E479" s="53"/>
      <c r="F479" s="82">
        <f>IF(OR($A479="",$B479="",NOT(ISNUMBER($C479))),"",IF(ISNUMBER($E479),IF($E479&gt;0,EDATE($C479,$E479),""),IF(ISNUMBER($D479),EDATE($C479,$D479),"")))</f>
        <v/>
      </c>
      <c r="G479" s="83">
        <f>IF($F479="","",$F479-TODAY())</f>
        <v/>
      </c>
      <c r="H479" s="85">
        <f>IF(OR($A479="",$B479=""),"",IF($F479="","No date",IF($G479&lt;0,"Overdue",IF($G479&lt;=30,"Due &lt;=30",IF($G479&lt;=60,"Due 31-60","OK")))))</f>
        <v/>
      </c>
      <c r="I479" s="54"/>
      <c r="J479" s="54"/>
      <c r="K479" s="54"/>
      <c r="L479" s="54"/>
      <c r="M479" s="105">
        <f>IF($F479="","",$F479+ROW()/100000)</f>
        <v/>
      </c>
    </row>
    <row r="480" spans="1:13">
      <c r="A480" s="54"/>
      <c r="B480" s="54"/>
      <c r="C480" s="52"/>
      <c r="D480" s="83">
        <f>IF($B480="","",IFERROR(IF(VLOOKUP($B480,Reference!$A$6:$C$27,3,FALSE)&gt;0,VLOOKUP($B480,Reference!$A$6:$C$27,3,FALSE),""),""))</f>
        <v/>
      </c>
      <c r="E480" s="53"/>
      <c r="F480" s="82">
        <f>IF(OR($A480="",$B480="",NOT(ISNUMBER($C480))),"",IF(ISNUMBER($E480),IF($E480&gt;0,EDATE($C480,$E480),""),IF(ISNUMBER($D480),EDATE($C480,$D480),"")))</f>
        <v/>
      </c>
      <c r="G480" s="83">
        <f>IF($F480="","",$F480-TODAY())</f>
        <v/>
      </c>
      <c r="H480" s="85">
        <f>IF(OR($A480="",$B480=""),"",IF($F480="","No date",IF($G480&lt;0,"Overdue",IF($G480&lt;=30,"Due &lt;=30",IF($G480&lt;=60,"Due 31-60","OK")))))</f>
        <v/>
      </c>
      <c r="I480" s="54"/>
      <c r="J480" s="54"/>
      <c r="K480" s="54"/>
      <c r="L480" s="54"/>
      <c r="M480" s="105">
        <f>IF($F480="","",$F480+ROW()/100000)</f>
        <v/>
      </c>
    </row>
    <row r="481" spans="1:13">
      <c r="A481" s="54"/>
      <c r="B481" s="54"/>
      <c r="C481" s="52"/>
      <c r="D481" s="83">
        <f>IF($B481="","",IFERROR(IF(VLOOKUP($B481,Reference!$A$6:$C$27,3,FALSE)&gt;0,VLOOKUP($B481,Reference!$A$6:$C$27,3,FALSE),""),""))</f>
        <v/>
      </c>
      <c r="E481" s="53"/>
      <c r="F481" s="82">
        <f>IF(OR($A481="",$B481="",NOT(ISNUMBER($C481))),"",IF(ISNUMBER($E481),IF($E481&gt;0,EDATE($C481,$E481),""),IF(ISNUMBER($D481),EDATE($C481,$D481),"")))</f>
        <v/>
      </c>
      <c r="G481" s="83">
        <f>IF($F481="","",$F481-TODAY())</f>
        <v/>
      </c>
      <c r="H481" s="85">
        <f>IF(OR($A481="",$B481=""),"",IF($F481="","No date",IF($G481&lt;0,"Overdue",IF($G481&lt;=30,"Due &lt;=30",IF($G481&lt;=60,"Due 31-60","OK")))))</f>
        <v/>
      </c>
      <c r="I481" s="54"/>
      <c r="J481" s="54"/>
      <c r="K481" s="54"/>
      <c r="L481" s="54"/>
      <c r="M481" s="105">
        <f>IF($F481="","",$F481+ROW()/100000)</f>
        <v/>
      </c>
    </row>
    <row r="482" spans="1:13">
      <c r="A482" s="54"/>
      <c r="B482" s="54"/>
      <c r="C482" s="52"/>
      <c r="D482" s="83">
        <f>IF($B482="","",IFERROR(IF(VLOOKUP($B482,Reference!$A$6:$C$27,3,FALSE)&gt;0,VLOOKUP($B482,Reference!$A$6:$C$27,3,FALSE),""),""))</f>
        <v/>
      </c>
      <c r="E482" s="53"/>
      <c r="F482" s="82">
        <f>IF(OR($A482="",$B482="",NOT(ISNUMBER($C482))),"",IF(ISNUMBER($E482),IF($E482&gt;0,EDATE($C482,$E482),""),IF(ISNUMBER($D482),EDATE($C482,$D482),"")))</f>
        <v/>
      </c>
      <c r="G482" s="83">
        <f>IF($F482="","",$F482-TODAY())</f>
        <v/>
      </c>
      <c r="H482" s="85">
        <f>IF(OR($A482="",$B482=""),"",IF($F482="","No date",IF($G482&lt;0,"Overdue",IF($G482&lt;=30,"Due &lt;=30",IF($G482&lt;=60,"Due 31-60","OK")))))</f>
        <v/>
      </c>
      <c r="I482" s="54"/>
      <c r="J482" s="54"/>
      <c r="K482" s="54"/>
      <c r="L482" s="54"/>
      <c r="M482" s="105">
        <f>IF($F482="","",$F482+ROW()/100000)</f>
        <v/>
      </c>
    </row>
    <row r="483" spans="1:13">
      <c r="A483" s="54"/>
      <c r="B483" s="54"/>
      <c r="C483" s="52"/>
      <c r="D483" s="83">
        <f>IF($B483="","",IFERROR(IF(VLOOKUP($B483,Reference!$A$6:$C$27,3,FALSE)&gt;0,VLOOKUP($B483,Reference!$A$6:$C$27,3,FALSE),""),""))</f>
        <v/>
      </c>
      <c r="E483" s="53"/>
      <c r="F483" s="82">
        <f>IF(OR($A483="",$B483="",NOT(ISNUMBER($C483))),"",IF(ISNUMBER($E483),IF($E483&gt;0,EDATE($C483,$E483),""),IF(ISNUMBER($D483),EDATE($C483,$D483),"")))</f>
        <v/>
      </c>
      <c r="G483" s="83">
        <f>IF($F483="","",$F483-TODAY())</f>
        <v/>
      </c>
      <c r="H483" s="85">
        <f>IF(OR($A483="",$B483=""),"",IF($F483="","No date",IF($G483&lt;0,"Overdue",IF($G483&lt;=30,"Due &lt;=30",IF($G483&lt;=60,"Due 31-60","OK")))))</f>
        <v/>
      </c>
      <c r="I483" s="54"/>
      <c r="J483" s="54"/>
      <c r="K483" s="54"/>
      <c r="L483" s="54"/>
      <c r="M483" s="105">
        <f>IF($F483="","",$F483+ROW()/100000)</f>
        <v/>
      </c>
    </row>
    <row r="484" spans="1:13">
      <c r="A484" s="54"/>
      <c r="B484" s="54"/>
      <c r="C484" s="52"/>
      <c r="D484" s="83">
        <f>IF($B484="","",IFERROR(IF(VLOOKUP($B484,Reference!$A$6:$C$27,3,FALSE)&gt;0,VLOOKUP($B484,Reference!$A$6:$C$27,3,FALSE),""),""))</f>
        <v/>
      </c>
      <c r="E484" s="53"/>
      <c r="F484" s="82">
        <f>IF(OR($A484="",$B484="",NOT(ISNUMBER($C484))),"",IF(ISNUMBER($E484),IF($E484&gt;0,EDATE($C484,$E484),""),IF(ISNUMBER($D484),EDATE($C484,$D484),"")))</f>
        <v/>
      </c>
      <c r="G484" s="83">
        <f>IF($F484="","",$F484-TODAY())</f>
        <v/>
      </c>
      <c r="H484" s="85">
        <f>IF(OR($A484="",$B484=""),"",IF($F484="","No date",IF($G484&lt;0,"Overdue",IF($G484&lt;=30,"Due &lt;=30",IF($G484&lt;=60,"Due 31-60","OK")))))</f>
        <v/>
      </c>
      <c r="I484" s="54"/>
      <c r="J484" s="54"/>
      <c r="K484" s="54"/>
      <c r="L484" s="54"/>
      <c r="M484" s="105">
        <f>IF($F484="","",$F484+ROW()/100000)</f>
        <v/>
      </c>
    </row>
    <row r="485" spans="1:13">
      <c r="A485" s="54"/>
      <c r="B485" s="54"/>
      <c r="C485" s="52"/>
      <c r="D485" s="83">
        <f>IF($B485="","",IFERROR(IF(VLOOKUP($B485,Reference!$A$6:$C$27,3,FALSE)&gt;0,VLOOKUP($B485,Reference!$A$6:$C$27,3,FALSE),""),""))</f>
        <v/>
      </c>
      <c r="E485" s="53"/>
      <c r="F485" s="82">
        <f>IF(OR($A485="",$B485="",NOT(ISNUMBER($C485))),"",IF(ISNUMBER($E485),IF($E485&gt;0,EDATE($C485,$E485),""),IF(ISNUMBER($D485),EDATE($C485,$D485),"")))</f>
        <v/>
      </c>
      <c r="G485" s="83">
        <f>IF($F485="","",$F485-TODAY())</f>
        <v/>
      </c>
      <c r="H485" s="85">
        <f>IF(OR($A485="",$B485=""),"",IF($F485="","No date",IF($G485&lt;0,"Overdue",IF($G485&lt;=30,"Due &lt;=30",IF($G485&lt;=60,"Due 31-60","OK")))))</f>
        <v/>
      </c>
      <c r="I485" s="54"/>
      <c r="J485" s="54"/>
      <c r="K485" s="54"/>
      <c r="L485" s="54"/>
      <c r="M485" s="105">
        <f>IF($F485="","",$F485+ROW()/100000)</f>
        <v/>
      </c>
    </row>
    <row r="486" spans="1:13">
      <c r="A486" s="54"/>
      <c r="B486" s="54"/>
      <c r="C486" s="52"/>
      <c r="D486" s="83">
        <f>IF($B486="","",IFERROR(IF(VLOOKUP($B486,Reference!$A$6:$C$27,3,FALSE)&gt;0,VLOOKUP($B486,Reference!$A$6:$C$27,3,FALSE),""),""))</f>
        <v/>
      </c>
      <c r="E486" s="53"/>
      <c r="F486" s="82">
        <f>IF(OR($A486="",$B486="",NOT(ISNUMBER($C486))),"",IF(ISNUMBER($E486),IF($E486&gt;0,EDATE($C486,$E486),""),IF(ISNUMBER($D486),EDATE($C486,$D486),"")))</f>
        <v/>
      </c>
      <c r="G486" s="83">
        <f>IF($F486="","",$F486-TODAY())</f>
        <v/>
      </c>
      <c r="H486" s="85">
        <f>IF(OR($A486="",$B486=""),"",IF($F486="","No date",IF($G486&lt;0,"Overdue",IF($G486&lt;=30,"Due &lt;=30",IF($G486&lt;=60,"Due 31-60","OK")))))</f>
        <v/>
      </c>
      <c r="I486" s="54"/>
      <c r="J486" s="54"/>
      <c r="K486" s="54"/>
      <c r="L486" s="54"/>
      <c r="M486" s="105">
        <f>IF($F486="","",$F486+ROW()/100000)</f>
        <v/>
      </c>
    </row>
    <row r="487" spans="1:13">
      <c r="A487" s="54"/>
      <c r="B487" s="54"/>
      <c r="C487" s="52"/>
      <c r="D487" s="83">
        <f>IF($B487="","",IFERROR(IF(VLOOKUP($B487,Reference!$A$6:$C$27,3,FALSE)&gt;0,VLOOKUP($B487,Reference!$A$6:$C$27,3,FALSE),""),""))</f>
        <v/>
      </c>
      <c r="E487" s="53"/>
      <c r="F487" s="82">
        <f>IF(OR($A487="",$B487="",NOT(ISNUMBER($C487))),"",IF(ISNUMBER($E487),IF($E487&gt;0,EDATE($C487,$E487),""),IF(ISNUMBER($D487),EDATE($C487,$D487),"")))</f>
        <v/>
      </c>
      <c r="G487" s="83">
        <f>IF($F487="","",$F487-TODAY())</f>
        <v/>
      </c>
      <c r="H487" s="85">
        <f>IF(OR($A487="",$B487=""),"",IF($F487="","No date",IF($G487&lt;0,"Overdue",IF($G487&lt;=30,"Due &lt;=30",IF($G487&lt;=60,"Due 31-60","OK")))))</f>
        <v/>
      </c>
      <c r="I487" s="54"/>
      <c r="J487" s="54"/>
      <c r="K487" s="54"/>
      <c r="L487" s="54"/>
      <c r="M487" s="105">
        <f>IF($F487="","",$F487+ROW()/100000)</f>
        <v/>
      </c>
    </row>
    <row r="488" spans="1:13">
      <c r="A488" s="54"/>
      <c r="B488" s="54"/>
      <c r="C488" s="52"/>
      <c r="D488" s="83">
        <f>IF($B488="","",IFERROR(IF(VLOOKUP($B488,Reference!$A$6:$C$27,3,FALSE)&gt;0,VLOOKUP($B488,Reference!$A$6:$C$27,3,FALSE),""),""))</f>
        <v/>
      </c>
      <c r="E488" s="53"/>
      <c r="F488" s="82">
        <f>IF(OR($A488="",$B488="",NOT(ISNUMBER($C488))),"",IF(ISNUMBER($E488),IF($E488&gt;0,EDATE($C488,$E488),""),IF(ISNUMBER($D488),EDATE($C488,$D488),"")))</f>
        <v/>
      </c>
      <c r="G488" s="83">
        <f>IF($F488="","",$F488-TODAY())</f>
        <v/>
      </c>
      <c r="H488" s="85">
        <f>IF(OR($A488="",$B488=""),"",IF($F488="","No date",IF($G488&lt;0,"Overdue",IF($G488&lt;=30,"Due &lt;=30",IF($G488&lt;=60,"Due 31-60","OK")))))</f>
        <v/>
      </c>
      <c r="I488" s="54"/>
      <c r="J488" s="54"/>
      <c r="K488" s="54"/>
      <c r="L488" s="54"/>
      <c r="M488" s="105">
        <f>IF($F488="","",$F488+ROW()/100000)</f>
        <v/>
      </c>
    </row>
    <row r="489" spans="1:13">
      <c r="A489" s="54"/>
      <c r="B489" s="54"/>
      <c r="C489" s="52"/>
      <c r="D489" s="83">
        <f>IF($B489="","",IFERROR(IF(VLOOKUP($B489,Reference!$A$6:$C$27,3,FALSE)&gt;0,VLOOKUP($B489,Reference!$A$6:$C$27,3,FALSE),""),""))</f>
        <v/>
      </c>
      <c r="E489" s="53"/>
      <c r="F489" s="82">
        <f>IF(OR($A489="",$B489="",NOT(ISNUMBER($C489))),"",IF(ISNUMBER($E489),IF($E489&gt;0,EDATE($C489,$E489),""),IF(ISNUMBER($D489),EDATE($C489,$D489),"")))</f>
        <v/>
      </c>
      <c r="G489" s="83">
        <f>IF($F489="","",$F489-TODAY())</f>
        <v/>
      </c>
      <c r="H489" s="85">
        <f>IF(OR($A489="",$B489=""),"",IF($F489="","No date",IF($G489&lt;0,"Overdue",IF($G489&lt;=30,"Due &lt;=30",IF($G489&lt;=60,"Due 31-60","OK")))))</f>
        <v/>
      </c>
      <c r="I489" s="54"/>
      <c r="J489" s="54"/>
      <c r="K489" s="54"/>
      <c r="L489" s="54"/>
      <c r="M489" s="105">
        <f>IF($F489="","",$F489+ROW()/100000)</f>
        <v/>
      </c>
    </row>
    <row r="490" spans="1:13">
      <c r="A490" s="54"/>
      <c r="B490" s="54"/>
      <c r="C490" s="52"/>
      <c r="D490" s="83">
        <f>IF($B490="","",IFERROR(IF(VLOOKUP($B490,Reference!$A$6:$C$27,3,FALSE)&gt;0,VLOOKUP($B490,Reference!$A$6:$C$27,3,FALSE),""),""))</f>
        <v/>
      </c>
      <c r="E490" s="53"/>
      <c r="F490" s="82">
        <f>IF(OR($A490="",$B490="",NOT(ISNUMBER($C490))),"",IF(ISNUMBER($E490),IF($E490&gt;0,EDATE($C490,$E490),""),IF(ISNUMBER($D490),EDATE($C490,$D490),"")))</f>
        <v/>
      </c>
      <c r="G490" s="83">
        <f>IF($F490="","",$F490-TODAY())</f>
        <v/>
      </c>
      <c r="H490" s="85">
        <f>IF(OR($A490="",$B490=""),"",IF($F490="","No date",IF($G490&lt;0,"Overdue",IF($G490&lt;=30,"Due &lt;=30",IF($G490&lt;=60,"Due 31-60","OK")))))</f>
        <v/>
      </c>
      <c r="I490" s="54"/>
      <c r="J490" s="54"/>
      <c r="K490" s="54"/>
      <c r="L490" s="54"/>
      <c r="M490" s="105">
        <f>IF($F490="","",$F490+ROW()/100000)</f>
        <v/>
      </c>
    </row>
    <row r="491" spans="1:13">
      <c r="A491" s="54"/>
      <c r="B491" s="54"/>
      <c r="C491" s="52"/>
      <c r="D491" s="83">
        <f>IF($B491="","",IFERROR(IF(VLOOKUP($B491,Reference!$A$6:$C$27,3,FALSE)&gt;0,VLOOKUP($B491,Reference!$A$6:$C$27,3,FALSE),""),""))</f>
        <v/>
      </c>
      <c r="E491" s="53"/>
      <c r="F491" s="82">
        <f>IF(OR($A491="",$B491="",NOT(ISNUMBER($C491))),"",IF(ISNUMBER($E491),IF($E491&gt;0,EDATE($C491,$E491),""),IF(ISNUMBER($D491),EDATE($C491,$D491),"")))</f>
        <v/>
      </c>
      <c r="G491" s="83">
        <f>IF($F491="","",$F491-TODAY())</f>
        <v/>
      </c>
      <c r="H491" s="85">
        <f>IF(OR($A491="",$B491=""),"",IF($F491="","No date",IF($G491&lt;0,"Overdue",IF($G491&lt;=30,"Due &lt;=30",IF($G491&lt;=60,"Due 31-60","OK")))))</f>
        <v/>
      </c>
      <c r="I491" s="54"/>
      <c r="J491" s="54"/>
      <c r="K491" s="54"/>
      <c r="L491" s="54"/>
      <c r="M491" s="105">
        <f>IF($F491="","",$F491+ROW()/100000)</f>
        <v/>
      </c>
    </row>
    <row r="492" spans="1:13">
      <c r="A492" s="54"/>
      <c r="B492" s="54"/>
      <c r="C492" s="52"/>
      <c r="D492" s="83">
        <f>IF($B492="","",IFERROR(IF(VLOOKUP($B492,Reference!$A$6:$C$27,3,FALSE)&gt;0,VLOOKUP($B492,Reference!$A$6:$C$27,3,FALSE),""),""))</f>
        <v/>
      </c>
      <c r="E492" s="53"/>
      <c r="F492" s="82">
        <f>IF(OR($A492="",$B492="",NOT(ISNUMBER($C492))),"",IF(ISNUMBER($E492),IF($E492&gt;0,EDATE($C492,$E492),""),IF(ISNUMBER($D492),EDATE($C492,$D492),"")))</f>
        <v/>
      </c>
      <c r="G492" s="83">
        <f>IF($F492="","",$F492-TODAY())</f>
        <v/>
      </c>
      <c r="H492" s="85">
        <f>IF(OR($A492="",$B492=""),"",IF($F492="","No date",IF($G492&lt;0,"Overdue",IF($G492&lt;=30,"Due &lt;=30",IF($G492&lt;=60,"Due 31-60","OK")))))</f>
        <v/>
      </c>
      <c r="I492" s="54"/>
      <c r="J492" s="54"/>
      <c r="K492" s="54"/>
      <c r="L492" s="54"/>
      <c r="M492" s="105">
        <f>IF($F492="","",$F492+ROW()/100000)</f>
        <v/>
      </c>
    </row>
    <row r="493" spans="1:13">
      <c r="A493" s="54"/>
      <c r="B493" s="54"/>
      <c r="C493" s="52"/>
      <c r="D493" s="83">
        <f>IF($B493="","",IFERROR(IF(VLOOKUP($B493,Reference!$A$6:$C$27,3,FALSE)&gt;0,VLOOKUP($B493,Reference!$A$6:$C$27,3,FALSE),""),""))</f>
        <v/>
      </c>
      <c r="E493" s="53"/>
      <c r="F493" s="82">
        <f>IF(OR($A493="",$B493="",NOT(ISNUMBER($C493))),"",IF(ISNUMBER($E493),IF($E493&gt;0,EDATE($C493,$E493),""),IF(ISNUMBER($D493),EDATE($C493,$D493),"")))</f>
        <v/>
      </c>
      <c r="G493" s="83">
        <f>IF($F493="","",$F493-TODAY())</f>
        <v/>
      </c>
      <c r="H493" s="85">
        <f>IF(OR($A493="",$B493=""),"",IF($F493="","No date",IF($G493&lt;0,"Overdue",IF($G493&lt;=30,"Due &lt;=30",IF($G493&lt;=60,"Due 31-60","OK")))))</f>
        <v/>
      </c>
      <c r="I493" s="54"/>
      <c r="J493" s="54"/>
      <c r="K493" s="54"/>
      <c r="L493" s="54"/>
      <c r="M493" s="105">
        <f>IF($F493="","",$F493+ROW()/100000)</f>
        <v/>
      </c>
    </row>
    <row r="494" spans="1:13">
      <c r="A494" s="54"/>
      <c r="B494" s="54"/>
      <c r="C494" s="52"/>
      <c r="D494" s="83">
        <f>IF($B494="","",IFERROR(IF(VLOOKUP($B494,Reference!$A$6:$C$27,3,FALSE)&gt;0,VLOOKUP($B494,Reference!$A$6:$C$27,3,FALSE),""),""))</f>
        <v/>
      </c>
      <c r="E494" s="53"/>
      <c r="F494" s="82">
        <f>IF(OR($A494="",$B494="",NOT(ISNUMBER($C494))),"",IF(ISNUMBER($E494),IF($E494&gt;0,EDATE($C494,$E494),""),IF(ISNUMBER($D494),EDATE($C494,$D494),"")))</f>
        <v/>
      </c>
      <c r="G494" s="83">
        <f>IF($F494="","",$F494-TODAY())</f>
        <v/>
      </c>
      <c r="H494" s="85">
        <f>IF(OR($A494="",$B494=""),"",IF($F494="","No date",IF($G494&lt;0,"Overdue",IF($G494&lt;=30,"Due &lt;=30",IF($G494&lt;=60,"Due 31-60","OK")))))</f>
        <v/>
      </c>
      <c r="I494" s="54"/>
      <c r="J494" s="54"/>
      <c r="K494" s="54"/>
      <c r="L494" s="54"/>
      <c r="M494" s="105">
        <f>IF($F494="","",$F494+ROW()/100000)</f>
        <v/>
      </c>
    </row>
    <row r="495" spans="1:13">
      <c r="A495" s="54"/>
      <c r="B495" s="54"/>
      <c r="C495" s="52"/>
      <c r="D495" s="83">
        <f>IF($B495="","",IFERROR(IF(VLOOKUP($B495,Reference!$A$6:$C$27,3,FALSE)&gt;0,VLOOKUP($B495,Reference!$A$6:$C$27,3,FALSE),""),""))</f>
        <v/>
      </c>
      <c r="E495" s="53"/>
      <c r="F495" s="82">
        <f>IF(OR($A495="",$B495="",NOT(ISNUMBER($C495))),"",IF(ISNUMBER($E495),IF($E495&gt;0,EDATE($C495,$E495),""),IF(ISNUMBER($D495),EDATE($C495,$D495),"")))</f>
        <v/>
      </c>
      <c r="G495" s="83">
        <f>IF($F495="","",$F495-TODAY())</f>
        <v/>
      </c>
      <c r="H495" s="85">
        <f>IF(OR($A495="",$B495=""),"",IF($F495="","No date",IF($G495&lt;0,"Overdue",IF($G495&lt;=30,"Due &lt;=30",IF($G495&lt;=60,"Due 31-60","OK")))))</f>
        <v/>
      </c>
      <c r="I495" s="54"/>
      <c r="J495" s="54"/>
      <c r="K495" s="54"/>
      <c r="L495" s="54"/>
      <c r="M495" s="105">
        <f>IF($F495="","",$F495+ROW()/100000)</f>
        <v/>
      </c>
    </row>
    <row r="496" spans="1:13">
      <c r="A496" s="54"/>
      <c r="B496" s="54"/>
      <c r="C496" s="52"/>
      <c r="D496" s="83">
        <f>IF($B496="","",IFERROR(IF(VLOOKUP($B496,Reference!$A$6:$C$27,3,FALSE)&gt;0,VLOOKUP($B496,Reference!$A$6:$C$27,3,FALSE),""),""))</f>
        <v/>
      </c>
      <c r="E496" s="53"/>
      <c r="F496" s="82">
        <f>IF(OR($A496="",$B496="",NOT(ISNUMBER($C496))),"",IF(ISNUMBER($E496),IF($E496&gt;0,EDATE($C496,$E496),""),IF(ISNUMBER($D496),EDATE($C496,$D496),"")))</f>
        <v/>
      </c>
      <c r="G496" s="83">
        <f>IF($F496="","",$F496-TODAY())</f>
        <v/>
      </c>
      <c r="H496" s="85">
        <f>IF(OR($A496="",$B496=""),"",IF($F496="","No date",IF($G496&lt;0,"Overdue",IF($G496&lt;=30,"Due &lt;=30",IF($G496&lt;=60,"Due 31-60","OK")))))</f>
        <v/>
      </c>
      <c r="I496" s="54"/>
      <c r="J496" s="54"/>
      <c r="K496" s="54"/>
      <c r="L496" s="54"/>
      <c r="M496" s="105">
        <f>IF($F496="","",$F496+ROW()/100000)</f>
        <v/>
      </c>
    </row>
    <row r="497" spans="1:13">
      <c r="A497" s="54"/>
      <c r="B497" s="54"/>
      <c r="C497" s="52"/>
      <c r="D497" s="83">
        <f>IF($B497="","",IFERROR(IF(VLOOKUP($B497,Reference!$A$6:$C$27,3,FALSE)&gt;0,VLOOKUP($B497,Reference!$A$6:$C$27,3,FALSE),""),""))</f>
        <v/>
      </c>
      <c r="E497" s="53"/>
      <c r="F497" s="82">
        <f>IF(OR($A497="",$B497="",NOT(ISNUMBER($C497))),"",IF(ISNUMBER($E497),IF($E497&gt;0,EDATE($C497,$E497),""),IF(ISNUMBER($D497),EDATE($C497,$D497),"")))</f>
        <v/>
      </c>
      <c r="G497" s="83">
        <f>IF($F497="","",$F497-TODAY())</f>
        <v/>
      </c>
      <c r="H497" s="85">
        <f>IF(OR($A497="",$B497=""),"",IF($F497="","No date",IF($G497&lt;0,"Overdue",IF($G497&lt;=30,"Due &lt;=30",IF($G497&lt;=60,"Due 31-60","OK")))))</f>
        <v/>
      </c>
      <c r="I497" s="54"/>
      <c r="J497" s="54"/>
      <c r="K497" s="54"/>
      <c r="L497" s="54"/>
      <c r="M497" s="105">
        <f>IF($F497="","",$F497+ROW()/100000)</f>
        <v/>
      </c>
    </row>
    <row r="498" spans="1:13">
      <c r="A498" s="54"/>
      <c r="B498" s="54"/>
      <c r="C498" s="52"/>
      <c r="D498" s="83">
        <f>IF($B498="","",IFERROR(IF(VLOOKUP($B498,Reference!$A$6:$C$27,3,FALSE)&gt;0,VLOOKUP($B498,Reference!$A$6:$C$27,3,FALSE),""),""))</f>
        <v/>
      </c>
      <c r="E498" s="53"/>
      <c r="F498" s="82">
        <f>IF(OR($A498="",$B498="",NOT(ISNUMBER($C498))),"",IF(ISNUMBER($E498),IF($E498&gt;0,EDATE($C498,$E498),""),IF(ISNUMBER($D498),EDATE($C498,$D498),"")))</f>
        <v/>
      </c>
      <c r="G498" s="83">
        <f>IF($F498="","",$F498-TODAY())</f>
        <v/>
      </c>
      <c r="H498" s="85">
        <f>IF(OR($A498="",$B498=""),"",IF($F498="","No date",IF($G498&lt;0,"Overdue",IF($G498&lt;=30,"Due &lt;=30",IF($G498&lt;=60,"Due 31-60","OK")))))</f>
        <v/>
      </c>
      <c r="I498" s="54"/>
      <c r="J498" s="54"/>
      <c r="K498" s="54"/>
      <c r="L498" s="54"/>
      <c r="M498" s="105">
        <f>IF($F498="","",$F498+ROW()/100000)</f>
        <v/>
      </c>
    </row>
    <row r="499" spans="1:13">
      <c r="A499" s="54"/>
      <c r="B499" s="54"/>
      <c r="C499" s="52"/>
      <c r="D499" s="83">
        <f>IF($B499="","",IFERROR(IF(VLOOKUP($B499,Reference!$A$6:$C$27,3,FALSE)&gt;0,VLOOKUP($B499,Reference!$A$6:$C$27,3,FALSE),""),""))</f>
        <v/>
      </c>
      <c r="E499" s="53"/>
      <c r="F499" s="82">
        <f>IF(OR($A499="",$B499="",NOT(ISNUMBER($C499))),"",IF(ISNUMBER($E499),IF($E499&gt;0,EDATE($C499,$E499),""),IF(ISNUMBER($D499),EDATE($C499,$D499),"")))</f>
        <v/>
      </c>
      <c r="G499" s="83">
        <f>IF($F499="","",$F499-TODAY())</f>
        <v/>
      </c>
      <c r="H499" s="85">
        <f>IF(OR($A499="",$B499=""),"",IF($F499="","No date",IF($G499&lt;0,"Overdue",IF($G499&lt;=30,"Due &lt;=30",IF($G499&lt;=60,"Due 31-60","OK")))))</f>
        <v/>
      </c>
      <c r="I499" s="54"/>
      <c r="J499" s="54"/>
      <c r="K499" s="54"/>
      <c r="L499" s="54"/>
      <c r="M499" s="105">
        <f>IF($F499="","",$F499+ROW()/100000)</f>
        <v/>
      </c>
    </row>
    <row r="500" spans="1:13">
      <c r="A500" s="54"/>
      <c r="B500" s="54"/>
      <c r="C500" s="52"/>
      <c r="D500" s="83">
        <f>IF($B500="","",IFERROR(IF(VLOOKUP($B500,Reference!$A$6:$C$27,3,FALSE)&gt;0,VLOOKUP($B500,Reference!$A$6:$C$27,3,FALSE),""),""))</f>
        <v/>
      </c>
      <c r="E500" s="53"/>
      <c r="F500" s="82">
        <f>IF(OR($A500="",$B500="",NOT(ISNUMBER($C500))),"",IF(ISNUMBER($E500),IF($E500&gt;0,EDATE($C500,$E500),""),IF(ISNUMBER($D500),EDATE($C500,$D500),"")))</f>
        <v/>
      </c>
      <c r="G500" s="83">
        <f>IF($F500="","",$F500-TODAY())</f>
        <v/>
      </c>
      <c r="H500" s="85">
        <f>IF(OR($A500="",$B500=""),"",IF($F500="","No date",IF($G500&lt;0,"Overdue",IF($G500&lt;=30,"Due &lt;=30",IF($G500&lt;=60,"Due 31-60","OK")))))</f>
        <v/>
      </c>
      <c r="I500" s="54"/>
      <c r="J500" s="54"/>
      <c r="K500" s="54"/>
      <c r="L500" s="54"/>
      <c r="M500" s="105">
        <f>IF($F500="","",$F500+ROW()/100000)</f>
        <v/>
      </c>
    </row>
    <row r="501" spans="1:13">
      <c r="A501" s="54"/>
      <c r="B501" s="54"/>
      <c r="C501" s="52"/>
      <c r="D501" s="83">
        <f>IF($B501="","",IFERROR(IF(VLOOKUP($B501,Reference!$A$6:$C$27,3,FALSE)&gt;0,VLOOKUP($B501,Reference!$A$6:$C$27,3,FALSE),""),""))</f>
        <v/>
      </c>
      <c r="E501" s="53"/>
      <c r="F501" s="82">
        <f>IF(OR($A501="",$B501="",NOT(ISNUMBER($C501))),"",IF(ISNUMBER($E501),IF($E501&gt;0,EDATE($C501,$E501),""),IF(ISNUMBER($D501),EDATE($C501,$D501),"")))</f>
        <v/>
      </c>
      <c r="G501" s="83">
        <f>IF($F501="","",$F501-TODAY())</f>
        <v/>
      </c>
      <c r="H501" s="85">
        <f>IF(OR($A501="",$B501=""),"",IF($F501="","No date",IF($G501&lt;0,"Overdue",IF($G501&lt;=30,"Due &lt;=30",IF($G501&lt;=60,"Due 31-60","OK")))))</f>
        <v/>
      </c>
      <c r="I501" s="54"/>
      <c r="J501" s="54"/>
      <c r="K501" s="54"/>
      <c r="L501" s="54"/>
      <c r="M501" s="105">
        <f>IF($F501="","",$F501+ROW()/100000)</f>
        <v/>
      </c>
    </row>
    <row r="502" spans="1:13">
      <c r="A502" s="54"/>
      <c r="B502" s="54"/>
      <c r="C502" s="52"/>
      <c r="D502" s="83">
        <f>IF($B502="","",IFERROR(IF(VLOOKUP($B502,Reference!$A$6:$C$27,3,FALSE)&gt;0,VLOOKUP($B502,Reference!$A$6:$C$27,3,FALSE),""),""))</f>
        <v/>
      </c>
      <c r="E502" s="53"/>
      <c r="F502" s="82">
        <f>IF(OR($A502="",$B502="",NOT(ISNUMBER($C502))),"",IF(ISNUMBER($E502),IF($E502&gt;0,EDATE($C502,$E502),""),IF(ISNUMBER($D502),EDATE($C502,$D502),"")))</f>
        <v/>
      </c>
      <c r="G502" s="83">
        <f>IF($F502="","",$F502-TODAY())</f>
        <v/>
      </c>
      <c r="H502" s="85">
        <f>IF(OR($A502="",$B502=""),"",IF($F502="","No date",IF($G502&lt;0,"Overdue",IF($G502&lt;=30,"Due &lt;=30",IF($G502&lt;=60,"Due 31-60","OK")))))</f>
        <v/>
      </c>
      <c r="I502" s="54"/>
      <c r="J502" s="54"/>
      <c r="K502" s="54"/>
      <c r="L502" s="54"/>
      <c r="M502" s="105">
        <f>IF($F502="","",$F502+ROW()/100000)</f>
        <v/>
      </c>
    </row>
    <row r="503" spans="1:13">
      <c r="A503" s="54"/>
      <c r="B503" s="54"/>
      <c r="C503" s="52"/>
      <c r="D503" s="83">
        <f>IF($B503="","",IFERROR(IF(VLOOKUP($B503,Reference!$A$6:$C$27,3,FALSE)&gt;0,VLOOKUP($B503,Reference!$A$6:$C$27,3,FALSE),""),""))</f>
        <v/>
      </c>
      <c r="E503" s="53"/>
      <c r="F503" s="82">
        <f>IF(OR($A503="",$B503="",NOT(ISNUMBER($C503))),"",IF(ISNUMBER($E503),IF($E503&gt;0,EDATE($C503,$E503),""),IF(ISNUMBER($D503),EDATE($C503,$D503),"")))</f>
        <v/>
      </c>
      <c r="G503" s="83">
        <f>IF($F503="","",$F503-TODAY())</f>
        <v/>
      </c>
      <c r="H503" s="85">
        <f>IF(OR($A503="",$B503=""),"",IF($F503="","No date",IF($G503&lt;0,"Overdue",IF($G503&lt;=30,"Due &lt;=30",IF($G503&lt;=60,"Due 31-60","OK")))))</f>
        <v/>
      </c>
      <c r="I503" s="54"/>
      <c r="J503" s="54"/>
      <c r="K503" s="54"/>
      <c r="L503" s="54"/>
      <c r="M503" s="105">
        <f>IF($F503="","",$F503+ROW()/100000)</f>
        <v/>
      </c>
    </row>
    <row r="504" spans="1:13">
      <c r="A504" s="54"/>
      <c r="B504" s="54"/>
      <c r="C504" s="52"/>
      <c r="D504" s="83">
        <f>IF($B504="","",IFERROR(IF(VLOOKUP($B504,Reference!$A$6:$C$27,3,FALSE)&gt;0,VLOOKUP($B504,Reference!$A$6:$C$27,3,FALSE),""),""))</f>
        <v/>
      </c>
      <c r="E504" s="53"/>
      <c r="F504" s="82">
        <f>IF(OR($A504="",$B504="",NOT(ISNUMBER($C504))),"",IF(ISNUMBER($E504),IF($E504&gt;0,EDATE($C504,$E504),""),IF(ISNUMBER($D504),EDATE($C504,$D504),"")))</f>
        <v/>
      </c>
      <c r="G504" s="83">
        <f>IF($F504="","",$F504-TODAY())</f>
        <v/>
      </c>
      <c r="H504" s="85">
        <f>IF(OR($A504="",$B504=""),"",IF($F504="","No date",IF($G504&lt;0,"Overdue",IF($G504&lt;=30,"Due &lt;=30",IF($G504&lt;=60,"Due 31-60","OK")))))</f>
        <v/>
      </c>
      <c r="I504" s="54"/>
      <c r="J504" s="54"/>
      <c r="K504" s="54"/>
      <c r="L504" s="54"/>
      <c r="M504" s="105">
        <f>IF($F504="","",$F504+ROW()/100000)</f>
        <v/>
      </c>
    </row>
    <row r="505" spans="1:13">
      <c r="A505" s="54"/>
      <c r="B505" s="54"/>
      <c r="C505" s="52"/>
      <c r="D505" s="83">
        <f>IF($B505="","",IFERROR(IF(VLOOKUP($B505,Reference!$A$6:$C$27,3,FALSE)&gt;0,VLOOKUP($B505,Reference!$A$6:$C$27,3,FALSE),""),""))</f>
        <v/>
      </c>
      <c r="E505" s="53"/>
      <c r="F505" s="82">
        <f>IF(OR($A505="",$B505="",NOT(ISNUMBER($C505))),"",IF(ISNUMBER($E505),IF($E505&gt;0,EDATE($C505,$E505),""),IF(ISNUMBER($D505),EDATE($C505,$D505),"")))</f>
        <v/>
      </c>
      <c r="G505" s="83">
        <f>IF($F505="","",$F505-TODAY())</f>
        <v/>
      </c>
      <c r="H505" s="85">
        <f>IF(OR($A505="",$B505=""),"",IF($F505="","No date",IF($G505&lt;0,"Overdue",IF($G505&lt;=30,"Due &lt;=30",IF($G505&lt;=60,"Due 31-60","OK")))))</f>
        <v/>
      </c>
      <c r="I505" s="54"/>
      <c r="J505" s="54"/>
      <c r="K505" s="54"/>
      <c r="L505" s="54"/>
      <c r="M505" s="105">
        <f>IF($F505="","",$F505+ROW()/100000)</f>
        <v/>
      </c>
    </row>
    <row r="506" spans="1:13">
      <c r="A506" s="54"/>
      <c r="B506" s="54"/>
      <c r="C506" s="52"/>
      <c r="D506" s="83">
        <f>IF($B506="","",IFERROR(IF(VLOOKUP($B506,Reference!$A$6:$C$27,3,FALSE)&gt;0,VLOOKUP($B506,Reference!$A$6:$C$27,3,FALSE),""),""))</f>
        <v/>
      </c>
      <c r="E506" s="53"/>
      <c r="F506" s="82">
        <f>IF(OR($A506="",$B506="",NOT(ISNUMBER($C506))),"",IF(ISNUMBER($E506),IF($E506&gt;0,EDATE($C506,$E506),""),IF(ISNUMBER($D506),EDATE($C506,$D506),"")))</f>
        <v/>
      </c>
      <c r="G506" s="83">
        <f>IF($F506="","",$F506-TODAY())</f>
        <v/>
      </c>
      <c r="H506" s="85">
        <f>IF(OR($A506="",$B506=""),"",IF($F506="","No date",IF($G506&lt;0,"Overdue",IF($G506&lt;=30,"Due &lt;=30",IF($G506&lt;=60,"Due 31-60","OK")))))</f>
        <v/>
      </c>
      <c r="I506" s="54"/>
      <c r="J506" s="54"/>
      <c r="K506" s="54"/>
      <c r="L506" s="54"/>
      <c r="M506" s="105">
        <f>IF($F506="","",$F506+ROW()/100000)</f>
        <v/>
      </c>
    </row>
    <row r="507" spans="1:13">
      <c r="A507" s="54"/>
      <c r="B507" s="54"/>
      <c r="C507" s="52"/>
      <c r="D507" s="83">
        <f>IF($B507="","",IFERROR(IF(VLOOKUP($B507,Reference!$A$6:$C$27,3,FALSE)&gt;0,VLOOKUP($B507,Reference!$A$6:$C$27,3,FALSE),""),""))</f>
        <v/>
      </c>
      <c r="E507" s="53"/>
      <c r="F507" s="82">
        <f>IF(OR($A507="",$B507="",NOT(ISNUMBER($C507))),"",IF(ISNUMBER($E507),IF($E507&gt;0,EDATE($C507,$E507),""),IF(ISNUMBER($D507),EDATE($C507,$D507),"")))</f>
        <v/>
      </c>
      <c r="G507" s="83">
        <f>IF($F507="","",$F507-TODAY())</f>
        <v/>
      </c>
      <c r="H507" s="85">
        <f>IF(OR($A507="",$B507=""),"",IF($F507="","No date",IF($G507&lt;0,"Overdue",IF($G507&lt;=30,"Due &lt;=30",IF($G507&lt;=60,"Due 31-60","OK")))))</f>
        <v/>
      </c>
      <c r="I507" s="54"/>
      <c r="J507" s="54"/>
      <c r="K507" s="54"/>
      <c r="L507" s="54"/>
      <c r="M507" s="105">
        <f>IF($F507="","",$F507+ROW()/100000)</f>
        <v/>
      </c>
    </row>
    <row r="508" spans="1:13">
      <c r="A508" s="54"/>
      <c r="B508" s="54"/>
      <c r="C508" s="52"/>
      <c r="D508" s="83">
        <f>IF($B508="","",IFERROR(IF(VLOOKUP($B508,Reference!$A$6:$C$27,3,FALSE)&gt;0,VLOOKUP($B508,Reference!$A$6:$C$27,3,FALSE),""),""))</f>
        <v/>
      </c>
      <c r="E508" s="53"/>
      <c r="F508" s="82">
        <f>IF(OR($A508="",$B508="",NOT(ISNUMBER($C508))),"",IF(ISNUMBER($E508),IF($E508&gt;0,EDATE($C508,$E508),""),IF(ISNUMBER($D508),EDATE($C508,$D508),"")))</f>
        <v/>
      </c>
      <c r="G508" s="83">
        <f>IF($F508="","",$F508-TODAY())</f>
        <v/>
      </c>
      <c r="H508" s="85">
        <f>IF(OR($A508="",$B508=""),"",IF($F508="","No date",IF($G508&lt;0,"Overdue",IF($G508&lt;=30,"Due &lt;=30",IF($G508&lt;=60,"Due 31-60","OK")))))</f>
        <v/>
      </c>
      <c r="I508" s="54"/>
      <c r="J508" s="54"/>
      <c r="K508" s="54"/>
      <c r="L508" s="54"/>
      <c r="M508" s="105">
        <f>IF($F508="","",$F508+ROW()/100000)</f>
        <v/>
      </c>
    </row>
    <row r="509" spans="1:13">
      <c r="A509" s="54"/>
      <c r="B509" s="54"/>
      <c r="C509" s="52"/>
      <c r="D509" s="83">
        <f>IF($B509="","",IFERROR(IF(VLOOKUP($B509,Reference!$A$6:$C$27,3,FALSE)&gt;0,VLOOKUP($B509,Reference!$A$6:$C$27,3,FALSE),""),""))</f>
        <v/>
      </c>
      <c r="E509" s="53"/>
      <c r="F509" s="82">
        <f>IF(OR($A509="",$B509="",NOT(ISNUMBER($C509))),"",IF(ISNUMBER($E509),IF($E509&gt;0,EDATE($C509,$E509),""),IF(ISNUMBER($D509),EDATE($C509,$D509),"")))</f>
        <v/>
      </c>
      <c r="G509" s="83">
        <f>IF($F509="","",$F509-TODAY())</f>
        <v/>
      </c>
      <c r="H509" s="85">
        <f>IF(OR($A509="",$B509=""),"",IF($F509="","No date",IF($G509&lt;0,"Overdue",IF($G509&lt;=30,"Due &lt;=30",IF($G509&lt;=60,"Due 31-60","OK")))))</f>
        <v/>
      </c>
      <c r="I509" s="54"/>
      <c r="J509" s="54"/>
      <c r="K509" s="54"/>
      <c r="L509" s="54"/>
      <c r="M509" s="105">
        <f>IF($F509="","",$F509+ROW()/100000)</f>
        <v/>
      </c>
    </row>
    <row r="510" spans="1:13">
      <c r="A510" s="54"/>
      <c r="B510" s="54"/>
      <c r="C510" s="52"/>
      <c r="D510" s="83">
        <f>IF($B510="","",IFERROR(IF(VLOOKUP($B510,Reference!$A$6:$C$27,3,FALSE)&gt;0,VLOOKUP($B510,Reference!$A$6:$C$27,3,FALSE),""),""))</f>
        <v/>
      </c>
      <c r="E510" s="53"/>
      <c r="F510" s="82">
        <f>IF(OR($A510="",$B510="",NOT(ISNUMBER($C510))),"",IF(ISNUMBER($E510),IF($E510&gt;0,EDATE($C510,$E510),""),IF(ISNUMBER($D510),EDATE($C510,$D510),"")))</f>
        <v/>
      </c>
      <c r="G510" s="83">
        <f>IF($F510="","",$F510-TODAY())</f>
        <v/>
      </c>
      <c r="H510" s="85">
        <f>IF(OR($A510="",$B510=""),"",IF($F510="","No date",IF($G510&lt;0,"Overdue",IF($G510&lt;=30,"Due &lt;=30",IF($G510&lt;=60,"Due 31-60","OK")))))</f>
        <v/>
      </c>
      <c r="I510" s="54"/>
      <c r="J510" s="54"/>
      <c r="K510" s="54"/>
      <c r="L510" s="54"/>
      <c r="M510" s="105">
        <f>IF($F510="","",$F510+ROW()/100000)</f>
        <v/>
      </c>
    </row>
    <row r="511" spans="1:13">
      <c r="A511" s="54"/>
      <c r="B511" s="54"/>
      <c r="C511" s="52"/>
      <c r="D511" s="83">
        <f>IF($B511="","",IFERROR(IF(VLOOKUP($B511,Reference!$A$6:$C$27,3,FALSE)&gt;0,VLOOKUP($B511,Reference!$A$6:$C$27,3,FALSE),""),""))</f>
        <v/>
      </c>
      <c r="E511" s="53"/>
      <c r="F511" s="82">
        <f>IF(OR($A511="",$B511="",NOT(ISNUMBER($C511))),"",IF(ISNUMBER($E511),IF($E511&gt;0,EDATE($C511,$E511),""),IF(ISNUMBER($D511),EDATE($C511,$D511),"")))</f>
        <v/>
      </c>
      <c r="G511" s="83">
        <f>IF($F511="","",$F511-TODAY())</f>
        <v/>
      </c>
      <c r="H511" s="85">
        <f>IF(OR($A511="",$B511=""),"",IF($F511="","No date",IF($G511&lt;0,"Overdue",IF($G511&lt;=30,"Due &lt;=30",IF($G511&lt;=60,"Due 31-60","OK")))))</f>
        <v/>
      </c>
      <c r="I511" s="54"/>
      <c r="J511" s="54"/>
      <c r="K511" s="54"/>
      <c r="L511" s="54"/>
      <c r="M511" s="105">
        <f>IF($F511="","",$F511+ROW()/100000)</f>
        <v/>
      </c>
    </row>
    <row r="512" spans="1:13">
      <c r="A512" s="54"/>
      <c r="B512" s="54"/>
      <c r="C512" s="52"/>
      <c r="D512" s="83">
        <f>IF($B512="","",IFERROR(IF(VLOOKUP($B512,Reference!$A$6:$C$27,3,FALSE)&gt;0,VLOOKUP($B512,Reference!$A$6:$C$27,3,FALSE),""),""))</f>
        <v/>
      </c>
      <c r="E512" s="53"/>
      <c r="F512" s="82">
        <f>IF(OR($A512="",$B512="",NOT(ISNUMBER($C512))),"",IF(ISNUMBER($E512),IF($E512&gt;0,EDATE($C512,$E512),""),IF(ISNUMBER($D512),EDATE($C512,$D512),"")))</f>
        <v/>
      </c>
      <c r="G512" s="83">
        <f>IF($F512="","",$F512-TODAY())</f>
        <v/>
      </c>
      <c r="H512" s="85">
        <f>IF(OR($A512="",$B512=""),"",IF($F512="","No date",IF($G512&lt;0,"Overdue",IF($G512&lt;=30,"Due &lt;=30",IF($G512&lt;=60,"Due 31-60","OK")))))</f>
        <v/>
      </c>
      <c r="I512" s="54"/>
      <c r="J512" s="54"/>
      <c r="K512" s="54"/>
      <c r="L512" s="54"/>
      <c r="M512" s="105">
        <f>IF($F512="","",$F512+ROW()/100000)</f>
        <v/>
      </c>
    </row>
    <row r="513" spans="1:13">
      <c r="A513" s="54"/>
      <c r="B513" s="54"/>
      <c r="C513" s="52"/>
      <c r="D513" s="83">
        <f>IF($B513="","",IFERROR(IF(VLOOKUP($B513,Reference!$A$6:$C$27,3,FALSE)&gt;0,VLOOKUP($B513,Reference!$A$6:$C$27,3,FALSE),""),""))</f>
        <v/>
      </c>
      <c r="E513" s="53"/>
      <c r="F513" s="82">
        <f>IF(OR($A513="",$B513="",NOT(ISNUMBER($C513))),"",IF(ISNUMBER($E513),IF($E513&gt;0,EDATE($C513,$E513),""),IF(ISNUMBER($D513),EDATE($C513,$D513),"")))</f>
        <v/>
      </c>
      <c r="G513" s="83">
        <f>IF($F513="","",$F513-TODAY())</f>
        <v/>
      </c>
      <c r="H513" s="85">
        <f>IF(OR($A513="",$B513=""),"",IF($F513="","No date",IF($G513&lt;0,"Overdue",IF($G513&lt;=30,"Due &lt;=30",IF($G513&lt;=60,"Due 31-60","OK")))))</f>
        <v/>
      </c>
      <c r="I513" s="54"/>
      <c r="J513" s="54"/>
      <c r="K513" s="54"/>
      <c r="L513" s="54"/>
      <c r="M513" s="105">
        <f>IF($F513="","",$F513+ROW()/100000)</f>
        <v/>
      </c>
    </row>
    <row r="514" spans="1:13">
      <c r="A514" s="54"/>
      <c r="B514" s="54"/>
      <c r="C514" s="52"/>
      <c r="D514" s="83">
        <f>IF($B514="","",IFERROR(IF(VLOOKUP($B514,Reference!$A$6:$C$27,3,FALSE)&gt;0,VLOOKUP($B514,Reference!$A$6:$C$27,3,FALSE),""),""))</f>
        <v/>
      </c>
      <c r="E514" s="53"/>
      <c r="F514" s="82">
        <f>IF(OR($A514="",$B514="",NOT(ISNUMBER($C514))),"",IF(ISNUMBER($E514),IF($E514&gt;0,EDATE($C514,$E514),""),IF(ISNUMBER($D514),EDATE($C514,$D514),"")))</f>
        <v/>
      </c>
      <c r="G514" s="83">
        <f>IF($F514="","",$F514-TODAY())</f>
        <v/>
      </c>
      <c r="H514" s="85">
        <f>IF(OR($A514="",$B514=""),"",IF($F514="","No date",IF($G514&lt;0,"Overdue",IF($G514&lt;=30,"Due &lt;=30",IF($G514&lt;=60,"Due 31-60","OK")))))</f>
        <v/>
      </c>
      <c r="I514" s="54"/>
      <c r="J514" s="54"/>
      <c r="K514" s="54"/>
      <c r="L514" s="54"/>
      <c r="M514" s="105">
        <f>IF($F514="","",$F514+ROW()/100000)</f>
        <v/>
      </c>
    </row>
    <row r="515" spans="1:13">
      <c r="A515" s="54"/>
      <c r="B515" s="54"/>
      <c r="C515" s="52"/>
      <c r="D515" s="83">
        <f>IF($B515="","",IFERROR(IF(VLOOKUP($B515,Reference!$A$6:$C$27,3,FALSE)&gt;0,VLOOKUP($B515,Reference!$A$6:$C$27,3,FALSE),""),""))</f>
        <v/>
      </c>
      <c r="E515" s="53"/>
      <c r="F515" s="82">
        <f>IF(OR($A515="",$B515="",NOT(ISNUMBER($C515))),"",IF(ISNUMBER($E515),IF($E515&gt;0,EDATE($C515,$E515),""),IF(ISNUMBER($D515),EDATE($C515,$D515),"")))</f>
        <v/>
      </c>
      <c r="G515" s="83">
        <f>IF($F515="","",$F515-TODAY())</f>
        <v/>
      </c>
      <c r="H515" s="85">
        <f>IF(OR($A515="",$B515=""),"",IF($F515="","No date",IF($G515&lt;0,"Overdue",IF($G515&lt;=30,"Due &lt;=30",IF($G515&lt;=60,"Due 31-60","OK")))))</f>
        <v/>
      </c>
      <c r="I515" s="54"/>
      <c r="J515" s="54"/>
      <c r="K515" s="54"/>
      <c r="L515" s="54"/>
      <c r="M515" s="105">
        <f>IF($F515="","",$F515+ROW()/100000)</f>
        <v/>
      </c>
    </row>
    <row r="516" spans="1:13">
      <c r="A516" s="54"/>
      <c r="B516" s="54"/>
      <c r="C516" s="52"/>
      <c r="D516" s="83">
        <f>IF($B516="","",IFERROR(IF(VLOOKUP($B516,Reference!$A$6:$C$27,3,FALSE)&gt;0,VLOOKUP($B516,Reference!$A$6:$C$27,3,FALSE),""),""))</f>
        <v/>
      </c>
      <c r="E516" s="53"/>
      <c r="F516" s="82">
        <f>IF(OR($A516="",$B516="",NOT(ISNUMBER($C516))),"",IF(ISNUMBER($E516),IF($E516&gt;0,EDATE($C516,$E516),""),IF(ISNUMBER($D516),EDATE($C516,$D516),"")))</f>
        <v/>
      </c>
      <c r="G516" s="83">
        <f>IF($F516="","",$F516-TODAY())</f>
        <v/>
      </c>
      <c r="H516" s="85">
        <f>IF(OR($A516="",$B516=""),"",IF($F516="","No date",IF($G516&lt;0,"Overdue",IF($G516&lt;=30,"Due &lt;=30",IF($G516&lt;=60,"Due 31-60","OK")))))</f>
        <v/>
      </c>
      <c r="I516" s="54"/>
      <c r="J516" s="54"/>
      <c r="K516" s="54"/>
      <c r="L516" s="54"/>
      <c r="M516" s="105">
        <f>IF($F516="","",$F516+ROW()/100000)</f>
        <v/>
      </c>
    </row>
    <row r="517" spans="1:13">
      <c r="A517" s="54"/>
      <c r="B517" s="54"/>
      <c r="C517" s="52"/>
      <c r="D517" s="83">
        <f>IF($B517="","",IFERROR(IF(VLOOKUP($B517,Reference!$A$6:$C$27,3,FALSE)&gt;0,VLOOKUP($B517,Reference!$A$6:$C$27,3,FALSE),""),""))</f>
        <v/>
      </c>
      <c r="E517" s="53"/>
      <c r="F517" s="82">
        <f>IF(OR($A517="",$B517="",NOT(ISNUMBER($C517))),"",IF(ISNUMBER($E517),IF($E517&gt;0,EDATE($C517,$E517),""),IF(ISNUMBER($D517),EDATE($C517,$D517),"")))</f>
        <v/>
      </c>
      <c r="G517" s="83">
        <f>IF($F517="","",$F517-TODAY())</f>
        <v/>
      </c>
      <c r="H517" s="85">
        <f>IF(OR($A517="",$B517=""),"",IF($F517="","No date",IF($G517&lt;0,"Overdue",IF($G517&lt;=30,"Due &lt;=30",IF($G517&lt;=60,"Due 31-60","OK")))))</f>
        <v/>
      </c>
      <c r="I517" s="54"/>
      <c r="J517" s="54"/>
      <c r="K517" s="54"/>
      <c r="L517" s="54"/>
      <c r="M517" s="105">
        <f>IF($F517="","",$F517+ROW()/100000)</f>
        <v/>
      </c>
    </row>
    <row r="518" spans="1:13">
      <c r="A518" s="54"/>
      <c r="B518" s="54"/>
      <c r="C518" s="52"/>
      <c r="D518" s="83">
        <f>IF($B518="","",IFERROR(IF(VLOOKUP($B518,Reference!$A$6:$C$27,3,FALSE)&gt;0,VLOOKUP($B518,Reference!$A$6:$C$27,3,FALSE),""),""))</f>
        <v/>
      </c>
      <c r="E518" s="53"/>
      <c r="F518" s="82">
        <f>IF(OR($A518="",$B518="",NOT(ISNUMBER($C518))),"",IF(ISNUMBER($E518),IF($E518&gt;0,EDATE($C518,$E518),""),IF(ISNUMBER($D518),EDATE($C518,$D518),"")))</f>
        <v/>
      </c>
      <c r="G518" s="83">
        <f>IF($F518="","",$F518-TODAY())</f>
        <v/>
      </c>
      <c r="H518" s="85">
        <f>IF(OR($A518="",$B518=""),"",IF($F518="","No date",IF($G518&lt;0,"Overdue",IF($G518&lt;=30,"Due &lt;=30",IF($G518&lt;=60,"Due 31-60","OK")))))</f>
        <v/>
      </c>
      <c r="I518" s="54"/>
      <c r="J518" s="54"/>
      <c r="K518" s="54"/>
      <c r="L518" s="54"/>
      <c r="M518" s="105">
        <f>IF($F518="","",$F518+ROW()/100000)</f>
        <v/>
      </c>
    </row>
    <row r="519" spans="1:13">
      <c r="A519" s="54"/>
      <c r="B519" s="54"/>
      <c r="C519" s="52"/>
      <c r="D519" s="83">
        <f>IF($B519="","",IFERROR(IF(VLOOKUP($B519,Reference!$A$6:$C$27,3,FALSE)&gt;0,VLOOKUP($B519,Reference!$A$6:$C$27,3,FALSE),""),""))</f>
        <v/>
      </c>
      <c r="E519" s="53"/>
      <c r="F519" s="82">
        <f>IF(OR($A519="",$B519="",NOT(ISNUMBER($C519))),"",IF(ISNUMBER($E519),IF($E519&gt;0,EDATE($C519,$E519),""),IF(ISNUMBER($D519),EDATE($C519,$D519),"")))</f>
        <v/>
      </c>
      <c r="G519" s="83">
        <f>IF($F519="","",$F519-TODAY())</f>
        <v/>
      </c>
      <c r="H519" s="85">
        <f>IF(OR($A519="",$B519=""),"",IF($F519="","No date",IF($G519&lt;0,"Overdue",IF($G519&lt;=30,"Due &lt;=30",IF($G519&lt;=60,"Due 31-60","OK")))))</f>
        <v/>
      </c>
      <c r="I519" s="54"/>
      <c r="J519" s="54"/>
      <c r="K519" s="54"/>
      <c r="L519" s="54"/>
      <c r="M519" s="105">
        <f>IF($F519="","",$F519+ROW()/100000)</f>
        <v/>
      </c>
    </row>
    <row r="520" spans="1:13">
      <c r="A520" s="54"/>
      <c r="B520" s="54"/>
      <c r="C520" s="52"/>
      <c r="D520" s="83">
        <f>IF($B520="","",IFERROR(IF(VLOOKUP($B520,Reference!$A$6:$C$27,3,FALSE)&gt;0,VLOOKUP($B520,Reference!$A$6:$C$27,3,FALSE),""),""))</f>
        <v/>
      </c>
      <c r="E520" s="53"/>
      <c r="F520" s="82">
        <f>IF(OR($A520="",$B520="",NOT(ISNUMBER($C520))),"",IF(ISNUMBER($E520),IF($E520&gt;0,EDATE($C520,$E520),""),IF(ISNUMBER($D520),EDATE($C520,$D520),"")))</f>
        <v/>
      </c>
      <c r="G520" s="83">
        <f>IF($F520="","",$F520-TODAY())</f>
        <v/>
      </c>
      <c r="H520" s="85">
        <f>IF(OR($A520="",$B520=""),"",IF($F520="","No date",IF($G520&lt;0,"Overdue",IF($G520&lt;=30,"Due &lt;=30",IF($G520&lt;=60,"Due 31-60","OK")))))</f>
        <v/>
      </c>
      <c r="I520" s="54"/>
      <c r="J520" s="54"/>
      <c r="K520" s="54"/>
      <c r="L520" s="54"/>
      <c r="M520" s="105">
        <f>IF($F520="","",$F520+ROW()/100000)</f>
        <v/>
      </c>
    </row>
    <row r="521" spans="1:13">
      <c r="A521" s="54"/>
      <c r="B521" s="54"/>
      <c r="C521" s="52"/>
      <c r="D521" s="83">
        <f>IF($B521="","",IFERROR(IF(VLOOKUP($B521,Reference!$A$6:$C$27,3,FALSE)&gt;0,VLOOKUP($B521,Reference!$A$6:$C$27,3,FALSE),""),""))</f>
        <v/>
      </c>
      <c r="E521" s="53"/>
      <c r="F521" s="82">
        <f>IF(OR($A521="",$B521="",NOT(ISNUMBER($C521))),"",IF(ISNUMBER($E521),IF($E521&gt;0,EDATE($C521,$E521),""),IF(ISNUMBER($D521),EDATE($C521,$D521),"")))</f>
        <v/>
      </c>
      <c r="G521" s="83">
        <f>IF($F521="","",$F521-TODAY())</f>
        <v/>
      </c>
      <c r="H521" s="85">
        <f>IF(OR($A521="",$B521=""),"",IF($F521="","No date",IF($G521&lt;0,"Overdue",IF($G521&lt;=30,"Due &lt;=30",IF($G521&lt;=60,"Due 31-60","OK")))))</f>
        <v/>
      </c>
      <c r="I521" s="54"/>
      <c r="J521" s="54"/>
      <c r="K521" s="54"/>
      <c r="L521" s="54"/>
      <c r="M521" s="105">
        <f>IF($F521="","",$F521+ROW()/100000)</f>
        <v/>
      </c>
    </row>
    <row r="522" spans="1:13">
      <c r="A522" s="54"/>
      <c r="B522" s="54"/>
      <c r="C522" s="52"/>
      <c r="D522" s="83">
        <f>IF($B522="","",IFERROR(IF(VLOOKUP($B522,Reference!$A$6:$C$27,3,FALSE)&gt;0,VLOOKUP($B522,Reference!$A$6:$C$27,3,FALSE),""),""))</f>
        <v/>
      </c>
      <c r="E522" s="53"/>
      <c r="F522" s="82">
        <f>IF(OR($A522="",$B522="",NOT(ISNUMBER($C522))),"",IF(ISNUMBER($E522),IF($E522&gt;0,EDATE($C522,$E522),""),IF(ISNUMBER($D522),EDATE($C522,$D522),"")))</f>
        <v/>
      </c>
      <c r="G522" s="83">
        <f>IF($F522="","",$F522-TODAY())</f>
        <v/>
      </c>
      <c r="H522" s="85">
        <f>IF(OR($A522="",$B522=""),"",IF($F522="","No date",IF($G522&lt;0,"Overdue",IF($G522&lt;=30,"Due &lt;=30",IF($G522&lt;=60,"Due 31-60","OK")))))</f>
        <v/>
      </c>
      <c r="I522" s="54"/>
      <c r="J522" s="54"/>
      <c r="K522" s="54"/>
      <c r="L522" s="54"/>
      <c r="M522" s="105">
        <f>IF($F522="","",$F522+ROW()/100000)</f>
        <v/>
      </c>
    </row>
    <row r="523" spans="1:13">
      <c r="A523" s="54"/>
      <c r="B523" s="54"/>
      <c r="C523" s="52"/>
      <c r="D523" s="83">
        <f>IF($B523="","",IFERROR(IF(VLOOKUP($B523,Reference!$A$6:$C$27,3,FALSE)&gt;0,VLOOKUP($B523,Reference!$A$6:$C$27,3,FALSE),""),""))</f>
        <v/>
      </c>
      <c r="E523" s="53"/>
      <c r="F523" s="82">
        <f>IF(OR($A523="",$B523="",NOT(ISNUMBER($C523))),"",IF(ISNUMBER($E523),IF($E523&gt;0,EDATE($C523,$E523),""),IF(ISNUMBER($D523),EDATE($C523,$D523),"")))</f>
        <v/>
      </c>
      <c r="G523" s="83">
        <f>IF($F523="","",$F523-TODAY())</f>
        <v/>
      </c>
      <c r="H523" s="85">
        <f>IF(OR($A523="",$B523=""),"",IF($F523="","No date",IF($G523&lt;0,"Overdue",IF($G523&lt;=30,"Due &lt;=30",IF($G523&lt;=60,"Due 31-60","OK")))))</f>
        <v/>
      </c>
      <c r="I523" s="54"/>
      <c r="J523" s="54"/>
      <c r="K523" s="54"/>
      <c r="L523" s="54"/>
      <c r="M523" s="105">
        <f>IF($F523="","",$F523+ROW()/100000)</f>
        <v/>
      </c>
    </row>
    <row r="524" spans="1:13">
      <c r="A524" s="54"/>
      <c r="B524" s="54"/>
      <c r="C524" s="52"/>
      <c r="D524" s="83">
        <f>IF($B524="","",IFERROR(IF(VLOOKUP($B524,Reference!$A$6:$C$27,3,FALSE)&gt;0,VLOOKUP($B524,Reference!$A$6:$C$27,3,FALSE),""),""))</f>
        <v/>
      </c>
      <c r="E524" s="53"/>
      <c r="F524" s="82">
        <f>IF(OR($A524="",$B524="",NOT(ISNUMBER($C524))),"",IF(ISNUMBER($E524),IF($E524&gt;0,EDATE($C524,$E524),""),IF(ISNUMBER($D524),EDATE($C524,$D524),"")))</f>
        <v/>
      </c>
      <c r="G524" s="83">
        <f>IF($F524="","",$F524-TODAY())</f>
        <v/>
      </c>
      <c r="H524" s="85">
        <f>IF(OR($A524="",$B524=""),"",IF($F524="","No date",IF($G524&lt;0,"Overdue",IF($G524&lt;=30,"Due &lt;=30",IF($G524&lt;=60,"Due 31-60","OK")))))</f>
        <v/>
      </c>
      <c r="I524" s="54"/>
      <c r="J524" s="54"/>
      <c r="K524" s="54"/>
      <c r="L524" s="54"/>
      <c r="M524" s="105">
        <f>IF($F524="","",$F524+ROW()/100000)</f>
        <v/>
      </c>
    </row>
    <row r="525" spans="1:13">
      <c r="A525" s="54"/>
      <c r="B525" s="54"/>
      <c r="C525" s="52"/>
      <c r="D525" s="83">
        <f>IF($B525="","",IFERROR(IF(VLOOKUP($B525,Reference!$A$6:$C$27,3,FALSE)&gt;0,VLOOKUP($B525,Reference!$A$6:$C$27,3,FALSE),""),""))</f>
        <v/>
      </c>
      <c r="E525" s="53"/>
      <c r="F525" s="82">
        <f>IF(OR($A525="",$B525="",NOT(ISNUMBER($C525))),"",IF(ISNUMBER($E525),IF($E525&gt;0,EDATE($C525,$E525),""),IF(ISNUMBER($D525),EDATE($C525,$D525),"")))</f>
        <v/>
      </c>
      <c r="G525" s="83">
        <f>IF($F525="","",$F525-TODAY())</f>
        <v/>
      </c>
      <c r="H525" s="85">
        <f>IF(OR($A525="",$B525=""),"",IF($F525="","No date",IF($G525&lt;0,"Overdue",IF($G525&lt;=30,"Due &lt;=30",IF($G525&lt;=60,"Due 31-60","OK")))))</f>
        <v/>
      </c>
      <c r="I525" s="54"/>
      <c r="J525" s="54"/>
      <c r="K525" s="54"/>
      <c r="L525" s="54"/>
      <c r="M525" s="105">
        <f>IF($F525="","",$F525+ROW()/100000)</f>
        <v/>
      </c>
    </row>
    <row r="526" spans="1:13">
      <c r="A526" s="54"/>
      <c r="B526" s="54"/>
      <c r="C526" s="52"/>
      <c r="D526" s="83">
        <f>IF($B526="","",IFERROR(IF(VLOOKUP($B526,Reference!$A$6:$C$27,3,FALSE)&gt;0,VLOOKUP($B526,Reference!$A$6:$C$27,3,FALSE),""),""))</f>
        <v/>
      </c>
      <c r="E526" s="53"/>
      <c r="F526" s="82">
        <f>IF(OR($A526="",$B526="",NOT(ISNUMBER($C526))),"",IF(ISNUMBER($E526),IF($E526&gt;0,EDATE($C526,$E526),""),IF(ISNUMBER($D526),EDATE($C526,$D526),"")))</f>
        <v/>
      </c>
      <c r="G526" s="83">
        <f>IF($F526="","",$F526-TODAY())</f>
        <v/>
      </c>
      <c r="H526" s="85">
        <f>IF(OR($A526="",$B526=""),"",IF($F526="","No date",IF($G526&lt;0,"Overdue",IF($G526&lt;=30,"Due &lt;=30",IF($G526&lt;=60,"Due 31-60","OK")))))</f>
        <v/>
      </c>
      <c r="I526" s="54"/>
      <c r="J526" s="54"/>
      <c r="K526" s="54"/>
      <c r="L526" s="54"/>
      <c r="M526" s="105">
        <f>IF($F526="","",$F526+ROW()/100000)</f>
        <v/>
      </c>
    </row>
    <row r="527" spans="1:13">
      <c r="A527" s="54"/>
      <c r="B527" s="54"/>
      <c r="C527" s="52"/>
      <c r="D527" s="83">
        <f>IF($B527="","",IFERROR(IF(VLOOKUP($B527,Reference!$A$6:$C$27,3,FALSE)&gt;0,VLOOKUP($B527,Reference!$A$6:$C$27,3,FALSE),""),""))</f>
        <v/>
      </c>
      <c r="E527" s="53"/>
      <c r="F527" s="82">
        <f>IF(OR($A527="",$B527="",NOT(ISNUMBER($C527))),"",IF(ISNUMBER($E527),IF($E527&gt;0,EDATE($C527,$E527),""),IF(ISNUMBER($D527),EDATE($C527,$D527),"")))</f>
        <v/>
      </c>
      <c r="G527" s="83">
        <f>IF($F527="","",$F527-TODAY())</f>
        <v/>
      </c>
      <c r="H527" s="85">
        <f>IF(OR($A527="",$B527=""),"",IF($F527="","No date",IF($G527&lt;0,"Overdue",IF($G527&lt;=30,"Due &lt;=30",IF($G527&lt;=60,"Due 31-60","OK")))))</f>
        <v/>
      </c>
      <c r="I527" s="54"/>
      <c r="J527" s="54"/>
      <c r="K527" s="54"/>
      <c r="L527" s="54"/>
      <c r="M527" s="105">
        <f>IF($F527="","",$F527+ROW()/100000)</f>
        <v/>
      </c>
    </row>
    <row r="528" spans="1:13">
      <c r="A528" s="54"/>
      <c r="B528" s="54"/>
      <c r="C528" s="52"/>
      <c r="D528" s="83">
        <f>IF($B528="","",IFERROR(IF(VLOOKUP($B528,Reference!$A$6:$C$27,3,FALSE)&gt;0,VLOOKUP($B528,Reference!$A$6:$C$27,3,FALSE),""),""))</f>
        <v/>
      </c>
      <c r="E528" s="53"/>
      <c r="F528" s="82">
        <f>IF(OR($A528="",$B528="",NOT(ISNUMBER($C528))),"",IF(ISNUMBER($E528),IF($E528&gt;0,EDATE($C528,$E528),""),IF(ISNUMBER($D528),EDATE($C528,$D528),"")))</f>
        <v/>
      </c>
      <c r="G528" s="83">
        <f>IF($F528="","",$F528-TODAY())</f>
        <v/>
      </c>
      <c r="H528" s="85">
        <f>IF(OR($A528="",$B528=""),"",IF($F528="","No date",IF($G528&lt;0,"Overdue",IF($G528&lt;=30,"Due &lt;=30",IF($G528&lt;=60,"Due 31-60","OK")))))</f>
        <v/>
      </c>
      <c r="I528" s="54"/>
      <c r="J528" s="54"/>
      <c r="K528" s="54"/>
      <c r="L528" s="54"/>
      <c r="M528" s="105">
        <f>IF($F528="","",$F528+ROW()/100000)</f>
        <v/>
      </c>
    </row>
    <row r="529" spans="1:13">
      <c r="A529" s="54"/>
      <c r="B529" s="54"/>
      <c r="C529" s="52"/>
      <c r="D529" s="83">
        <f>IF($B529="","",IFERROR(IF(VLOOKUP($B529,Reference!$A$6:$C$27,3,FALSE)&gt;0,VLOOKUP($B529,Reference!$A$6:$C$27,3,FALSE),""),""))</f>
        <v/>
      </c>
      <c r="E529" s="53"/>
      <c r="F529" s="82">
        <f>IF(OR($A529="",$B529="",NOT(ISNUMBER($C529))),"",IF(ISNUMBER($E529),IF($E529&gt;0,EDATE($C529,$E529),""),IF(ISNUMBER($D529),EDATE($C529,$D529),"")))</f>
        <v/>
      </c>
      <c r="G529" s="83">
        <f>IF($F529="","",$F529-TODAY())</f>
        <v/>
      </c>
      <c r="H529" s="85">
        <f>IF(OR($A529="",$B529=""),"",IF($F529="","No date",IF($G529&lt;0,"Overdue",IF($G529&lt;=30,"Due &lt;=30",IF($G529&lt;=60,"Due 31-60","OK")))))</f>
        <v/>
      </c>
      <c r="I529" s="54"/>
      <c r="J529" s="54"/>
      <c r="K529" s="54"/>
      <c r="L529" s="54"/>
      <c r="M529" s="105">
        <f>IF($F529="","",$F529+ROW()/100000)</f>
        <v/>
      </c>
    </row>
    <row r="530" spans="1:13">
      <c r="A530" s="54"/>
      <c r="B530" s="54"/>
      <c r="C530" s="52"/>
      <c r="D530" s="83">
        <f>IF($B530="","",IFERROR(IF(VLOOKUP($B530,Reference!$A$6:$C$27,3,FALSE)&gt;0,VLOOKUP($B530,Reference!$A$6:$C$27,3,FALSE),""),""))</f>
        <v/>
      </c>
      <c r="E530" s="53"/>
      <c r="F530" s="82">
        <f>IF(OR($A530="",$B530="",NOT(ISNUMBER($C530))),"",IF(ISNUMBER($E530),IF($E530&gt;0,EDATE($C530,$E530),""),IF(ISNUMBER($D530),EDATE($C530,$D530),"")))</f>
        <v/>
      </c>
      <c r="G530" s="83">
        <f>IF($F530="","",$F530-TODAY())</f>
        <v/>
      </c>
      <c r="H530" s="85">
        <f>IF(OR($A530="",$B530=""),"",IF($F530="","No date",IF($G530&lt;0,"Overdue",IF($G530&lt;=30,"Due &lt;=30",IF($G530&lt;=60,"Due 31-60","OK")))))</f>
        <v/>
      </c>
      <c r="I530" s="54"/>
      <c r="J530" s="54"/>
      <c r="K530" s="54"/>
      <c r="L530" s="54"/>
      <c r="M530" s="105">
        <f>IF($F530="","",$F530+ROW()/100000)</f>
        <v/>
      </c>
    </row>
    <row r="531" spans="1:13">
      <c r="A531" s="54"/>
      <c r="B531" s="54"/>
      <c r="C531" s="52"/>
      <c r="D531" s="83">
        <f>IF($B531="","",IFERROR(IF(VLOOKUP($B531,Reference!$A$6:$C$27,3,FALSE)&gt;0,VLOOKUP($B531,Reference!$A$6:$C$27,3,FALSE),""),""))</f>
        <v/>
      </c>
      <c r="E531" s="53"/>
      <c r="F531" s="82">
        <f>IF(OR($A531="",$B531="",NOT(ISNUMBER($C531))),"",IF(ISNUMBER($E531),IF($E531&gt;0,EDATE($C531,$E531),""),IF(ISNUMBER($D531),EDATE($C531,$D531),"")))</f>
        <v/>
      </c>
      <c r="G531" s="83">
        <f>IF($F531="","",$F531-TODAY())</f>
        <v/>
      </c>
      <c r="H531" s="85">
        <f>IF(OR($A531="",$B531=""),"",IF($F531="","No date",IF($G531&lt;0,"Overdue",IF($G531&lt;=30,"Due &lt;=30",IF($G531&lt;=60,"Due 31-60","OK")))))</f>
        <v/>
      </c>
      <c r="I531" s="54"/>
      <c r="J531" s="54"/>
      <c r="K531" s="54"/>
      <c r="L531" s="54"/>
      <c r="M531" s="105">
        <f>IF($F531="","",$F531+ROW()/100000)</f>
        <v/>
      </c>
    </row>
    <row r="532" spans="1:13">
      <c r="A532" s="54"/>
      <c r="B532" s="54"/>
      <c r="C532" s="52"/>
      <c r="D532" s="83">
        <f>IF($B532="","",IFERROR(IF(VLOOKUP($B532,Reference!$A$6:$C$27,3,FALSE)&gt;0,VLOOKUP($B532,Reference!$A$6:$C$27,3,FALSE),""),""))</f>
        <v/>
      </c>
      <c r="E532" s="53"/>
      <c r="F532" s="82">
        <f>IF(OR($A532="",$B532="",NOT(ISNUMBER($C532))),"",IF(ISNUMBER($E532),IF($E532&gt;0,EDATE($C532,$E532),""),IF(ISNUMBER($D532),EDATE($C532,$D532),"")))</f>
        <v/>
      </c>
      <c r="G532" s="83">
        <f>IF($F532="","",$F532-TODAY())</f>
        <v/>
      </c>
      <c r="H532" s="85">
        <f>IF(OR($A532="",$B532=""),"",IF($F532="","No date",IF($G532&lt;0,"Overdue",IF($G532&lt;=30,"Due &lt;=30",IF($G532&lt;=60,"Due 31-60","OK")))))</f>
        <v/>
      </c>
      <c r="I532" s="54"/>
      <c r="J532" s="54"/>
      <c r="K532" s="54"/>
      <c r="L532" s="54"/>
      <c r="M532" s="105">
        <f>IF($F532="","",$F532+ROW()/100000)</f>
        <v/>
      </c>
    </row>
    <row r="533" spans="1:13">
      <c r="A533" s="54"/>
      <c r="B533" s="54"/>
      <c r="C533" s="52"/>
      <c r="D533" s="83">
        <f>IF($B533="","",IFERROR(IF(VLOOKUP($B533,Reference!$A$6:$C$27,3,FALSE)&gt;0,VLOOKUP($B533,Reference!$A$6:$C$27,3,FALSE),""),""))</f>
        <v/>
      </c>
      <c r="E533" s="53"/>
      <c r="F533" s="82">
        <f>IF(OR($A533="",$B533="",NOT(ISNUMBER($C533))),"",IF(ISNUMBER($E533),IF($E533&gt;0,EDATE($C533,$E533),""),IF(ISNUMBER($D533),EDATE($C533,$D533),"")))</f>
        <v/>
      </c>
      <c r="G533" s="83">
        <f>IF($F533="","",$F533-TODAY())</f>
        <v/>
      </c>
      <c r="H533" s="85">
        <f>IF(OR($A533="",$B533=""),"",IF($F533="","No date",IF($G533&lt;0,"Overdue",IF($G533&lt;=30,"Due &lt;=30",IF($G533&lt;=60,"Due 31-60","OK")))))</f>
        <v/>
      </c>
      <c r="I533" s="54"/>
      <c r="J533" s="54"/>
      <c r="K533" s="54"/>
      <c r="L533" s="54"/>
      <c r="M533" s="105">
        <f>IF($F533="","",$F533+ROW()/100000)</f>
        <v/>
      </c>
    </row>
    <row r="534" spans="1:13">
      <c r="A534" s="54"/>
      <c r="B534" s="54"/>
      <c r="C534" s="52"/>
      <c r="D534" s="83">
        <f>IF($B534="","",IFERROR(IF(VLOOKUP($B534,Reference!$A$6:$C$27,3,FALSE)&gt;0,VLOOKUP($B534,Reference!$A$6:$C$27,3,FALSE),""),""))</f>
        <v/>
      </c>
      <c r="E534" s="53"/>
      <c r="F534" s="82">
        <f>IF(OR($A534="",$B534="",NOT(ISNUMBER($C534))),"",IF(ISNUMBER($E534),IF($E534&gt;0,EDATE($C534,$E534),""),IF(ISNUMBER($D534),EDATE($C534,$D534),"")))</f>
        <v/>
      </c>
      <c r="G534" s="83">
        <f>IF($F534="","",$F534-TODAY())</f>
        <v/>
      </c>
      <c r="H534" s="85">
        <f>IF(OR($A534="",$B534=""),"",IF($F534="","No date",IF($G534&lt;0,"Overdue",IF($G534&lt;=30,"Due &lt;=30",IF($G534&lt;=60,"Due 31-60","OK")))))</f>
        <v/>
      </c>
      <c r="I534" s="54"/>
      <c r="J534" s="54"/>
      <c r="K534" s="54"/>
      <c r="L534" s="54"/>
      <c r="M534" s="105">
        <f>IF($F534="","",$F534+ROW()/100000)</f>
        <v/>
      </c>
    </row>
    <row r="535" spans="1:13">
      <c r="A535" s="54"/>
      <c r="B535" s="54"/>
      <c r="C535" s="52"/>
      <c r="D535" s="83">
        <f>IF($B535="","",IFERROR(IF(VLOOKUP($B535,Reference!$A$6:$C$27,3,FALSE)&gt;0,VLOOKUP($B535,Reference!$A$6:$C$27,3,FALSE),""),""))</f>
        <v/>
      </c>
      <c r="E535" s="53"/>
      <c r="F535" s="82">
        <f>IF(OR($A535="",$B535="",NOT(ISNUMBER($C535))),"",IF(ISNUMBER($E535),IF($E535&gt;0,EDATE($C535,$E535),""),IF(ISNUMBER($D535),EDATE($C535,$D535),"")))</f>
        <v/>
      </c>
      <c r="G535" s="83">
        <f>IF($F535="","",$F535-TODAY())</f>
        <v/>
      </c>
      <c r="H535" s="85">
        <f>IF(OR($A535="",$B535=""),"",IF($F535="","No date",IF($G535&lt;0,"Overdue",IF($G535&lt;=30,"Due &lt;=30",IF($G535&lt;=60,"Due 31-60","OK")))))</f>
        <v/>
      </c>
      <c r="I535" s="54"/>
      <c r="J535" s="54"/>
      <c r="K535" s="54"/>
      <c r="L535" s="54"/>
      <c r="M535" s="105">
        <f>IF($F535="","",$F535+ROW()/100000)</f>
        <v/>
      </c>
    </row>
    <row r="536" spans="1:13">
      <c r="A536" s="54"/>
      <c r="B536" s="54"/>
      <c r="C536" s="52"/>
      <c r="D536" s="83">
        <f>IF($B536="","",IFERROR(IF(VLOOKUP($B536,Reference!$A$6:$C$27,3,FALSE)&gt;0,VLOOKUP($B536,Reference!$A$6:$C$27,3,FALSE),""),""))</f>
        <v/>
      </c>
      <c r="E536" s="53"/>
      <c r="F536" s="82">
        <f>IF(OR($A536="",$B536="",NOT(ISNUMBER($C536))),"",IF(ISNUMBER($E536),IF($E536&gt;0,EDATE($C536,$E536),""),IF(ISNUMBER($D536),EDATE($C536,$D536),"")))</f>
        <v/>
      </c>
      <c r="G536" s="83">
        <f>IF($F536="","",$F536-TODAY())</f>
        <v/>
      </c>
      <c r="H536" s="85">
        <f>IF(OR($A536="",$B536=""),"",IF($F536="","No date",IF($G536&lt;0,"Overdue",IF($G536&lt;=30,"Due &lt;=30",IF($G536&lt;=60,"Due 31-60","OK")))))</f>
        <v/>
      </c>
      <c r="I536" s="54"/>
      <c r="J536" s="54"/>
      <c r="K536" s="54"/>
      <c r="L536" s="54"/>
      <c r="M536" s="105">
        <f>IF($F536="","",$F536+ROW()/100000)</f>
        <v/>
      </c>
    </row>
    <row r="537" spans="1:13">
      <c r="A537" s="54"/>
      <c r="B537" s="54"/>
      <c r="C537" s="52"/>
      <c r="D537" s="83">
        <f>IF($B537="","",IFERROR(IF(VLOOKUP($B537,Reference!$A$6:$C$27,3,FALSE)&gt;0,VLOOKUP($B537,Reference!$A$6:$C$27,3,FALSE),""),""))</f>
        <v/>
      </c>
      <c r="E537" s="53"/>
      <c r="F537" s="82">
        <f>IF(OR($A537="",$B537="",NOT(ISNUMBER($C537))),"",IF(ISNUMBER($E537),IF($E537&gt;0,EDATE($C537,$E537),""),IF(ISNUMBER($D537),EDATE($C537,$D537),"")))</f>
        <v/>
      </c>
      <c r="G537" s="83">
        <f>IF($F537="","",$F537-TODAY())</f>
        <v/>
      </c>
      <c r="H537" s="85">
        <f>IF(OR($A537="",$B537=""),"",IF($F537="","No date",IF($G537&lt;0,"Overdue",IF($G537&lt;=30,"Due &lt;=30",IF($G537&lt;=60,"Due 31-60","OK")))))</f>
        <v/>
      </c>
      <c r="I537" s="54"/>
      <c r="J537" s="54"/>
      <c r="K537" s="54"/>
      <c r="L537" s="54"/>
      <c r="M537" s="105">
        <f>IF($F537="","",$F537+ROW()/100000)</f>
        <v/>
      </c>
    </row>
    <row r="538" spans="1:13">
      <c r="A538" s="54"/>
      <c r="B538" s="54"/>
      <c r="C538" s="52"/>
      <c r="D538" s="83">
        <f>IF($B538="","",IFERROR(IF(VLOOKUP($B538,Reference!$A$6:$C$27,3,FALSE)&gt;0,VLOOKUP($B538,Reference!$A$6:$C$27,3,FALSE),""),""))</f>
        <v/>
      </c>
      <c r="E538" s="53"/>
      <c r="F538" s="82">
        <f>IF(OR($A538="",$B538="",NOT(ISNUMBER($C538))),"",IF(ISNUMBER($E538),IF($E538&gt;0,EDATE($C538,$E538),""),IF(ISNUMBER($D538),EDATE($C538,$D538),"")))</f>
        <v/>
      </c>
      <c r="G538" s="83">
        <f>IF($F538="","",$F538-TODAY())</f>
        <v/>
      </c>
      <c r="H538" s="85">
        <f>IF(OR($A538="",$B538=""),"",IF($F538="","No date",IF($G538&lt;0,"Overdue",IF($G538&lt;=30,"Due &lt;=30",IF($G538&lt;=60,"Due 31-60","OK")))))</f>
        <v/>
      </c>
      <c r="I538" s="54"/>
      <c r="J538" s="54"/>
      <c r="K538" s="54"/>
      <c r="L538" s="54"/>
      <c r="M538" s="105">
        <f>IF($F538="","",$F538+ROW()/100000)</f>
        <v/>
      </c>
    </row>
    <row r="539" spans="1:13">
      <c r="A539" s="54"/>
      <c r="B539" s="54"/>
      <c r="C539" s="52"/>
      <c r="D539" s="83">
        <f>IF($B539="","",IFERROR(IF(VLOOKUP($B539,Reference!$A$6:$C$27,3,FALSE)&gt;0,VLOOKUP($B539,Reference!$A$6:$C$27,3,FALSE),""),""))</f>
        <v/>
      </c>
      <c r="E539" s="53"/>
      <c r="F539" s="82">
        <f>IF(OR($A539="",$B539="",NOT(ISNUMBER($C539))),"",IF(ISNUMBER($E539),IF($E539&gt;0,EDATE($C539,$E539),""),IF(ISNUMBER($D539),EDATE($C539,$D539),"")))</f>
        <v/>
      </c>
      <c r="G539" s="83">
        <f>IF($F539="","",$F539-TODAY())</f>
        <v/>
      </c>
      <c r="H539" s="85">
        <f>IF(OR($A539="",$B539=""),"",IF($F539="","No date",IF($G539&lt;0,"Overdue",IF($G539&lt;=30,"Due &lt;=30",IF($G539&lt;=60,"Due 31-60","OK")))))</f>
        <v/>
      </c>
      <c r="I539" s="54"/>
      <c r="J539" s="54"/>
      <c r="K539" s="54"/>
      <c r="L539" s="54"/>
      <c r="M539" s="105">
        <f>IF($F539="","",$F539+ROW()/100000)</f>
        <v/>
      </c>
    </row>
    <row r="540" spans="1:13">
      <c r="A540" s="54"/>
      <c r="B540" s="54"/>
      <c r="C540" s="52"/>
      <c r="D540" s="83">
        <f>IF($B540="","",IFERROR(IF(VLOOKUP($B540,Reference!$A$6:$C$27,3,FALSE)&gt;0,VLOOKUP($B540,Reference!$A$6:$C$27,3,FALSE),""),""))</f>
        <v/>
      </c>
      <c r="E540" s="53"/>
      <c r="F540" s="82">
        <f>IF(OR($A540="",$B540="",NOT(ISNUMBER($C540))),"",IF(ISNUMBER($E540),IF($E540&gt;0,EDATE($C540,$E540),""),IF(ISNUMBER($D540),EDATE($C540,$D540),"")))</f>
        <v/>
      </c>
      <c r="G540" s="83">
        <f>IF($F540="","",$F540-TODAY())</f>
        <v/>
      </c>
      <c r="H540" s="85">
        <f>IF(OR($A540="",$B540=""),"",IF($F540="","No date",IF($G540&lt;0,"Overdue",IF($G540&lt;=30,"Due &lt;=30",IF($G540&lt;=60,"Due 31-60","OK")))))</f>
        <v/>
      </c>
      <c r="I540" s="54"/>
      <c r="J540" s="54"/>
      <c r="K540" s="54"/>
      <c r="L540" s="54"/>
      <c r="M540" s="105">
        <f>IF($F540="","",$F540+ROW()/100000)</f>
        <v/>
      </c>
    </row>
    <row r="541" spans="1:13">
      <c r="A541" s="54"/>
      <c r="B541" s="54"/>
      <c r="C541" s="52"/>
      <c r="D541" s="83">
        <f>IF($B541="","",IFERROR(IF(VLOOKUP($B541,Reference!$A$6:$C$27,3,FALSE)&gt;0,VLOOKUP($B541,Reference!$A$6:$C$27,3,FALSE),""),""))</f>
        <v/>
      </c>
      <c r="E541" s="53"/>
      <c r="F541" s="82">
        <f>IF(OR($A541="",$B541="",NOT(ISNUMBER($C541))),"",IF(ISNUMBER($E541),IF($E541&gt;0,EDATE($C541,$E541),""),IF(ISNUMBER($D541),EDATE($C541,$D541),"")))</f>
        <v/>
      </c>
      <c r="G541" s="83">
        <f>IF($F541="","",$F541-TODAY())</f>
        <v/>
      </c>
      <c r="H541" s="85">
        <f>IF(OR($A541="",$B541=""),"",IF($F541="","No date",IF($G541&lt;0,"Overdue",IF($G541&lt;=30,"Due &lt;=30",IF($G541&lt;=60,"Due 31-60","OK")))))</f>
        <v/>
      </c>
      <c r="I541" s="54"/>
      <c r="J541" s="54"/>
      <c r="K541" s="54"/>
      <c r="L541" s="54"/>
      <c r="M541" s="105">
        <f>IF($F541="","",$F541+ROW()/100000)</f>
        <v/>
      </c>
    </row>
    <row r="542" spans="1:13">
      <c r="A542" s="54"/>
      <c r="B542" s="54"/>
      <c r="C542" s="52"/>
      <c r="D542" s="83">
        <f>IF($B542="","",IFERROR(IF(VLOOKUP($B542,Reference!$A$6:$C$27,3,FALSE)&gt;0,VLOOKUP($B542,Reference!$A$6:$C$27,3,FALSE),""),""))</f>
        <v/>
      </c>
      <c r="E542" s="53"/>
      <c r="F542" s="82">
        <f>IF(OR($A542="",$B542="",NOT(ISNUMBER($C542))),"",IF(ISNUMBER($E542),IF($E542&gt;0,EDATE($C542,$E542),""),IF(ISNUMBER($D542),EDATE($C542,$D542),"")))</f>
        <v/>
      </c>
      <c r="G542" s="83">
        <f>IF($F542="","",$F542-TODAY())</f>
        <v/>
      </c>
      <c r="H542" s="85">
        <f>IF(OR($A542="",$B542=""),"",IF($F542="","No date",IF($G542&lt;0,"Overdue",IF($G542&lt;=30,"Due &lt;=30",IF($G542&lt;=60,"Due 31-60","OK")))))</f>
        <v/>
      </c>
      <c r="I542" s="54"/>
      <c r="J542" s="54"/>
      <c r="K542" s="54"/>
      <c r="L542" s="54"/>
      <c r="M542" s="105">
        <f>IF($F542="","",$F542+ROW()/100000)</f>
        <v/>
      </c>
    </row>
    <row r="543" spans="1:13">
      <c r="A543" s="54"/>
      <c r="B543" s="54"/>
      <c r="C543" s="52"/>
      <c r="D543" s="83">
        <f>IF($B543="","",IFERROR(IF(VLOOKUP($B543,Reference!$A$6:$C$27,3,FALSE)&gt;0,VLOOKUP($B543,Reference!$A$6:$C$27,3,FALSE),""),""))</f>
        <v/>
      </c>
      <c r="E543" s="53"/>
      <c r="F543" s="82">
        <f>IF(OR($A543="",$B543="",NOT(ISNUMBER($C543))),"",IF(ISNUMBER($E543),IF($E543&gt;0,EDATE($C543,$E543),""),IF(ISNUMBER($D543),EDATE($C543,$D543),"")))</f>
        <v/>
      </c>
      <c r="G543" s="83">
        <f>IF($F543="","",$F543-TODAY())</f>
        <v/>
      </c>
      <c r="H543" s="85">
        <f>IF(OR($A543="",$B543=""),"",IF($F543="","No date",IF($G543&lt;0,"Overdue",IF($G543&lt;=30,"Due &lt;=30",IF($G543&lt;=60,"Due 31-60","OK")))))</f>
        <v/>
      </c>
      <c r="I543" s="54"/>
      <c r="J543" s="54"/>
      <c r="K543" s="54"/>
      <c r="L543" s="54"/>
      <c r="M543" s="105">
        <f>IF($F543="","",$F543+ROW()/100000)</f>
        <v/>
      </c>
    </row>
    <row r="544" spans="1:13">
      <c r="A544" s="54"/>
      <c r="B544" s="54"/>
      <c r="C544" s="52"/>
      <c r="D544" s="83">
        <f>IF($B544="","",IFERROR(IF(VLOOKUP($B544,Reference!$A$6:$C$27,3,FALSE)&gt;0,VLOOKUP($B544,Reference!$A$6:$C$27,3,FALSE),""),""))</f>
        <v/>
      </c>
      <c r="E544" s="53"/>
      <c r="F544" s="82">
        <f>IF(OR($A544="",$B544="",NOT(ISNUMBER($C544))),"",IF(ISNUMBER($E544),IF($E544&gt;0,EDATE($C544,$E544),""),IF(ISNUMBER($D544),EDATE($C544,$D544),"")))</f>
        <v/>
      </c>
      <c r="G544" s="83">
        <f>IF($F544="","",$F544-TODAY())</f>
        <v/>
      </c>
      <c r="H544" s="85">
        <f>IF(OR($A544="",$B544=""),"",IF($F544="","No date",IF($G544&lt;0,"Overdue",IF($G544&lt;=30,"Due &lt;=30",IF($G544&lt;=60,"Due 31-60","OK")))))</f>
        <v/>
      </c>
      <c r="I544" s="54"/>
      <c r="J544" s="54"/>
      <c r="K544" s="54"/>
      <c r="L544" s="54"/>
      <c r="M544" s="105">
        <f>IF($F544="","",$F544+ROW()/100000)</f>
        <v/>
      </c>
    </row>
    <row r="545" spans="1:13">
      <c r="A545" s="54"/>
      <c r="B545" s="54"/>
      <c r="C545" s="52"/>
      <c r="D545" s="83">
        <f>IF($B545="","",IFERROR(IF(VLOOKUP($B545,Reference!$A$6:$C$27,3,FALSE)&gt;0,VLOOKUP($B545,Reference!$A$6:$C$27,3,FALSE),""),""))</f>
        <v/>
      </c>
      <c r="E545" s="53"/>
      <c r="F545" s="82">
        <f>IF(OR($A545="",$B545="",NOT(ISNUMBER($C545))),"",IF(ISNUMBER($E545),IF($E545&gt;0,EDATE($C545,$E545),""),IF(ISNUMBER($D545),EDATE($C545,$D545),"")))</f>
        <v/>
      </c>
      <c r="G545" s="83">
        <f>IF($F545="","",$F545-TODAY())</f>
        <v/>
      </c>
      <c r="H545" s="85">
        <f>IF(OR($A545="",$B545=""),"",IF($F545="","No date",IF($G545&lt;0,"Overdue",IF($G545&lt;=30,"Due &lt;=30",IF($G545&lt;=60,"Due 31-60","OK")))))</f>
        <v/>
      </c>
      <c r="I545" s="54"/>
      <c r="J545" s="54"/>
      <c r="K545" s="54"/>
      <c r="L545" s="54"/>
      <c r="M545" s="105">
        <f>IF($F545="","",$F545+ROW()/100000)</f>
        <v/>
      </c>
    </row>
    <row r="546" spans="1:13">
      <c r="A546" s="54"/>
      <c r="B546" s="54"/>
      <c r="C546" s="52"/>
      <c r="D546" s="83">
        <f>IF($B546="","",IFERROR(IF(VLOOKUP($B546,Reference!$A$6:$C$27,3,FALSE)&gt;0,VLOOKUP($B546,Reference!$A$6:$C$27,3,FALSE),""),""))</f>
        <v/>
      </c>
      <c r="E546" s="53"/>
      <c r="F546" s="82">
        <f>IF(OR($A546="",$B546="",NOT(ISNUMBER($C546))),"",IF(ISNUMBER($E546),IF($E546&gt;0,EDATE($C546,$E546),""),IF(ISNUMBER($D546),EDATE($C546,$D546),"")))</f>
        <v/>
      </c>
      <c r="G546" s="83">
        <f>IF($F546="","",$F546-TODAY())</f>
        <v/>
      </c>
      <c r="H546" s="85">
        <f>IF(OR($A546="",$B546=""),"",IF($F546="","No date",IF($G546&lt;0,"Overdue",IF($G546&lt;=30,"Due &lt;=30",IF($G546&lt;=60,"Due 31-60","OK")))))</f>
        <v/>
      </c>
      <c r="I546" s="54"/>
      <c r="J546" s="54"/>
      <c r="K546" s="54"/>
      <c r="L546" s="54"/>
      <c r="M546" s="105">
        <f>IF($F546="","",$F546+ROW()/100000)</f>
        <v/>
      </c>
    </row>
    <row r="547" spans="1:13">
      <c r="A547" s="54"/>
      <c r="B547" s="54"/>
      <c r="C547" s="52"/>
      <c r="D547" s="83">
        <f>IF($B547="","",IFERROR(IF(VLOOKUP($B547,Reference!$A$6:$C$27,3,FALSE)&gt;0,VLOOKUP($B547,Reference!$A$6:$C$27,3,FALSE),""),""))</f>
        <v/>
      </c>
      <c r="E547" s="53"/>
      <c r="F547" s="82">
        <f>IF(OR($A547="",$B547="",NOT(ISNUMBER($C547))),"",IF(ISNUMBER($E547),IF($E547&gt;0,EDATE($C547,$E547),""),IF(ISNUMBER($D547),EDATE($C547,$D547),"")))</f>
        <v/>
      </c>
      <c r="G547" s="83">
        <f>IF($F547="","",$F547-TODAY())</f>
        <v/>
      </c>
      <c r="H547" s="85">
        <f>IF(OR($A547="",$B547=""),"",IF($F547="","No date",IF($G547&lt;0,"Overdue",IF($G547&lt;=30,"Due &lt;=30",IF($G547&lt;=60,"Due 31-60","OK")))))</f>
        <v/>
      </c>
      <c r="I547" s="54"/>
      <c r="J547" s="54"/>
      <c r="K547" s="54"/>
      <c r="L547" s="54"/>
      <c r="M547" s="105">
        <f>IF($F547="","",$F547+ROW()/100000)</f>
        <v/>
      </c>
    </row>
    <row r="548" spans="1:13">
      <c r="A548" s="54"/>
      <c r="B548" s="54"/>
      <c r="C548" s="52"/>
      <c r="D548" s="83">
        <f>IF($B548="","",IFERROR(IF(VLOOKUP($B548,Reference!$A$6:$C$27,3,FALSE)&gt;0,VLOOKUP($B548,Reference!$A$6:$C$27,3,FALSE),""),""))</f>
        <v/>
      </c>
      <c r="E548" s="53"/>
      <c r="F548" s="82">
        <f>IF(OR($A548="",$B548="",NOT(ISNUMBER($C548))),"",IF(ISNUMBER($E548),IF($E548&gt;0,EDATE($C548,$E548),""),IF(ISNUMBER($D548),EDATE($C548,$D548),"")))</f>
        <v/>
      </c>
      <c r="G548" s="83">
        <f>IF($F548="","",$F548-TODAY())</f>
        <v/>
      </c>
      <c r="H548" s="85">
        <f>IF(OR($A548="",$B548=""),"",IF($F548="","No date",IF($G548&lt;0,"Overdue",IF($G548&lt;=30,"Due &lt;=30",IF($G548&lt;=60,"Due 31-60","OK")))))</f>
        <v/>
      </c>
      <c r="I548" s="54"/>
      <c r="J548" s="54"/>
      <c r="K548" s="54"/>
      <c r="L548" s="54"/>
      <c r="M548" s="105">
        <f>IF($F548="","",$F548+ROW()/100000)</f>
        <v/>
      </c>
    </row>
    <row r="549" spans="1:13">
      <c r="A549" s="54"/>
      <c r="B549" s="54"/>
      <c r="C549" s="52"/>
      <c r="D549" s="83">
        <f>IF($B549="","",IFERROR(IF(VLOOKUP($B549,Reference!$A$6:$C$27,3,FALSE)&gt;0,VLOOKUP($B549,Reference!$A$6:$C$27,3,FALSE),""),""))</f>
        <v/>
      </c>
      <c r="E549" s="53"/>
      <c r="F549" s="82">
        <f>IF(OR($A549="",$B549="",NOT(ISNUMBER($C549))),"",IF(ISNUMBER($E549),IF($E549&gt;0,EDATE($C549,$E549),""),IF(ISNUMBER($D549),EDATE($C549,$D549),"")))</f>
        <v/>
      </c>
      <c r="G549" s="83">
        <f>IF($F549="","",$F549-TODAY())</f>
        <v/>
      </c>
      <c r="H549" s="85">
        <f>IF(OR($A549="",$B549=""),"",IF($F549="","No date",IF($G549&lt;0,"Overdue",IF($G549&lt;=30,"Due &lt;=30",IF($G549&lt;=60,"Due 31-60","OK")))))</f>
        <v/>
      </c>
      <c r="I549" s="54"/>
      <c r="J549" s="54"/>
      <c r="K549" s="54"/>
      <c r="L549" s="54"/>
      <c r="M549" s="105">
        <f>IF($F549="","",$F549+ROW()/100000)</f>
        <v/>
      </c>
    </row>
    <row r="550" spans="1:13">
      <c r="A550" s="54"/>
      <c r="B550" s="54"/>
      <c r="C550" s="52"/>
      <c r="D550" s="83">
        <f>IF($B550="","",IFERROR(IF(VLOOKUP($B550,Reference!$A$6:$C$27,3,FALSE)&gt;0,VLOOKUP($B550,Reference!$A$6:$C$27,3,FALSE),""),""))</f>
        <v/>
      </c>
      <c r="E550" s="53"/>
      <c r="F550" s="82">
        <f>IF(OR($A550="",$B550="",NOT(ISNUMBER($C550))),"",IF(ISNUMBER($E550),IF($E550&gt;0,EDATE($C550,$E550),""),IF(ISNUMBER($D550),EDATE($C550,$D550),"")))</f>
        <v/>
      </c>
      <c r="G550" s="83">
        <f>IF($F550="","",$F550-TODAY())</f>
        <v/>
      </c>
      <c r="H550" s="85">
        <f>IF(OR($A550="",$B550=""),"",IF($F550="","No date",IF($G550&lt;0,"Overdue",IF($G550&lt;=30,"Due &lt;=30",IF($G550&lt;=60,"Due 31-60","OK")))))</f>
        <v/>
      </c>
      <c r="I550" s="54"/>
      <c r="J550" s="54"/>
      <c r="K550" s="54"/>
      <c r="L550" s="54"/>
      <c r="M550" s="105">
        <f>IF($F550="","",$F550+ROW()/100000)</f>
        <v/>
      </c>
    </row>
    <row r="551" spans="1:13">
      <c r="A551" s="54"/>
      <c r="B551" s="54"/>
      <c r="C551" s="52"/>
      <c r="D551" s="83">
        <f>IF($B551="","",IFERROR(IF(VLOOKUP($B551,Reference!$A$6:$C$27,3,FALSE)&gt;0,VLOOKUP($B551,Reference!$A$6:$C$27,3,FALSE),""),""))</f>
        <v/>
      </c>
      <c r="E551" s="53"/>
      <c r="F551" s="82">
        <f>IF(OR($A551="",$B551="",NOT(ISNUMBER($C551))),"",IF(ISNUMBER($E551),IF($E551&gt;0,EDATE($C551,$E551),""),IF(ISNUMBER($D551),EDATE($C551,$D551),"")))</f>
        <v/>
      </c>
      <c r="G551" s="83">
        <f>IF($F551="","",$F551-TODAY())</f>
        <v/>
      </c>
      <c r="H551" s="85">
        <f>IF(OR($A551="",$B551=""),"",IF($F551="","No date",IF($G551&lt;0,"Overdue",IF($G551&lt;=30,"Due &lt;=30",IF($G551&lt;=60,"Due 31-60","OK")))))</f>
        <v/>
      </c>
      <c r="I551" s="54"/>
      <c r="J551" s="54"/>
      <c r="K551" s="54"/>
      <c r="L551" s="54"/>
      <c r="M551" s="105">
        <f>IF($F551="","",$F551+ROW()/100000)</f>
        <v/>
      </c>
    </row>
    <row r="552" spans="1:13">
      <c r="A552" s="54"/>
      <c r="B552" s="54"/>
      <c r="C552" s="52"/>
      <c r="D552" s="83">
        <f>IF($B552="","",IFERROR(IF(VLOOKUP($B552,Reference!$A$6:$C$27,3,FALSE)&gt;0,VLOOKUP($B552,Reference!$A$6:$C$27,3,FALSE),""),""))</f>
        <v/>
      </c>
      <c r="E552" s="53"/>
      <c r="F552" s="82">
        <f>IF(OR($A552="",$B552="",NOT(ISNUMBER($C552))),"",IF(ISNUMBER($E552),IF($E552&gt;0,EDATE($C552,$E552),""),IF(ISNUMBER($D552),EDATE($C552,$D552),"")))</f>
        <v/>
      </c>
      <c r="G552" s="83">
        <f>IF($F552="","",$F552-TODAY())</f>
        <v/>
      </c>
      <c r="H552" s="85">
        <f>IF(OR($A552="",$B552=""),"",IF($F552="","No date",IF($G552&lt;0,"Overdue",IF($G552&lt;=30,"Due &lt;=30",IF($G552&lt;=60,"Due 31-60","OK")))))</f>
        <v/>
      </c>
      <c r="I552" s="54"/>
      <c r="J552" s="54"/>
      <c r="K552" s="54"/>
      <c r="L552" s="54"/>
      <c r="M552" s="105">
        <f>IF($F552="","",$F552+ROW()/100000)</f>
        <v/>
      </c>
    </row>
    <row r="553" spans="1:13">
      <c r="A553" s="54"/>
      <c r="B553" s="54"/>
      <c r="C553" s="52"/>
      <c r="D553" s="83">
        <f>IF($B553="","",IFERROR(IF(VLOOKUP($B553,Reference!$A$6:$C$27,3,FALSE)&gt;0,VLOOKUP($B553,Reference!$A$6:$C$27,3,FALSE),""),""))</f>
        <v/>
      </c>
      <c r="E553" s="53"/>
      <c r="F553" s="82">
        <f>IF(OR($A553="",$B553="",NOT(ISNUMBER($C553))),"",IF(ISNUMBER($E553),IF($E553&gt;0,EDATE($C553,$E553),""),IF(ISNUMBER($D553),EDATE($C553,$D553),"")))</f>
        <v/>
      </c>
      <c r="G553" s="83">
        <f>IF($F553="","",$F553-TODAY())</f>
        <v/>
      </c>
      <c r="H553" s="85">
        <f>IF(OR($A553="",$B553=""),"",IF($F553="","No date",IF($G553&lt;0,"Overdue",IF($G553&lt;=30,"Due &lt;=30",IF($G553&lt;=60,"Due 31-60","OK")))))</f>
        <v/>
      </c>
      <c r="I553" s="54"/>
      <c r="J553" s="54"/>
      <c r="K553" s="54"/>
      <c r="L553" s="54"/>
      <c r="M553" s="105">
        <f>IF($F553="","",$F553+ROW()/100000)</f>
        <v/>
      </c>
    </row>
    <row r="554" spans="1:13">
      <c r="A554" s="54"/>
      <c r="B554" s="54"/>
      <c r="C554" s="52"/>
      <c r="D554" s="83">
        <f>IF($B554="","",IFERROR(IF(VLOOKUP($B554,Reference!$A$6:$C$27,3,FALSE)&gt;0,VLOOKUP($B554,Reference!$A$6:$C$27,3,FALSE),""),""))</f>
        <v/>
      </c>
      <c r="E554" s="53"/>
      <c r="F554" s="82">
        <f>IF(OR($A554="",$B554="",NOT(ISNUMBER($C554))),"",IF(ISNUMBER($E554),IF($E554&gt;0,EDATE($C554,$E554),""),IF(ISNUMBER($D554),EDATE($C554,$D554),"")))</f>
        <v/>
      </c>
      <c r="G554" s="83">
        <f>IF($F554="","",$F554-TODAY())</f>
        <v/>
      </c>
      <c r="H554" s="85">
        <f>IF(OR($A554="",$B554=""),"",IF($F554="","No date",IF($G554&lt;0,"Overdue",IF($G554&lt;=30,"Due &lt;=30",IF($G554&lt;=60,"Due 31-60","OK")))))</f>
        <v/>
      </c>
      <c r="I554" s="54"/>
      <c r="J554" s="54"/>
      <c r="K554" s="54"/>
      <c r="L554" s="54"/>
      <c r="M554" s="105">
        <f>IF($F554="","",$F554+ROW()/100000)</f>
        <v/>
      </c>
    </row>
    <row r="555" spans="1:13">
      <c r="A555" s="54"/>
      <c r="B555" s="54"/>
      <c r="C555" s="52"/>
      <c r="D555" s="83">
        <f>IF($B555="","",IFERROR(IF(VLOOKUP($B555,Reference!$A$6:$C$27,3,FALSE)&gt;0,VLOOKUP($B555,Reference!$A$6:$C$27,3,FALSE),""),""))</f>
        <v/>
      </c>
      <c r="E555" s="53"/>
      <c r="F555" s="82">
        <f>IF(OR($A555="",$B555="",NOT(ISNUMBER($C555))),"",IF(ISNUMBER($E555),IF($E555&gt;0,EDATE($C555,$E555),""),IF(ISNUMBER($D555),EDATE($C555,$D555),"")))</f>
        <v/>
      </c>
      <c r="G555" s="83">
        <f>IF($F555="","",$F555-TODAY())</f>
        <v/>
      </c>
      <c r="H555" s="85">
        <f>IF(OR($A555="",$B555=""),"",IF($F555="","No date",IF($G555&lt;0,"Overdue",IF($G555&lt;=30,"Due &lt;=30",IF($G555&lt;=60,"Due 31-60","OK")))))</f>
        <v/>
      </c>
      <c r="I555" s="54"/>
      <c r="J555" s="54"/>
      <c r="K555" s="54"/>
      <c r="L555" s="54"/>
      <c r="M555" s="105">
        <f>IF($F555="","",$F555+ROW()/100000)</f>
        <v/>
      </c>
    </row>
    <row r="556" spans="1:13">
      <c r="A556" s="54"/>
      <c r="B556" s="54"/>
      <c r="C556" s="52"/>
      <c r="D556" s="83">
        <f>IF($B556="","",IFERROR(IF(VLOOKUP($B556,Reference!$A$6:$C$27,3,FALSE)&gt;0,VLOOKUP($B556,Reference!$A$6:$C$27,3,FALSE),""),""))</f>
        <v/>
      </c>
      <c r="E556" s="53"/>
      <c r="F556" s="82">
        <f>IF(OR($A556="",$B556="",NOT(ISNUMBER($C556))),"",IF(ISNUMBER($E556),IF($E556&gt;0,EDATE($C556,$E556),""),IF(ISNUMBER($D556),EDATE($C556,$D556),"")))</f>
        <v/>
      </c>
      <c r="G556" s="83">
        <f>IF($F556="","",$F556-TODAY())</f>
        <v/>
      </c>
      <c r="H556" s="85">
        <f>IF(OR($A556="",$B556=""),"",IF($F556="","No date",IF($G556&lt;0,"Overdue",IF($G556&lt;=30,"Due &lt;=30",IF($G556&lt;=60,"Due 31-60","OK")))))</f>
        <v/>
      </c>
      <c r="I556" s="54"/>
      <c r="J556" s="54"/>
      <c r="K556" s="54"/>
      <c r="L556" s="54"/>
      <c r="M556" s="105">
        <f>IF($F556="","",$F556+ROW()/100000)</f>
        <v/>
      </c>
    </row>
    <row r="557" spans="1:13">
      <c r="A557" s="54"/>
      <c r="B557" s="54"/>
      <c r="C557" s="52"/>
      <c r="D557" s="83">
        <f>IF($B557="","",IFERROR(IF(VLOOKUP($B557,Reference!$A$6:$C$27,3,FALSE)&gt;0,VLOOKUP($B557,Reference!$A$6:$C$27,3,FALSE),""),""))</f>
        <v/>
      </c>
      <c r="E557" s="53"/>
      <c r="F557" s="82">
        <f>IF(OR($A557="",$B557="",NOT(ISNUMBER($C557))),"",IF(ISNUMBER($E557),IF($E557&gt;0,EDATE($C557,$E557),""),IF(ISNUMBER($D557),EDATE($C557,$D557),"")))</f>
        <v/>
      </c>
      <c r="G557" s="83">
        <f>IF($F557="","",$F557-TODAY())</f>
        <v/>
      </c>
      <c r="H557" s="85">
        <f>IF(OR($A557="",$B557=""),"",IF($F557="","No date",IF($G557&lt;0,"Overdue",IF($G557&lt;=30,"Due &lt;=30",IF($G557&lt;=60,"Due 31-60","OK")))))</f>
        <v/>
      </c>
      <c r="I557" s="54"/>
      <c r="J557" s="54"/>
      <c r="K557" s="54"/>
      <c r="L557" s="54"/>
      <c r="M557" s="105">
        <f>IF($F557="","",$F557+ROW()/100000)</f>
        <v/>
      </c>
    </row>
    <row r="558" spans="1:13">
      <c r="A558" s="54"/>
      <c r="B558" s="54"/>
      <c r="C558" s="52"/>
      <c r="D558" s="83">
        <f>IF($B558="","",IFERROR(IF(VLOOKUP($B558,Reference!$A$6:$C$27,3,FALSE)&gt;0,VLOOKUP($B558,Reference!$A$6:$C$27,3,FALSE),""),""))</f>
        <v/>
      </c>
      <c r="E558" s="53"/>
      <c r="F558" s="82">
        <f>IF(OR($A558="",$B558="",NOT(ISNUMBER($C558))),"",IF(ISNUMBER($E558),IF($E558&gt;0,EDATE($C558,$E558),""),IF(ISNUMBER($D558),EDATE($C558,$D558),"")))</f>
        <v/>
      </c>
      <c r="G558" s="83">
        <f>IF($F558="","",$F558-TODAY())</f>
        <v/>
      </c>
      <c r="H558" s="85">
        <f>IF(OR($A558="",$B558=""),"",IF($F558="","No date",IF($G558&lt;0,"Overdue",IF($G558&lt;=30,"Due &lt;=30",IF($G558&lt;=60,"Due 31-60","OK")))))</f>
        <v/>
      </c>
      <c r="I558" s="54"/>
      <c r="J558" s="54"/>
      <c r="K558" s="54"/>
      <c r="L558" s="54"/>
      <c r="M558" s="105">
        <f>IF($F558="","",$F558+ROW()/100000)</f>
        <v/>
      </c>
    </row>
    <row r="559" spans="1:13">
      <c r="A559" s="54"/>
      <c r="B559" s="54"/>
      <c r="C559" s="52"/>
      <c r="D559" s="83">
        <f>IF($B559="","",IFERROR(IF(VLOOKUP($B559,Reference!$A$6:$C$27,3,FALSE)&gt;0,VLOOKUP($B559,Reference!$A$6:$C$27,3,FALSE),""),""))</f>
        <v/>
      </c>
      <c r="E559" s="53"/>
      <c r="F559" s="82">
        <f>IF(OR($A559="",$B559="",NOT(ISNUMBER($C559))),"",IF(ISNUMBER($E559),IF($E559&gt;0,EDATE($C559,$E559),""),IF(ISNUMBER($D559),EDATE($C559,$D559),"")))</f>
        <v/>
      </c>
      <c r="G559" s="83">
        <f>IF($F559="","",$F559-TODAY())</f>
        <v/>
      </c>
      <c r="H559" s="85">
        <f>IF(OR($A559="",$B559=""),"",IF($F559="","No date",IF($G559&lt;0,"Overdue",IF($G559&lt;=30,"Due &lt;=30",IF($G559&lt;=60,"Due 31-60","OK")))))</f>
        <v/>
      </c>
      <c r="I559" s="54"/>
      <c r="J559" s="54"/>
      <c r="K559" s="54"/>
      <c r="L559" s="54"/>
      <c r="M559" s="105">
        <f>IF($F559="","",$F559+ROW()/100000)</f>
        <v/>
      </c>
    </row>
    <row r="560" spans="1:13">
      <c r="A560" s="54"/>
      <c r="B560" s="54"/>
      <c r="C560" s="52"/>
      <c r="D560" s="83">
        <f>IF($B560="","",IFERROR(IF(VLOOKUP($B560,Reference!$A$6:$C$27,3,FALSE)&gt;0,VLOOKUP($B560,Reference!$A$6:$C$27,3,FALSE),""),""))</f>
        <v/>
      </c>
      <c r="E560" s="53"/>
      <c r="F560" s="82">
        <f>IF(OR($A560="",$B560="",NOT(ISNUMBER($C560))),"",IF(ISNUMBER($E560),IF($E560&gt;0,EDATE($C560,$E560),""),IF(ISNUMBER($D560),EDATE($C560,$D560),"")))</f>
        <v/>
      </c>
      <c r="G560" s="83">
        <f>IF($F560="","",$F560-TODAY())</f>
        <v/>
      </c>
      <c r="H560" s="85">
        <f>IF(OR($A560="",$B560=""),"",IF($F560="","No date",IF($G560&lt;0,"Overdue",IF($G560&lt;=30,"Due &lt;=30",IF($G560&lt;=60,"Due 31-60","OK")))))</f>
        <v/>
      </c>
      <c r="I560" s="54"/>
      <c r="J560" s="54"/>
      <c r="K560" s="54"/>
      <c r="L560" s="54"/>
      <c r="M560" s="105">
        <f>IF($F560="","",$F560+ROW()/100000)</f>
        <v/>
      </c>
    </row>
    <row r="561" spans="1:13">
      <c r="A561" s="54"/>
      <c r="B561" s="54"/>
      <c r="C561" s="52"/>
      <c r="D561" s="83">
        <f>IF($B561="","",IFERROR(IF(VLOOKUP($B561,Reference!$A$6:$C$27,3,FALSE)&gt;0,VLOOKUP($B561,Reference!$A$6:$C$27,3,FALSE),""),""))</f>
        <v/>
      </c>
      <c r="E561" s="53"/>
      <c r="F561" s="82">
        <f>IF(OR($A561="",$B561="",NOT(ISNUMBER($C561))),"",IF(ISNUMBER($E561),IF($E561&gt;0,EDATE($C561,$E561),""),IF(ISNUMBER($D561),EDATE($C561,$D561),"")))</f>
        <v/>
      </c>
      <c r="G561" s="83">
        <f>IF($F561="","",$F561-TODAY())</f>
        <v/>
      </c>
      <c r="H561" s="85">
        <f>IF(OR($A561="",$B561=""),"",IF($F561="","No date",IF($G561&lt;0,"Overdue",IF($G561&lt;=30,"Due &lt;=30",IF($G561&lt;=60,"Due 31-60","OK")))))</f>
        <v/>
      </c>
      <c r="I561" s="54"/>
      <c r="J561" s="54"/>
      <c r="K561" s="54"/>
      <c r="L561" s="54"/>
      <c r="M561" s="105">
        <f>IF($F561="","",$F561+ROW()/100000)</f>
        <v/>
      </c>
    </row>
    <row r="562" spans="1:13">
      <c r="A562" s="54"/>
      <c r="B562" s="54"/>
      <c r="C562" s="52"/>
      <c r="D562" s="83">
        <f>IF($B562="","",IFERROR(IF(VLOOKUP($B562,Reference!$A$6:$C$27,3,FALSE)&gt;0,VLOOKUP($B562,Reference!$A$6:$C$27,3,FALSE),""),""))</f>
        <v/>
      </c>
      <c r="E562" s="53"/>
      <c r="F562" s="82">
        <f>IF(OR($A562="",$B562="",NOT(ISNUMBER($C562))),"",IF(ISNUMBER($E562),IF($E562&gt;0,EDATE($C562,$E562),""),IF(ISNUMBER($D562),EDATE($C562,$D562),"")))</f>
        <v/>
      </c>
      <c r="G562" s="83">
        <f>IF($F562="","",$F562-TODAY())</f>
        <v/>
      </c>
      <c r="H562" s="85">
        <f>IF(OR($A562="",$B562=""),"",IF($F562="","No date",IF($G562&lt;0,"Overdue",IF($G562&lt;=30,"Due &lt;=30",IF($G562&lt;=60,"Due 31-60","OK")))))</f>
        <v/>
      </c>
      <c r="I562" s="54"/>
      <c r="J562" s="54"/>
      <c r="K562" s="54"/>
      <c r="L562" s="54"/>
      <c r="M562" s="105">
        <f>IF($F562="","",$F562+ROW()/100000)</f>
        <v/>
      </c>
    </row>
    <row r="563" spans="1:13">
      <c r="A563" s="54"/>
      <c r="B563" s="54"/>
      <c r="C563" s="52"/>
      <c r="D563" s="83">
        <f>IF($B563="","",IFERROR(IF(VLOOKUP($B563,Reference!$A$6:$C$27,3,FALSE)&gt;0,VLOOKUP($B563,Reference!$A$6:$C$27,3,FALSE),""),""))</f>
        <v/>
      </c>
      <c r="E563" s="53"/>
      <c r="F563" s="82">
        <f>IF(OR($A563="",$B563="",NOT(ISNUMBER($C563))),"",IF(ISNUMBER($E563),IF($E563&gt;0,EDATE($C563,$E563),""),IF(ISNUMBER($D563),EDATE($C563,$D563),"")))</f>
        <v/>
      </c>
      <c r="G563" s="83">
        <f>IF($F563="","",$F563-TODAY())</f>
        <v/>
      </c>
      <c r="H563" s="85">
        <f>IF(OR($A563="",$B563=""),"",IF($F563="","No date",IF($G563&lt;0,"Overdue",IF($G563&lt;=30,"Due &lt;=30",IF($G563&lt;=60,"Due 31-60","OK")))))</f>
        <v/>
      </c>
      <c r="I563" s="54"/>
      <c r="J563" s="54"/>
      <c r="K563" s="54"/>
      <c r="L563" s="54"/>
      <c r="M563" s="105">
        <f>IF($F563="","",$F563+ROW()/100000)</f>
        <v/>
      </c>
    </row>
    <row r="564" spans="1:13">
      <c r="A564" s="54"/>
      <c r="B564" s="54"/>
      <c r="C564" s="52"/>
      <c r="D564" s="83">
        <f>IF($B564="","",IFERROR(IF(VLOOKUP($B564,Reference!$A$6:$C$27,3,FALSE)&gt;0,VLOOKUP($B564,Reference!$A$6:$C$27,3,FALSE),""),""))</f>
        <v/>
      </c>
      <c r="E564" s="53"/>
      <c r="F564" s="82">
        <f>IF(OR($A564="",$B564="",NOT(ISNUMBER($C564))),"",IF(ISNUMBER($E564),IF($E564&gt;0,EDATE($C564,$E564),""),IF(ISNUMBER($D564),EDATE($C564,$D564),"")))</f>
        <v/>
      </c>
      <c r="G564" s="83">
        <f>IF($F564="","",$F564-TODAY())</f>
        <v/>
      </c>
      <c r="H564" s="85">
        <f>IF(OR($A564="",$B564=""),"",IF($F564="","No date",IF($G564&lt;0,"Overdue",IF($G564&lt;=30,"Due &lt;=30",IF($G564&lt;=60,"Due 31-60","OK")))))</f>
        <v/>
      </c>
      <c r="I564" s="54"/>
      <c r="J564" s="54"/>
      <c r="K564" s="54"/>
      <c r="L564" s="54"/>
      <c r="M564" s="105">
        <f>IF($F564="","",$F564+ROW()/100000)</f>
        <v/>
      </c>
    </row>
    <row r="565" spans="1:13">
      <c r="A565" s="54"/>
      <c r="B565" s="54"/>
      <c r="C565" s="52"/>
      <c r="D565" s="83">
        <f>IF($B565="","",IFERROR(IF(VLOOKUP($B565,Reference!$A$6:$C$27,3,FALSE)&gt;0,VLOOKUP($B565,Reference!$A$6:$C$27,3,FALSE),""),""))</f>
        <v/>
      </c>
      <c r="E565" s="53"/>
      <c r="F565" s="82">
        <f>IF(OR($A565="",$B565="",NOT(ISNUMBER($C565))),"",IF(ISNUMBER($E565),IF($E565&gt;0,EDATE($C565,$E565),""),IF(ISNUMBER($D565),EDATE($C565,$D565),"")))</f>
        <v/>
      </c>
      <c r="G565" s="83">
        <f>IF($F565="","",$F565-TODAY())</f>
        <v/>
      </c>
      <c r="H565" s="85">
        <f>IF(OR($A565="",$B565=""),"",IF($F565="","No date",IF($G565&lt;0,"Overdue",IF($G565&lt;=30,"Due &lt;=30",IF($G565&lt;=60,"Due 31-60","OK")))))</f>
        <v/>
      </c>
      <c r="I565" s="54"/>
      <c r="J565" s="54"/>
      <c r="K565" s="54"/>
      <c r="L565" s="54"/>
      <c r="M565" s="105">
        <f>IF($F565="","",$F565+ROW()/100000)</f>
        <v/>
      </c>
    </row>
    <row r="566" spans="1:13">
      <c r="A566" s="54"/>
      <c r="B566" s="54"/>
      <c r="C566" s="52"/>
      <c r="D566" s="83">
        <f>IF($B566="","",IFERROR(IF(VLOOKUP($B566,Reference!$A$6:$C$27,3,FALSE)&gt;0,VLOOKUP($B566,Reference!$A$6:$C$27,3,FALSE),""),""))</f>
        <v/>
      </c>
      <c r="E566" s="53"/>
      <c r="F566" s="82">
        <f>IF(OR($A566="",$B566="",NOT(ISNUMBER($C566))),"",IF(ISNUMBER($E566),IF($E566&gt;0,EDATE($C566,$E566),""),IF(ISNUMBER($D566),EDATE($C566,$D566),"")))</f>
        <v/>
      </c>
      <c r="G566" s="83">
        <f>IF($F566="","",$F566-TODAY())</f>
        <v/>
      </c>
      <c r="H566" s="85">
        <f>IF(OR($A566="",$B566=""),"",IF($F566="","No date",IF($G566&lt;0,"Overdue",IF($G566&lt;=30,"Due &lt;=30",IF($G566&lt;=60,"Due 31-60","OK")))))</f>
        <v/>
      </c>
      <c r="I566" s="54"/>
      <c r="J566" s="54"/>
      <c r="K566" s="54"/>
      <c r="L566" s="54"/>
      <c r="M566" s="105">
        <f>IF($F566="","",$F566+ROW()/100000)</f>
        <v/>
      </c>
    </row>
    <row r="567" spans="1:13">
      <c r="A567" s="54"/>
      <c r="B567" s="54"/>
      <c r="C567" s="52"/>
      <c r="D567" s="83">
        <f>IF($B567="","",IFERROR(IF(VLOOKUP($B567,Reference!$A$6:$C$27,3,FALSE)&gt;0,VLOOKUP($B567,Reference!$A$6:$C$27,3,FALSE),""),""))</f>
        <v/>
      </c>
      <c r="E567" s="53"/>
      <c r="F567" s="82">
        <f>IF(OR($A567="",$B567="",NOT(ISNUMBER($C567))),"",IF(ISNUMBER($E567),IF($E567&gt;0,EDATE($C567,$E567),""),IF(ISNUMBER($D567),EDATE($C567,$D567),"")))</f>
        <v/>
      </c>
      <c r="G567" s="83">
        <f>IF($F567="","",$F567-TODAY())</f>
        <v/>
      </c>
      <c r="H567" s="85">
        <f>IF(OR($A567="",$B567=""),"",IF($F567="","No date",IF($G567&lt;0,"Overdue",IF($G567&lt;=30,"Due &lt;=30",IF($G567&lt;=60,"Due 31-60","OK")))))</f>
        <v/>
      </c>
      <c r="I567" s="54"/>
      <c r="J567" s="54"/>
      <c r="K567" s="54"/>
      <c r="L567" s="54"/>
      <c r="M567" s="105">
        <f>IF($F567="","",$F567+ROW()/100000)</f>
        <v/>
      </c>
    </row>
    <row r="568" spans="1:13">
      <c r="A568" s="54"/>
      <c r="B568" s="54"/>
      <c r="C568" s="52"/>
      <c r="D568" s="83">
        <f>IF($B568="","",IFERROR(IF(VLOOKUP($B568,Reference!$A$6:$C$27,3,FALSE)&gt;0,VLOOKUP($B568,Reference!$A$6:$C$27,3,FALSE),""),""))</f>
        <v/>
      </c>
      <c r="E568" s="53"/>
      <c r="F568" s="82">
        <f>IF(OR($A568="",$B568="",NOT(ISNUMBER($C568))),"",IF(ISNUMBER($E568),IF($E568&gt;0,EDATE($C568,$E568),""),IF(ISNUMBER($D568),EDATE($C568,$D568),"")))</f>
        <v/>
      </c>
      <c r="G568" s="83">
        <f>IF($F568="","",$F568-TODAY())</f>
        <v/>
      </c>
      <c r="H568" s="85">
        <f>IF(OR($A568="",$B568=""),"",IF($F568="","No date",IF($G568&lt;0,"Overdue",IF($G568&lt;=30,"Due &lt;=30",IF($G568&lt;=60,"Due 31-60","OK")))))</f>
        <v/>
      </c>
      <c r="I568" s="54"/>
      <c r="J568" s="54"/>
      <c r="K568" s="54"/>
      <c r="L568" s="54"/>
      <c r="M568" s="105">
        <f>IF($F568="","",$F568+ROW()/100000)</f>
        <v/>
      </c>
    </row>
    <row r="569" spans="1:13">
      <c r="A569" s="54"/>
      <c r="B569" s="54"/>
      <c r="C569" s="52"/>
      <c r="D569" s="83">
        <f>IF($B569="","",IFERROR(IF(VLOOKUP($B569,Reference!$A$6:$C$27,3,FALSE)&gt;0,VLOOKUP($B569,Reference!$A$6:$C$27,3,FALSE),""),""))</f>
        <v/>
      </c>
      <c r="E569" s="53"/>
      <c r="F569" s="82">
        <f>IF(OR($A569="",$B569="",NOT(ISNUMBER($C569))),"",IF(ISNUMBER($E569),IF($E569&gt;0,EDATE($C569,$E569),""),IF(ISNUMBER($D569),EDATE($C569,$D569),"")))</f>
        <v/>
      </c>
      <c r="G569" s="83">
        <f>IF($F569="","",$F569-TODAY())</f>
        <v/>
      </c>
      <c r="H569" s="85">
        <f>IF(OR($A569="",$B569=""),"",IF($F569="","No date",IF($G569&lt;0,"Overdue",IF($G569&lt;=30,"Due &lt;=30",IF($G569&lt;=60,"Due 31-60","OK")))))</f>
        <v/>
      </c>
      <c r="I569" s="54"/>
      <c r="J569" s="54"/>
      <c r="K569" s="54"/>
      <c r="L569" s="54"/>
      <c r="M569" s="105">
        <f>IF($F569="","",$F569+ROW()/100000)</f>
        <v/>
      </c>
    </row>
    <row r="570" spans="1:13">
      <c r="A570" s="54"/>
      <c r="B570" s="54"/>
      <c r="C570" s="52"/>
      <c r="D570" s="83">
        <f>IF($B570="","",IFERROR(IF(VLOOKUP($B570,Reference!$A$6:$C$27,3,FALSE)&gt;0,VLOOKUP($B570,Reference!$A$6:$C$27,3,FALSE),""),""))</f>
        <v/>
      </c>
      <c r="E570" s="53"/>
      <c r="F570" s="82">
        <f>IF(OR($A570="",$B570="",NOT(ISNUMBER($C570))),"",IF(ISNUMBER($E570),IF($E570&gt;0,EDATE($C570,$E570),""),IF(ISNUMBER($D570),EDATE($C570,$D570),"")))</f>
        <v/>
      </c>
      <c r="G570" s="83">
        <f>IF($F570="","",$F570-TODAY())</f>
        <v/>
      </c>
      <c r="H570" s="85">
        <f>IF(OR($A570="",$B570=""),"",IF($F570="","No date",IF($G570&lt;0,"Overdue",IF($G570&lt;=30,"Due &lt;=30",IF($G570&lt;=60,"Due 31-60","OK")))))</f>
        <v/>
      </c>
      <c r="I570" s="54"/>
      <c r="J570" s="54"/>
      <c r="K570" s="54"/>
      <c r="L570" s="54"/>
      <c r="M570" s="105">
        <f>IF($F570="","",$F570+ROW()/100000)</f>
        <v/>
      </c>
    </row>
    <row r="571" spans="1:13">
      <c r="A571" s="54"/>
      <c r="B571" s="54"/>
      <c r="C571" s="52"/>
      <c r="D571" s="83">
        <f>IF($B571="","",IFERROR(IF(VLOOKUP($B571,Reference!$A$6:$C$27,3,FALSE)&gt;0,VLOOKUP($B571,Reference!$A$6:$C$27,3,FALSE),""),""))</f>
        <v/>
      </c>
      <c r="E571" s="53"/>
      <c r="F571" s="82">
        <f>IF(OR($A571="",$B571="",NOT(ISNUMBER($C571))),"",IF(ISNUMBER($E571),IF($E571&gt;0,EDATE($C571,$E571),""),IF(ISNUMBER($D571),EDATE($C571,$D571),"")))</f>
        <v/>
      </c>
      <c r="G571" s="83">
        <f>IF($F571="","",$F571-TODAY())</f>
        <v/>
      </c>
      <c r="H571" s="85">
        <f>IF(OR($A571="",$B571=""),"",IF($F571="","No date",IF($G571&lt;0,"Overdue",IF($G571&lt;=30,"Due &lt;=30",IF($G571&lt;=60,"Due 31-60","OK")))))</f>
        <v/>
      </c>
      <c r="I571" s="54"/>
      <c r="J571" s="54"/>
      <c r="K571" s="54"/>
      <c r="L571" s="54"/>
      <c r="M571" s="105">
        <f>IF($F571="","",$F571+ROW()/100000)</f>
        <v/>
      </c>
    </row>
    <row r="572" spans="1:13">
      <c r="A572" s="54"/>
      <c r="B572" s="54"/>
      <c r="C572" s="52"/>
      <c r="D572" s="83">
        <f>IF($B572="","",IFERROR(IF(VLOOKUP($B572,Reference!$A$6:$C$27,3,FALSE)&gt;0,VLOOKUP($B572,Reference!$A$6:$C$27,3,FALSE),""),""))</f>
        <v/>
      </c>
      <c r="E572" s="53"/>
      <c r="F572" s="82">
        <f>IF(OR($A572="",$B572="",NOT(ISNUMBER($C572))),"",IF(ISNUMBER($E572),IF($E572&gt;0,EDATE($C572,$E572),""),IF(ISNUMBER($D572),EDATE($C572,$D572),"")))</f>
        <v/>
      </c>
      <c r="G572" s="83">
        <f>IF($F572="","",$F572-TODAY())</f>
        <v/>
      </c>
      <c r="H572" s="85">
        <f>IF(OR($A572="",$B572=""),"",IF($F572="","No date",IF($G572&lt;0,"Overdue",IF($G572&lt;=30,"Due &lt;=30",IF($G572&lt;=60,"Due 31-60","OK")))))</f>
        <v/>
      </c>
      <c r="I572" s="54"/>
      <c r="J572" s="54"/>
      <c r="K572" s="54"/>
      <c r="L572" s="54"/>
      <c r="M572" s="105">
        <f>IF($F572="","",$F572+ROW()/100000)</f>
        <v/>
      </c>
    </row>
    <row r="573" spans="1:13">
      <c r="A573" s="54"/>
      <c r="B573" s="54"/>
      <c r="C573" s="52"/>
      <c r="D573" s="83">
        <f>IF($B573="","",IFERROR(IF(VLOOKUP($B573,Reference!$A$6:$C$27,3,FALSE)&gt;0,VLOOKUP($B573,Reference!$A$6:$C$27,3,FALSE),""),""))</f>
        <v/>
      </c>
      <c r="E573" s="53"/>
      <c r="F573" s="82">
        <f>IF(OR($A573="",$B573="",NOT(ISNUMBER($C573))),"",IF(ISNUMBER($E573),IF($E573&gt;0,EDATE($C573,$E573),""),IF(ISNUMBER($D573),EDATE($C573,$D573),"")))</f>
        <v/>
      </c>
      <c r="G573" s="83">
        <f>IF($F573="","",$F573-TODAY())</f>
        <v/>
      </c>
      <c r="H573" s="85">
        <f>IF(OR($A573="",$B573=""),"",IF($F573="","No date",IF($G573&lt;0,"Overdue",IF($G573&lt;=30,"Due &lt;=30",IF($G573&lt;=60,"Due 31-60","OK")))))</f>
        <v/>
      </c>
      <c r="I573" s="54"/>
      <c r="J573" s="54"/>
      <c r="K573" s="54"/>
      <c r="L573" s="54"/>
      <c r="M573" s="105">
        <f>IF($F573="","",$F573+ROW()/100000)</f>
        <v/>
      </c>
    </row>
    <row r="574" spans="1:13">
      <c r="A574" s="54"/>
      <c r="B574" s="54"/>
      <c r="C574" s="52"/>
      <c r="D574" s="83">
        <f>IF($B574="","",IFERROR(IF(VLOOKUP($B574,Reference!$A$6:$C$27,3,FALSE)&gt;0,VLOOKUP($B574,Reference!$A$6:$C$27,3,FALSE),""),""))</f>
        <v/>
      </c>
      <c r="E574" s="53"/>
      <c r="F574" s="82">
        <f>IF(OR($A574="",$B574="",NOT(ISNUMBER($C574))),"",IF(ISNUMBER($E574),IF($E574&gt;0,EDATE($C574,$E574),""),IF(ISNUMBER($D574),EDATE($C574,$D574),"")))</f>
        <v/>
      </c>
      <c r="G574" s="83">
        <f>IF($F574="","",$F574-TODAY())</f>
        <v/>
      </c>
      <c r="H574" s="85">
        <f>IF(OR($A574="",$B574=""),"",IF($F574="","No date",IF($G574&lt;0,"Overdue",IF($G574&lt;=30,"Due &lt;=30",IF($G574&lt;=60,"Due 31-60","OK")))))</f>
        <v/>
      </c>
      <c r="I574" s="54"/>
      <c r="J574" s="54"/>
      <c r="K574" s="54"/>
      <c r="L574" s="54"/>
      <c r="M574" s="105">
        <f>IF($F574="","",$F574+ROW()/100000)</f>
        <v/>
      </c>
    </row>
    <row r="575" spans="1:13">
      <c r="A575" s="54"/>
      <c r="B575" s="54"/>
      <c r="C575" s="52"/>
      <c r="D575" s="83">
        <f>IF($B575="","",IFERROR(IF(VLOOKUP($B575,Reference!$A$6:$C$27,3,FALSE)&gt;0,VLOOKUP($B575,Reference!$A$6:$C$27,3,FALSE),""),""))</f>
        <v/>
      </c>
      <c r="E575" s="53"/>
      <c r="F575" s="82">
        <f>IF(OR($A575="",$B575="",NOT(ISNUMBER($C575))),"",IF(ISNUMBER($E575),IF($E575&gt;0,EDATE($C575,$E575),""),IF(ISNUMBER($D575),EDATE($C575,$D575),"")))</f>
        <v/>
      </c>
      <c r="G575" s="83">
        <f>IF($F575="","",$F575-TODAY())</f>
        <v/>
      </c>
      <c r="H575" s="85">
        <f>IF(OR($A575="",$B575=""),"",IF($F575="","No date",IF($G575&lt;0,"Overdue",IF($G575&lt;=30,"Due &lt;=30",IF($G575&lt;=60,"Due 31-60","OK")))))</f>
        <v/>
      </c>
      <c r="I575" s="54"/>
      <c r="J575" s="54"/>
      <c r="K575" s="54"/>
      <c r="L575" s="54"/>
      <c r="M575" s="105">
        <f>IF($F575="","",$F575+ROW()/100000)</f>
        <v/>
      </c>
    </row>
    <row r="576" spans="1:13">
      <c r="A576" s="54"/>
      <c r="B576" s="54"/>
      <c r="C576" s="52"/>
      <c r="D576" s="83">
        <f>IF($B576="","",IFERROR(IF(VLOOKUP($B576,Reference!$A$6:$C$27,3,FALSE)&gt;0,VLOOKUP($B576,Reference!$A$6:$C$27,3,FALSE),""),""))</f>
        <v/>
      </c>
      <c r="E576" s="53"/>
      <c r="F576" s="82">
        <f>IF(OR($A576="",$B576="",NOT(ISNUMBER($C576))),"",IF(ISNUMBER($E576),IF($E576&gt;0,EDATE($C576,$E576),""),IF(ISNUMBER($D576),EDATE($C576,$D576),"")))</f>
        <v/>
      </c>
      <c r="G576" s="83">
        <f>IF($F576="","",$F576-TODAY())</f>
        <v/>
      </c>
      <c r="H576" s="85">
        <f>IF(OR($A576="",$B576=""),"",IF($F576="","No date",IF($G576&lt;0,"Overdue",IF($G576&lt;=30,"Due &lt;=30",IF($G576&lt;=60,"Due 31-60","OK")))))</f>
        <v/>
      </c>
      <c r="I576" s="54"/>
      <c r="J576" s="54"/>
      <c r="K576" s="54"/>
      <c r="L576" s="54"/>
      <c r="M576" s="105">
        <f>IF($F576="","",$F576+ROW()/100000)</f>
        <v/>
      </c>
    </row>
    <row r="577" spans="1:13">
      <c r="A577" s="54"/>
      <c r="B577" s="54"/>
      <c r="C577" s="52"/>
      <c r="D577" s="83">
        <f>IF($B577="","",IFERROR(IF(VLOOKUP($B577,Reference!$A$6:$C$27,3,FALSE)&gt;0,VLOOKUP($B577,Reference!$A$6:$C$27,3,FALSE),""),""))</f>
        <v/>
      </c>
      <c r="E577" s="53"/>
      <c r="F577" s="82">
        <f>IF(OR($A577="",$B577="",NOT(ISNUMBER($C577))),"",IF(ISNUMBER($E577),IF($E577&gt;0,EDATE($C577,$E577),""),IF(ISNUMBER($D577),EDATE($C577,$D577),"")))</f>
        <v/>
      </c>
      <c r="G577" s="83">
        <f>IF($F577="","",$F577-TODAY())</f>
        <v/>
      </c>
      <c r="H577" s="85">
        <f>IF(OR($A577="",$B577=""),"",IF($F577="","No date",IF($G577&lt;0,"Overdue",IF($G577&lt;=30,"Due &lt;=30",IF($G577&lt;=60,"Due 31-60","OK")))))</f>
        <v/>
      </c>
      <c r="I577" s="54"/>
      <c r="J577" s="54"/>
      <c r="K577" s="54"/>
      <c r="L577" s="54"/>
      <c r="M577" s="105">
        <f>IF($F577="","",$F577+ROW()/100000)</f>
        <v/>
      </c>
    </row>
    <row r="578" spans="1:13">
      <c r="A578" s="54"/>
      <c r="B578" s="54"/>
      <c r="C578" s="52"/>
      <c r="D578" s="83">
        <f>IF($B578="","",IFERROR(IF(VLOOKUP($B578,Reference!$A$6:$C$27,3,FALSE)&gt;0,VLOOKUP($B578,Reference!$A$6:$C$27,3,FALSE),""),""))</f>
        <v/>
      </c>
      <c r="E578" s="53"/>
      <c r="F578" s="82">
        <f>IF(OR($A578="",$B578="",NOT(ISNUMBER($C578))),"",IF(ISNUMBER($E578),IF($E578&gt;0,EDATE($C578,$E578),""),IF(ISNUMBER($D578),EDATE($C578,$D578),"")))</f>
        <v/>
      </c>
      <c r="G578" s="83">
        <f>IF($F578="","",$F578-TODAY())</f>
        <v/>
      </c>
      <c r="H578" s="85">
        <f>IF(OR($A578="",$B578=""),"",IF($F578="","No date",IF($G578&lt;0,"Overdue",IF($G578&lt;=30,"Due &lt;=30",IF($G578&lt;=60,"Due 31-60","OK")))))</f>
        <v/>
      </c>
      <c r="I578" s="54"/>
      <c r="J578" s="54"/>
      <c r="K578" s="54"/>
      <c r="L578" s="54"/>
      <c r="M578" s="105">
        <f>IF($F578="","",$F578+ROW()/100000)</f>
        <v/>
      </c>
    </row>
    <row r="579" spans="1:13">
      <c r="A579" s="54"/>
      <c r="B579" s="54"/>
      <c r="C579" s="52"/>
      <c r="D579" s="83">
        <f>IF($B579="","",IFERROR(IF(VLOOKUP($B579,Reference!$A$6:$C$27,3,FALSE)&gt;0,VLOOKUP($B579,Reference!$A$6:$C$27,3,FALSE),""),""))</f>
        <v/>
      </c>
      <c r="E579" s="53"/>
      <c r="F579" s="82">
        <f>IF(OR($A579="",$B579="",NOT(ISNUMBER($C579))),"",IF(ISNUMBER($E579),IF($E579&gt;0,EDATE($C579,$E579),""),IF(ISNUMBER($D579),EDATE($C579,$D579),"")))</f>
        <v/>
      </c>
      <c r="G579" s="83">
        <f>IF($F579="","",$F579-TODAY())</f>
        <v/>
      </c>
      <c r="H579" s="85">
        <f>IF(OR($A579="",$B579=""),"",IF($F579="","No date",IF($G579&lt;0,"Overdue",IF($G579&lt;=30,"Due &lt;=30",IF($G579&lt;=60,"Due 31-60","OK")))))</f>
        <v/>
      </c>
      <c r="I579" s="54"/>
      <c r="J579" s="54"/>
      <c r="K579" s="54"/>
      <c r="L579" s="54"/>
      <c r="M579" s="105">
        <f>IF($F579="","",$F579+ROW()/100000)</f>
        <v/>
      </c>
    </row>
    <row r="580" spans="1:13">
      <c r="A580" s="54"/>
      <c r="B580" s="54"/>
      <c r="C580" s="52"/>
      <c r="D580" s="83">
        <f>IF($B580="","",IFERROR(IF(VLOOKUP($B580,Reference!$A$6:$C$27,3,FALSE)&gt;0,VLOOKUP($B580,Reference!$A$6:$C$27,3,FALSE),""),""))</f>
        <v/>
      </c>
      <c r="E580" s="53"/>
      <c r="F580" s="82">
        <f>IF(OR($A580="",$B580="",NOT(ISNUMBER($C580))),"",IF(ISNUMBER($E580),IF($E580&gt;0,EDATE($C580,$E580),""),IF(ISNUMBER($D580),EDATE($C580,$D580),"")))</f>
        <v/>
      </c>
      <c r="G580" s="83">
        <f>IF($F580="","",$F580-TODAY())</f>
        <v/>
      </c>
      <c r="H580" s="85">
        <f>IF(OR($A580="",$B580=""),"",IF($F580="","No date",IF($G580&lt;0,"Overdue",IF($G580&lt;=30,"Due &lt;=30",IF($G580&lt;=60,"Due 31-60","OK")))))</f>
        <v/>
      </c>
      <c r="I580" s="54"/>
      <c r="J580" s="54"/>
      <c r="K580" s="54"/>
      <c r="L580" s="54"/>
      <c r="M580" s="105">
        <f>IF($F580="","",$F580+ROW()/100000)</f>
        <v/>
      </c>
    </row>
    <row r="581" spans="1:13">
      <c r="A581" s="54"/>
      <c r="B581" s="54"/>
      <c r="C581" s="52"/>
      <c r="D581" s="83">
        <f>IF($B581="","",IFERROR(IF(VLOOKUP($B581,Reference!$A$6:$C$27,3,FALSE)&gt;0,VLOOKUP($B581,Reference!$A$6:$C$27,3,FALSE),""),""))</f>
        <v/>
      </c>
      <c r="E581" s="53"/>
      <c r="F581" s="82">
        <f>IF(OR($A581="",$B581="",NOT(ISNUMBER($C581))),"",IF(ISNUMBER($E581),IF($E581&gt;0,EDATE($C581,$E581),""),IF(ISNUMBER($D581),EDATE($C581,$D581),"")))</f>
        <v/>
      </c>
      <c r="G581" s="83">
        <f>IF($F581="","",$F581-TODAY())</f>
        <v/>
      </c>
      <c r="H581" s="85">
        <f>IF(OR($A581="",$B581=""),"",IF($F581="","No date",IF($G581&lt;0,"Overdue",IF($G581&lt;=30,"Due &lt;=30",IF($G581&lt;=60,"Due 31-60","OK")))))</f>
        <v/>
      </c>
      <c r="I581" s="54"/>
      <c r="J581" s="54"/>
      <c r="K581" s="54"/>
      <c r="L581" s="54"/>
      <c r="M581" s="105">
        <f>IF($F581="","",$F581+ROW()/100000)</f>
        <v/>
      </c>
    </row>
    <row r="582" spans="1:13">
      <c r="A582" s="54"/>
      <c r="B582" s="54"/>
      <c r="C582" s="52"/>
      <c r="D582" s="83">
        <f>IF($B582="","",IFERROR(IF(VLOOKUP($B582,Reference!$A$6:$C$27,3,FALSE)&gt;0,VLOOKUP($B582,Reference!$A$6:$C$27,3,FALSE),""),""))</f>
        <v/>
      </c>
      <c r="E582" s="53"/>
      <c r="F582" s="82">
        <f>IF(OR($A582="",$B582="",NOT(ISNUMBER($C582))),"",IF(ISNUMBER($E582),IF($E582&gt;0,EDATE($C582,$E582),""),IF(ISNUMBER($D582),EDATE($C582,$D582),"")))</f>
        <v/>
      </c>
      <c r="G582" s="83">
        <f>IF($F582="","",$F582-TODAY())</f>
        <v/>
      </c>
      <c r="H582" s="85">
        <f>IF(OR($A582="",$B582=""),"",IF($F582="","No date",IF($G582&lt;0,"Overdue",IF($G582&lt;=30,"Due &lt;=30",IF($G582&lt;=60,"Due 31-60","OK")))))</f>
        <v/>
      </c>
      <c r="I582" s="54"/>
      <c r="J582" s="54"/>
      <c r="K582" s="54"/>
      <c r="L582" s="54"/>
      <c r="M582" s="105">
        <f>IF($F582="","",$F582+ROW()/100000)</f>
        <v/>
      </c>
    </row>
    <row r="583" spans="1:13">
      <c r="A583" s="54"/>
      <c r="B583" s="54"/>
      <c r="C583" s="52"/>
      <c r="D583" s="83">
        <f>IF($B583="","",IFERROR(IF(VLOOKUP($B583,Reference!$A$6:$C$27,3,FALSE)&gt;0,VLOOKUP($B583,Reference!$A$6:$C$27,3,FALSE),""),""))</f>
        <v/>
      </c>
      <c r="E583" s="53"/>
      <c r="F583" s="82">
        <f>IF(OR($A583="",$B583="",NOT(ISNUMBER($C583))),"",IF(ISNUMBER($E583),IF($E583&gt;0,EDATE($C583,$E583),""),IF(ISNUMBER($D583),EDATE($C583,$D583),"")))</f>
        <v/>
      </c>
      <c r="G583" s="83">
        <f>IF($F583="","",$F583-TODAY())</f>
        <v/>
      </c>
      <c r="H583" s="85">
        <f>IF(OR($A583="",$B583=""),"",IF($F583="","No date",IF($G583&lt;0,"Overdue",IF($G583&lt;=30,"Due &lt;=30",IF($G583&lt;=60,"Due 31-60","OK")))))</f>
        <v/>
      </c>
      <c r="I583" s="54"/>
      <c r="J583" s="54"/>
      <c r="K583" s="54"/>
      <c r="L583" s="54"/>
      <c r="M583" s="105">
        <f>IF($F583="","",$F583+ROW()/100000)</f>
        <v/>
      </c>
    </row>
    <row r="584" spans="1:13">
      <c r="A584" s="54"/>
      <c r="B584" s="54"/>
      <c r="C584" s="52"/>
      <c r="D584" s="83">
        <f>IF($B584="","",IFERROR(IF(VLOOKUP($B584,Reference!$A$6:$C$27,3,FALSE)&gt;0,VLOOKUP($B584,Reference!$A$6:$C$27,3,FALSE),""),""))</f>
        <v/>
      </c>
      <c r="E584" s="53"/>
      <c r="F584" s="82">
        <f>IF(OR($A584="",$B584="",NOT(ISNUMBER($C584))),"",IF(ISNUMBER($E584),IF($E584&gt;0,EDATE($C584,$E584),""),IF(ISNUMBER($D584),EDATE($C584,$D584),"")))</f>
        <v/>
      </c>
      <c r="G584" s="83">
        <f>IF($F584="","",$F584-TODAY())</f>
        <v/>
      </c>
      <c r="H584" s="85">
        <f>IF(OR($A584="",$B584=""),"",IF($F584="","No date",IF($G584&lt;0,"Overdue",IF($G584&lt;=30,"Due &lt;=30",IF($G584&lt;=60,"Due 31-60","OK")))))</f>
        <v/>
      </c>
      <c r="I584" s="54"/>
      <c r="J584" s="54"/>
      <c r="K584" s="54"/>
      <c r="L584" s="54"/>
      <c r="M584" s="105">
        <f>IF($F584="","",$F584+ROW()/100000)</f>
        <v/>
      </c>
    </row>
    <row r="585" spans="1:13">
      <c r="A585" s="54"/>
      <c r="B585" s="54"/>
      <c r="C585" s="52"/>
      <c r="D585" s="83">
        <f>IF($B585="","",IFERROR(IF(VLOOKUP($B585,Reference!$A$6:$C$27,3,FALSE)&gt;0,VLOOKUP($B585,Reference!$A$6:$C$27,3,FALSE),""),""))</f>
        <v/>
      </c>
      <c r="E585" s="53"/>
      <c r="F585" s="82">
        <f>IF(OR($A585="",$B585="",NOT(ISNUMBER($C585))),"",IF(ISNUMBER($E585),IF($E585&gt;0,EDATE($C585,$E585),""),IF(ISNUMBER($D585),EDATE($C585,$D585),"")))</f>
        <v/>
      </c>
      <c r="G585" s="83">
        <f>IF($F585="","",$F585-TODAY())</f>
        <v/>
      </c>
      <c r="H585" s="85">
        <f>IF(OR($A585="",$B585=""),"",IF($F585="","No date",IF($G585&lt;0,"Overdue",IF($G585&lt;=30,"Due &lt;=30",IF($G585&lt;=60,"Due 31-60","OK")))))</f>
        <v/>
      </c>
      <c r="I585" s="54"/>
      <c r="J585" s="54"/>
      <c r="K585" s="54"/>
      <c r="L585" s="54"/>
      <c r="M585" s="105">
        <f>IF($F585="","",$F585+ROW()/100000)</f>
        <v/>
      </c>
    </row>
    <row r="586" spans="1:13">
      <c r="A586" s="54"/>
      <c r="B586" s="54"/>
      <c r="C586" s="52"/>
      <c r="D586" s="83">
        <f>IF($B586="","",IFERROR(IF(VLOOKUP($B586,Reference!$A$6:$C$27,3,FALSE)&gt;0,VLOOKUP($B586,Reference!$A$6:$C$27,3,FALSE),""),""))</f>
        <v/>
      </c>
      <c r="E586" s="53"/>
      <c r="F586" s="82">
        <f>IF(OR($A586="",$B586="",NOT(ISNUMBER($C586))),"",IF(ISNUMBER($E586),IF($E586&gt;0,EDATE($C586,$E586),""),IF(ISNUMBER($D586),EDATE($C586,$D586),"")))</f>
        <v/>
      </c>
      <c r="G586" s="83">
        <f>IF($F586="","",$F586-TODAY())</f>
        <v/>
      </c>
      <c r="H586" s="85">
        <f>IF(OR($A586="",$B586=""),"",IF($F586="","No date",IF($G586&lt;0,"Overdue",IF($G586&lt;=30,"Due &lt;=30",IF($G586&lt;=60,"Due 31-60","OK")))))</f>
        <v/>
      </c>
      <c r="I586" s="54"/>
      <c r="J586" s="54"/>
      <c r="K586" s="54"/>
      <c r="L586" s="54"/>
      <c r="M586" s="105">
        <f>IF($F586="","",$F586+ROW()/100000)</f>
        <v/>
      </c>
    </row>
    <row r="587" spans="1:13">
      <c r="A587" s="54"/>
      <c r="B587" s="54"/>
      <c r="C587" s="52"/>
      <c r="D587" s="83">
        <f>IF($B587="","",IFERROR(IF(VLOOKUP($B587,Reference!$A$6:$C$27,3,FALSE)&gt;0,VLOOKUP($B587,Reference!$A$6:$C$27,3,FALSE),""),""))</f>
        <v/>
      </c>
      <c r="E587" s="53"/>
      <c r="F587" s="82">
        <f>IF(OR($A587="",$B587="",NOT(ISNUMBER($C587))),"",IF(ISNUMBER($E587),IF($E587&gt;0,EDATE($C587,$E587),""),IF(ISNUMBER($D587),EDATE($C587,$D587),"")))</f>
        <v/>
      </c>
      <c r="G587" s="83">
        <f>IF($F587="","",$F587-TODAY())</f>
        <v/>
      </c>
      <c r="H587" s="85">
        <f>IF(OR($A587="",$B587=""),"",IF($F587="","No date",IF($G587&lt;0,"Overdue",IF($G587&lt;=30,"Due &lt;=30",IF($G587&lt;=60,"Due 31-60","OK")))))</f>
        <v/>
      </c>
      <c r="I587" s="54"/>
      <c r="J587" s="54"/>
      <c r="K587" s="54"/>
      <c r="L587" s="54"/>
      <c r="M587" s="105">
        <f>IF($F587="","",$F587+ROW()/100000)</f>
        <v/>
      </c>
    </row>
    <row r="588" spans="1:13">
      <c r="A588" s="54"/>
      <c r="B588" s="54"/>
      <c r="C588" s="52"/>
      <c r="D588" s="83">
        <f>IF($B588="","",IFERROR(IF(VLOOKUP($B588,Reference!$A$6:$C$27,3,FALSE)&gt;0,VLOOKUP($B588,Reference!$A$6:$C$27,3,FALSE),""),""))</f>
        <v/>
      </c>
      <c r="E588" s="53"/>
      <c r="F588" s="82">
        <f>IF(OR($A588="",$B588="",NOT(ISNUMBER($C588))),"",IF(ISNUMBER($E588),IF($E588&gt;0,EDATE($C588,$E588),""),IF(ISNUMBER($D588),EDATE($C588,$D588),"")))</f>
        <v/>
      </c>
      <c r="G588" s="83">
        <f>IF($F588="","",$F588-TODAY())</f>
        <v/>
      </c>
      <c r="H588" s="85">
        <f>IF(OR($A588="",$B588=""),"",IF($F588="","No date",IF($G588&lt;0,"Overdue",IF($G588&lt;=30,"Due &lt;=30",IF($G588&lt;=60,"Due 31-60","OK")))))</f>
        <v/>
      </c>
      <c r="I588" s="54"/>
      <c r="J588" s="54"/>
      <c r="K588" s="54"/>
      <c r="L588" s="54"/>
      <c r="M588" s="105">
        <f>IF($F588="","",$F588+ROW()/100000)</f>
        <v/>
      </c>
    </row>
    <row r="589" spans="1:13">
      <c r="A589" s="54"/>
      <c r="B589" s="54"/>
      <c r="C589" s="52"/>
      <c r="D589" s="83">
        <f>IF($B589="","",IFERROR(IF(VLOOKUP($B589,Reference!$A$6:$C$27,3,FALSE)&gt;0,VLOOKUP($B589,Reference!$A$6:$C$27,3,FALSE),""),""))</f>
        <v/>
      </c>
      <c r="E589" s="53"/>
      <c r="F589" s="82">
        <f>IF(OR($A589="",$B589="",NOT(ISNUMBER($C589))),"",IF(ISNUMBER($E589),IF($E589&gt;0,EDATE($C589,$E589),""),IF(ISNUMBER($D589),EDATE($C589,$D589),"")))</f>
        <v/>
      </c>
      <c r="G589" s="83">
        <f>IF($F589="","",$F589-TODAY())</f>
        <v/>
      </c>
      <c r="H589" s="85">
        <f>IF(OR($A589="",$B589=""),"",IF($F589="","No date",IF($G589&lt;0,"Overdue",IF($G589&lt;=30,"Due &lt;=30",IF($G589&lt;=60,"Due 31-60","OK")))))</f>
        <v/>
      </c>
      <c r="I589" s="54"/>
      <c r="J589" s="54"/>
      <c r="K589" s="54"/>
      <c r="L589" s="54"/>
      <c r="M589" s="105">
        <f>IF($F589="","",$F589+ROW()/100000)</f>
        <v/>
      </c>
    </row>
    <row r="590" spans="1:13">
      <c r="A590" s="54"/>
      <c r="B590" s="54"/>
      <c r="C590" s="52"/>
      <c r="D590" s="83">
        <f>IF($B590="","",IFERROR(IF(VLOOKUP($B590,Reference!$A$6:$C$27,3,FALSE)&gt;0,VLOOKUP($B590,Reference!$A$6:$C$27,3,FALSE),""),""))</f>
        <v/>
      </c>
      <c r="E590" s="53"/>
      <c r="F590" s="82">
        <f>IF(OR($A590="",$B590="",NOT(ISNUMBER($C590))),"",IF(ISNUMBER($E590),IF($E590&gt;0,EDATE($C590,$E590),""),IF(ISNUMBER($D590),EDATE($C590,$D590),"")))</f>
        <v/>
      </c>
      <c r="G590" s="83">
        <f>IF($F590="","",$F590-TODAY())</f>
        <v/>
      </c>
      <c r="H590" s="85">
        <f>IF(OR($A590="",$B590=""),"",IF($F590="","No date",IF($G590&lt;0,"Overdue",IF($G590&lt;=30,"Due &lt;=30",IF($G590&lt;=60,"Due 31-60","OK")))))</f>
        <v/>
      </c>
      <c r="I590" s="54"/>
      <c r="J590" s="54"/>
      <c r="K590" s="54"/>
      <c r="L590" s="54"/>
      <c r="M590" s="105">
        <f>IF($F590="","",$F590+ROW()/100000)</f>
        <v/>
      </c>
    </row>
    <row r="591" spans="1:13">
      <c r="A591" s="54"/>
      <c r="B591" s="54"/>
      <c r="C591" s="52"/>
      <c r="D591" s="83">
        <f>IF($B591="","",IFERROR(IF(VLOOKUP($B591,Reference!$A$6:$C$27,3,FALSE)&gt;0,VLOOKUP($B591,Reference!$A$6:$C$27,3,FALSE),""),""))</f>
        <v/>
      </c>
      <c r="E591" s="53"/>
      <c r="F591" s="82">
        <f>IF(OR($A591="",$B591="",NOT(ISNUMBER($C591))),"",IF(ISNUMBER($E591),IF($E591&gt;0,EDATE($C591,$E591),""),IF(ISNUMBER($D591),EDATE($C591,$D591),"")))</f>
        <v/>
      </c>
      <c r="G591" s="83">
        <f>IF($F591="","",$F591-TODAY())</f>
        <v/>
      </c>
      <c r="H591" s="85">
        <f>IF(OR($A591="",$B591=""),"",IF($F591="","No date",IF($G591&lt;0,"Overdue",IF($G591&lt;=30,"Due &lt;=30",IF($G591&lt;=60,"Due 31-60","OK")))))</f>
        <v/>
      </c>
      <c r="I591" s="54"/>
      <c r="J591" s="54"/>
      <c r="K591" s="54"/>
      <c r="L591" s="54"/>
      <c r="M591" s="105">
        <f>IF($F591="","",$F591+ROW()/100000)</f>
        <v/>
      </c>
    </row>
    <row r="592" spans="1:13">
      <c r="A592" s="54"/>
      <c r="B592" s="54"/>
      <c r="C592" s="52"/>
      <c r="D592" s="83">
        <f>IF($B592="","",IFERROR(IF(VLOOKUP($B592,Reference!$A$6:$C$27,3,FALSE)&gt;0,VLOOKUP($B592,Reference!$A$6:$C$27,3,FALSE),""),""))</f>
        <v/>
      </c>
      <c r="E592" s="53"/>
      <c r="F592" s="82">
        <f>IF(OR($A592="",$B592="",NOT(ISNUMBER($C592))),"",IF(ISNUMBER($E592),IF($E592&gt;0,EDATE($C592,$E592),""),IF(ISNUMBER($D592),EDATE($C592,$D592),"")))</f>
        <v/>
      </c>
      <c r="G592" s="83">
        <f>IF($F592="","",$F592-TODAY())</f>
        <v/>
      </c>
      <c r="H592" s="85">
        <f>IF(OR($A592="",$B592=""),"",IF($F592="","No date",IF($G592&lt;0,"Overdue",IF($G592&lt;=30,"Due &lt;=30",IF($G592&lt;=60,"Due 31-60","OK")))))</f>
        <v/>
      </c>
      <c r="I592" s="54"/>
      <c r="J592" s="54"/>
      <c r="K592" s="54"/>
      <c r="L592" s="54"/>
      <c r="M592" s="105">
        <f>IF($F592="","",$F592+ROW()/100000)</f>
        <v/>
      </c>
    </row>
    <row r="593" spans="1:13">
      <c r="A593" s="54"/>
      <c r="B593" s="54"/>
      <c r="C593" s="52"/>
      <c r="D593" s="83">
        <f>IF($B593="","",IFERROR(IF(VLOOKUP($B593,Reference!$A$6:$C$27,3,FALSE)&gt;0,VLOOKUP($B593,Reference!$A$6:$C$27,3,FALSE),""),""))</f>
        <v/>
      </c>
      <c r="E593" s="53"/>
      <c r="F593" s="82">
        <f>IF(OR($A593="",$B593="",NOT(ISNUMBER($C593))),"",IF(ISNUMBER($E593),IF($E593&gt;0,EDATE($C593,$E593),""),IF(ISNUMBER($D593),EDATE($C593,$D593),"")))</f>
        <v/>
      </c>
      <c r="G593" s="83">
        <f>IF($F593="","",$F593-TODAY())</f>
        <v/>
      </c>
      <c r="H593" s="85">
        <f>IF(OR($A593="",$B593=""),"",IF($F593="","No date",IF($G593&lt;0,"Overdue",IF($G593&lt;=30,"Due &lt;=30",IF($G593&lt;=60,"Due 31-60","OK")))))</f>
        <v/>
      </c>
      <c r="I593" s="54"/>
      <c r="J593" s="54"/>
      <c r="K593" s="54"/>
      <c r="L593" s="54"/>
      <c r="M593" s="105">
        <f>IF($F593="","",$F593+ROW()/100000)</f>
        <v/>
      </c>
    </row>
    <row r="594" spans="1:13">
      <c r="A594" s="54"/>
      <c r="B594" s="54"/>
      <c r="C594" s="52"/>
      <c r="D594" s="83">
        <f>IF($B594="","",IFERROR(IF(VLOOKUP($B594,Reference!$A$6:$C$27,3,FALSE)&gt;0,VLOOKUP($B594,Reference!$A$6:$C$27,3,FALSE),""),""))</f>
        <v/>
      </c>
      <c r="E594" s="53"/>
      <c r="F594" s="82">
        <f>IF(OR($A594="",$B594="",NOT(ISNUMBER($C594))),"",IF(ISNUMBER($E594),IF($E594&gt;0,EDATE($C594,$E594),""),IF(ISNUMBER($D594),EDATE($C594,$D594),"")))</f>
        <v/>
      </c>
      <c r="G594" s="83">
        <f>IF($F594="","",$F594-TODAY())</f>
        <v/>
      </c>
      <c r="H594" s="85">
        <f>IF(OR($A594="",$B594=""),"",IF($F594="","No date",IF($G594&lt;0,"Overdue",IF($G594&lt;=30,"Due &lt;=30",IF($G594&lt;=60,"Due 31-60","OK")))))</f>
        <v/>
      </c>
      <c r="I594" s="54"/>
      <c r="J594" s="54"/>
      <c r="K594" s="54"/>
      <c r="L594" s="54"/>
      <c r="M594" s="105">
        <f>IF($F594="","",$F594+ROW()/100000)</f>
        <v/>
      </c>
    </row>
    <row r="595" spans="1:13">
      <c r="A595" s="54"/>
      <c r="B595" s="54"/>
      <c r="C595" s="52"/>
      <c r="D595" s="83">
        <f>IF($B595="","",IFERROR(IF(VLOOKUP($B595,Reference!$A$6:$C$27,3,FALSE)&gt;0,VLOOKUP($B595,Reference!$A$6:$C$27,3,FALSE),""),""))</f>
        <v/>
      </c>
      <c r="E595" s="53"/>
      <c r="F595" s="82">
        <f>IF(OR($A595="",$B595="",NOT(ISNUMBER($C595))),"",IF(ISNUMBER($E595),IF($E595&gt;0,EDATE($C595,$E595),""),IF(ISNUMBER($D595),EDATE($C595,$D595),"")))</f>
        <v/>
      </c>
      <c r="G595" s="83">
        <f>IF($F595="","",$F595-TODAY())</f>
        <v/>
      </c>
      <c r="H595" s="85">
        <f>IF(OR($A595="",$B595=""),"",IF($F595="","No date",IF($G595&lt;0,"Overdue",IF($G595&lt;=30,"Due &lt;=30",IF($G595&lt;=60,"Due 31-60","OK")))))</f>
        <v/>
      </c>
      <c r="I595" s="54"/>
      <c r="J595" s="54"/>
      <c r="K595" s="54"/>
      <c r="L595" s="54"/>
      <c r="M595" s="105">
        <f>IF($F595="","",$F595+ROW()/100000)</f>
        <v/>
      </c>
    </row>
    <row r="596" spans="1:13">
      <c r="A596" s="54"/>
      <c r="B596" s="54"/>
      <c r="C596" s="52"/>
      <c r="D596" s="83">
        <f>IF($B596="","",IFERROR(IF(VLOOKUP($B596,Reference!$A$6:$C$27,3,FALSE)&gt;0,VLOOKUP($B596,Reference!$A$6:$C$27,3,FALSE),""),""))</f>
        <v/>
      </c>
      <c r="E596" s="53"/>
      <c r="F596" s="82">
        <f>IF(OR($A596="",$B596="",NOT(ISNUMBER($C596))),"",IF(ISNUMBER($E596),IF($E596&gt;0,EDATE($C596,$E596),""),IF(ISNUMBER($D596),EDATE($C596,$D596),"")))</f>
        <v/>
      </c>
      <c r="G596" s="83">
        <f>IF($F596="","",$F596-TODAY())</f>
        <v/>
      </c>
      <c r="H596" s="85">
        <f>IF(OR($A596="",$B596=""),"",IF($F596="","No date",IF($G596&lt;0,"Overdue",IF($G596&lt;=30,"Due &lt;=30",IF($G596&lt;=60,"Due 31-60","OK")))))</f>
        <v/>
      </c>
      <c r="I596" s="54"/>
      <c r="J596" s="54"/>
      <c r="K596" s="54"/>
      <c r="L596" s="54"/>
      <c r="M596" s="105">
        <f>IF($F596="","",$F596+ROW()/100000)</f>
        <v/>
      </c>
    </row>
    <row r="597" spans="1:13">
      <c r="A597" s="54"/>
      <c r="B597" s="54"/>
      <c r="C597" s="52"/>
      <c r="D597" s="83">
        <f>IF($B597="","",IFERROR(IF(VLOOKUP($B597,Reference!$A$6:$C$27,3,FALSE)&gt;0,VLOOKUP($B597,Reference!$A$6:$C$27,3,FALSE),""),""))</f>
        <v/>
      </c>
      <c r="E597" s="53"/>
      <c r="F597" s="82">
        <f>IF(OR($A597="",$B597="",NOT(ISNUMBER($C597))),"",IF(ISNUMBER($E597),IF($E597&gt;0,EDATE($C597,$E597),""),IF(ISNUMBER($D597),EDATE($C597,$D597),"")))</f>
        <v/>
      </c>
      <c r="G597" s="83">
        <f>IF($F597="","",$F597-TODAY())</f>
        <v/>
      </c>
      <c r="H597" s="85">
        <f>IF(OR($A597="",$B597=""),"",IF($F597="","No date",IF($G597&lt;0,"Overdue",IF($G597&lt;=30,"Due &lt;=30",IF($G597&lt;=60,"Due 31-60","OK")))))</f>
        <v/>
      </c>
      <c r="I597" s="54"/>
      <c r="J597" s="54"/>
      <c r="K597" s="54"/>
      <c r="L597" s="54"/>
      <c r="M597" s="105">
        <f>IF($F597="","",$F597+ROW()/100000)</f>
        <v/>
      </c>
    </row>
    <row r="598" spans="1:13">
      <c r="A598" s="54"/>
      <c r="B598" s="54"/>
      <c r="C598" s="52"/>
      <c r="D598" s="83">
        <f>IF($B598="","",IFERROR(IF(VLOOKUP($B598,Reference!$A$6:$C$27,3,FALSE)&gt;0,VLOOKUP($B598,Reference!$A$6:$C$27,3,FALSE),""),""))</f>
        <v/>
      </c>
      <c r="E598" s="53"/>
      <c r="F598" s="82">
        <f>IF(OR($A598="",$B598="",NOT(ISNUMBER($C598))),"",IF(ISNUMBER($E598),IF($E598&gt;0,EDATE($C598,$E598),""),IF(ISNUMBER($D598),EDATE($C598,$D598),"")))</f>
        <v/>
      </c>
      <c r="G598" s="83">
        <f>IF($F598="","",$F598-TODAY())</f>
        <v/>
      </c>
      <c r="H598" s="85">
        <f>IF(OR($A598="",$B598=""),"",IF($F598="","No date",IF($G598&lt;0,"Overdue",IF($G598&lt;=30,"Due &lt;=30",IF($G598&lt;=60,"Due 31-60","OK")))))</f>
        <v/>
      </c>
      <c r="I598" s="54"/>
      <c r="J598" s="54"/>
      <c r="K598" s="54"/>
      <c r="L598" s="54"/>
      <c r="M598" s="105">
        <f>IF($F598="","",$F598+ROW()/100000)</f>
        <v/>
      </c>
    </row>
    <row r="599" spans="1:13">
      <c r="A599" s="54"/>
      <c r="B599" s="54"/>
      <c r="C599" s="52"/>
      <c r="D599" s="83">
        <f>IF($B599="","",IFERROR(IF(VLOOKUP($B599,Reference!$A$6:$C$27,3,FALSE)&gt;0,VLOOKUP($B599,Reference!$A$6:$C$27,3,FALSE),""),""))</f>
        <v/>
      </c>
      <c r="E599" s="53"/>
      <c r="F599" s="82">
        <f>IF(OR($A599="",$B599="",NOT(ISNUMBER($C599))),"",IF(ISNUMBER($E599),IF($E599&gt;0,EDATE($C599,$E599),""),IF(ISNUMBER($D599),EDATE($C599,$D599),"")))</f>
        <v/>
      </c>
      <c r="G599" s="83">
        <f>IF($F599="","",$F599-TODAY())</f>
        <v/>
      </c>
      <c r="H599" s="85">
        <f>IF(OR($A599="",$B599=""),"",IF($F599="","No date",IF($G599&lt;0,"Overdue",IF($G599&lt;=30,"Due &lt;=30",IF($G599&lt;=60,"Due 31-60","OK")))))</f>
        <v/>
      </c>
      <c r="I599" s="54"/>
      <c r="J599" s="54"/>
      <c r="K599" s="54"/>
      <c r="L599" s="54"/>
      <c r="M599" s="105">
        <f>IF($F599="","",$F599+ROW()/100000)</f>
        <v/>
      </c>
    </row>
    <row r="600" spans="1:13">
      <c r="A600" s="54"/>
      <c r="B600" s="54"/>
      <c r="C600" s="52"/>
      <c r="D600" s="83">
        <f>IF($B600="","",IFERROR(IF(VLOOKUP($B600,Reference!$A$6:$C$27,3,FALSE)&gt;0,VLOOKUP($B600,Reference!$A$6:$C$27,3,FALSE),""),""))</f>
        <v/>
      </c>
      <c r="E600" s="53"/>
      <c r="F600" s="82">
        <f>IF(OR($A600="",$B600="",NOT(ISNUMBER($C600))),"",IF(ISNUMBER($E600),IF($E600&gt;0,EDATE($C600,$E600),""),IF(ISNUMBER($D600),EDATE($C600,$D600),"")))</f>
        <v/>
      </c>
      <c r="G600" s="83">
        <f>IF($F600="","",$F600-TODAY())</f>
        <v/>
      </c>
      <c r="H600" s="85">
        <f>IF(OR($A600="",$B600=""),"",IF($F600="","No date",IF($G600&lt;0,"Overdue",IF($G600&lt;=30,"Due &lt;=30",IF($G600&lt;=60,"Due 31-60","OK")))))</f>
        <v/>
      </c>
      <c r="I600" s="54"/>
      <c r="J600" s="54"/>
      <c r="K600" s="54"/>
      <c r="L600" s="54"/>
      <c r="M600" s="105">
        <f>IF($F600="","",$F600+ROW()/100000)</f>
        <v/>
      </c>
    </row>
    <row r="601" spans="1:13">
      <c r="A601" s="54"/>
      <c r="B601" s="54"/>
      <c r="C601" s="52"/>
      <c r="D601" s="83">
        <f>IF($B601="","",IFERROR(IF(VLOOKUP($B601,Reference!$A$6:$C$27,3,FALSE)&gt;0,VLOOKUP($B601,Reference!$A$6:$C$27,3,FALSE),""),""))</f>
        <v/>
      </c>
      <c r="E601" s="53"/>
      <c r="F601" s="82">
        <f>IF(OR($A601="",$B601="",NOT(ISNUMBER($C601))),"",IF(ISNUMBER($E601),IF($E601&gt;0,EDATE($C601,$E601),""),IF(ISNUMBER($D601),EDATE($C601,$D601),"")))</f>
        <v/>
      </c>
      <c r="G601" s="83">
        <f>IF($F601="","",$F601-TODAY())</f>
        <v/>
      </c>
      <c r="H601" s="85">
        <f>IF(OR($A601="",$B601=""),"",IF($F601="","No date",IF($G601&lt;0,"Overdue",IF($G601&lt;=30,"Due &lt;=30",IF($G601&lt;=60,"Due 31-60","OK")))))</f>
        <v/>
      </c>
      <c r="I601" s="54"/>
      <c r="J601" s="54"/>
      <c r="K601" s="54"/>
      <c r="L601" s="54"/>
      <c r="M601" s="105">
        <f>IF($F601="","",$F601+ROW()/100000)</f>
        <v/>
      </c>
    </row>
    <row r="602" spans="1:13">
      <c r="A602" s="54"/>
      <c r="B602" s="54"/>
      <c r="C602" s="52"/>
      <c r="D602" s="83">
        <f>IF($B602="","",IFERROR(IF(VLOOKUP($B602,Reference!$A$6:$C$27,3,FALSE)&gt;0,VLOOKUP($B602,Reference!$A$6:$C$27,3,FALSE),""),""))</f>
        <v/>
      </c>
      <c r="E602" s="53"/>
      <c r="F602" s="82">
        <f>IF(OR($A602="",$B602="",NOT(ISNUMBER($C602))),"",IF(ISNUMBER($E602),IF($E602&gt;0,EDATE($C602,$E602),""),IF(ISNUMBER($D602),EDATE($C602,$D602),"")))</f>
        <v/>
      </c>
      <c r="G602" s="83">
        <f>IF($F602="","",$F602-TODAY())</f>
        <v/>
      </c>
      <c r="H602" s="85">
        <f>IF(OR($A602="",$B602=""),"",IF($F602="","No date",IF($G602&lt;0,"Overdue",IF($G602&lt;=30,"Due &lt;=30",IF($G602&lt;=60,"Due 31-60","OK")))))</f>
        <v/>
      </c>
      <c r="I602" s="54"/>
      <c r="J602" s="54"/>
      <c r="K602" s="54"/>
      <c r="L602" s="54"/>
      <c r="M602" s="105">
        <f>IF($F602="","",$F602+ROW()/100000)</f>
        <v/>
      </c>
    </row>
    <row r="603" spans="1:13">
      <c r="A603" s="54"/>
      <c r="B603" s="54"/>
      <c r="C603" s="52"/>
      <c r="D603" s="83">
        <f>IF($B603="","",IFERROR(IF(VLOOKUP($B603,Reference!$A$6:$C$27,3,FALSE)&gt;0,VLOOKUP($B603,Reference!$A$6:$C$27,3,FALSE),""),""))</f>
        <v/>
      </c>
      <c r="E603" s="53"/>
      <c r="F603" s="82">
        <f>IF(OR($A603="",$B603="",NOT(ISNUMBER($C603))),"",IF(ISNUMBER($E603),IF($E603&gt;0,EDATE($C603,$E603),""),IF(ISNUMBER($D603),EDATE($C603,$D603),"")))</f>
        <v/>
      </c>
      <c r="G603" s="83">
        <f>IF($F603="","",$F603-TODAY())</f>
        <v/>
      </c>
      <c r="H603" s="85">
        <f>IF(OR($A603="",$B603=""),"",IF($F603="","No date",IF($G603&lt;0,"Overdue",IF($G603&lt;=30,"Due &lt;=30",IF($G603&lt;=60,"Due 31-60","OK")))))</f>
        <v/>
      </c>
      <c r="I603" s="54"/>
      <c r="J603" s="54"/>
      <c r="K603" s="54"/>
      <c r="L603" s="54"/>
      <c r="M603" s="105">
        <f>IF($F603="","",$F603+ROW()/100000)</f>
        <v/>
      </c>
    </row>
    <row r="604" spans="1:13">
      <c r="A604" s="54"/>
      <c r="B604" s="54"/>
      <c r="C604" s="52"/>
      <c r="D604" s="83">
        <f>IF($B604="","",IFERROR(IF(VLOOKUP($B604,Reference!$A$6:$C$27,3,FALSE)&gt;0,VLOOKUP($B604,Reference!$A$6:$C$27,3,FALSE),""),""))</f>
        <v/>
      </c>
      <c r="E604" s="53"/>
      <c r="F604" s="82">
        <f>IF(OR($A604="",$B604="",NOT(ISNUMBER($C604))),"",IF(ISNUMBER($E604),IF($E604&gt;0,EDATE($C604,$E604),""),IF(ISNUMBER($D604),EDATE($C604,$D604),"")))</f>
        <v/>
      </c>
      <c r="G604" s="83">
        <f>IF($F604="","",$F604-TODAY())</f>
        <v/>
      </c>
      <c r="H604" s="85">
        <f>IF(OR($A604="",$B604=""),"",IF($F604="","No date",IF($G604&lt;0,"Overdue",IF($G604&lt;=30,"Due &lt;=30",IF($G604&lt;=60,"Due 31-60","OK")))))</f>
        <v/>
      </c>
      <c r="I604" s="54"/>
      <c r="J604" s="54"/>
      <c r="K604" s="54"/>
      <c r="L604" s="54"/>
      <c r="M604" s="105">
        <f>IF($F604="","",$F604+ROW()/100000)</f>
        <v/>
      </c>
    </row>
    <row r="605" spans="1:13">
      <c r="A605" s="54"/>
      <c r="B605" s="54"/>
      <c r="C605" s="52"/>
      <c r="D605" s="83">
        <f>IF($B605="","",IFERROR(IF(VLOOKUP($B605,Reference!$A$6:$C$27,3,FALSE)&gt;0,VLOOKUP($B605,Reference!$A$6:$C$27,3,FALSE),""),""))</f>
        <v/>
      </c>
      <c r="E605" s="53"/>
      <c r="F605" s="82">
        <f>IF(OR($A605="",$B605="",NOT(ISNUMBER($C605))),"",IF(ISNUMBER($E605),IF($E605&gt;0,EDATE($C605,$E605),""),IF(ISNUMBER($D605),EDATE($C605,$D605),"")))</f>
        <v/>
      </c>
      <c r="G605" s="83">
        <f>IF($F605="","",$F605-TODAY())</f>
        <v/>
      </c>
      <c r="H605" s="85">
        <f>IF(OR($A605="",$B605=""),"",IF($F605="","No date",IF($G605&lt;0,"Overdue",IF($G605&lt;=30,"Due &lt;=30",IF($G605&lt;=60,"Due 31-60","OK")))))</f>
        <v/>
      </c>
      <c r="I605" s="54"/>
      <c r="J605" s="54"/>
      <c r="K605" s="54"/>
      <c r="L605" s="54"/>
      <c r="M605" s="105">
        <f>IF($F605="","",$F605+ROW()/100000)</f>
        <v/>
      </c>
    </row>
    <row r="606" spans="1:13">
      <c r="A606" s="54"/>
      <c r="B606" s="54"/>
      <c r="C606" s="52"/>
      <c r="D606" s="83">
        <f>IF($B606="","",IFERROR(IF(VLOOKUP($B606,Reference!$A$6:$C$27,3,FALSE)&gt;0,VLOOKUP($B606,Reference!$A$6:$C$27,3,FALSE),""),""))</f>
        <v/>
      </c>
      <c r="E606" s="53"/>
      <c r="F606" s="82">
        <f>IF(OR($A606="",$B606="",NOT(ISNUMBER($C606))),"",IF(ISNUMBER($E606),IF($E606&gt;0,EDATE($C606,$E606),""),IF(ISNUMBER($D606),EDATE($C606,$D606),"")))</f>
        <v/>
      </c>
      <c r="G606" s="83">
        <f>IF($F606="","",$F606-TODAY())</f>
        <v/>
      </c>
      <c r="H606" s="85">
        <f>IF(OR($A606="",$B606=""),"",IF($F606="","No date",IF($G606&lt;0,"Overdue",IF($G606&lt;=30,"Due &lt;=30",IF($G606&lt;=60,"Due 31-60","OK")))))</f>
        <v/>
      </c>
      <c r="I606" s="54"/>
      <c r="J606" s="54"/>
      <c r="K606" s="54"/>
      <c r="L606" s="54"/>
      <c r="M606" s="105">
        <f>IF($F606="","",$F606+ROW()/100000)</f>
        <v/>
      </c>
    </row>
    <row r="607" spans="1:13">
      <c r="A607" s="54"/>
      <c r="B607" s="54"/>
      <c r="C607" s="52"/>
      <c r="D607" s="83">
        <f>IF($B607="","",IFERROR(IF(VLOOKUP($B607,Reference!$A$6:$C$27,3,FALSE)&gt;0,VLOOKUP($B607,Reference!$A$6:$C$27,3,FALSE),""),""))</f>
        <v/>
      </c>
      <c r="E607" s="53"/>
      <c r="F607" s="82">
        <f>IF(OR($A607="",$B607="",NOT(ISNUMBER($C607))),"",IF(ISNUMBER($E607),IF($E607&gt;0,EDATE($C607,$E607),""),IF(ISNUMBER($D607),EDATE($C607,$D607),"")))</f>
        <v/>
      </c>
      <c r="G607" s="83">
        <f>IF($F607="","",$F607-TODAY())</f>
        <v/>
      </c>
      <c r="H607" s="85">
        <f>IF(OR($A607="",$B607=""),"",IF($F607="","No date",IF($G607&lt;0,"Overdue",IF($G607&lt;=30,"Due &lt;=30",IF($G607&lt;=60,"Due 31-60","OK")))))</f>
        <v/>
      </c>
      <c r="I607" s="54"/>
      <c r="J607" s="54"/>
      <c r="K607" s="54"/>
      <c r="L607" s="54"/>
      <c r="M607" s="105">
        <f>IF($F607="","",$F607+ROW()/100000)</f>
        <v/>
      </c>
    </row>
    <row r="608" spans="1:13">
      <c r="A608" s="54"/>
      <c r="B608" s="54"/>
      <c r="C608" s="52"/>
      <c r="D608" s="83">
        <f>IF($B608="","",IFERROR(IF(VLOOKUP($B608,Reference!$A$6:$C$27,3,FALSE)&gt;0,VLOOKUP($B608,Reference!$A$6:$C$27,3,FALSE),""),""))</f>
        <v/>
      </c>
      <c r="E608" s="53"/>
      <c r="F608" s="82">
        <f>IF(OR($A608="",$B608="",NOT(ISNUMBER($C608))),"",IF(ISNUMBER($E608),IF($E608&gt;0,EDATE($C608,$E608),""),IF(ISNUMBER($D608),EDATE($C608,$D608),"")))</f>
        <v/>
      </c>
      <c r="G608" s="83">
        <f>IF($F608="","",$F608-TODAY())</f>
        <v/>
      </c>
      <c r="H608" s="85">
        <f>IF(OR($A608="",$B608=""),"",IF($F608="","No date",IF($G608&lt;0,"Overdue",IF($G608&lt;=30,"Due &lt;=30",IF($G608&lt;=60,"Due 31-60","OK")))))</f>
        <v/>
      </c>
      <c r="I608" s="54"/>
      <c r="J608" s="54"/>
      <c r="K608" s="54"/>
      <c r="L608" s="54"/>
      <c r="M608" s="105">
        <f>IF($F608="","",$F608+ROW()/100000)</f>
        <v/>
      </c>
    </row>
    <row r="609" spans="1:13">
      <c r="A609" s="54"/>
      <c r="B609" s="54"/>
      <c r="C609" s="52"/>
      <c r="D609" s="83">
        <f>IF($B609="","",IFERROR(IF(VLOOKUP($B609,Reference!$A$6:$C$27,3,FALSE)&gt;0,VLOOKUP($B609,Reference!$A$6:$C$27,3,FALSE),""),""))</f>
        <v/>
      </c>
      <c r="E609" s="53"/>
      <c r="F609" s="82">
        <f>IF(OR($A609="",$B609="",NOT(ISNUMBER($C609))),"",IF(ISNUMBER($E609),IF($E609&gt;0,EDATE($C609,$E609),""),IF(ISNUMBER($D609),EDATE($C609,$D609),"")))</f>
        <v/>
      </c>
      <c r="G609" s="83">
        <f>IF($F609="","",$F609-TODAY())</f>
        <v/>
      </c>
      <c r="H609" s="85">
        <f>IF(OR($A609="",$B609=""),"",IF($F609="","No date",IF($G609&lt;0,"Overdue",IF($G609&lt;=30,"Due &lt;=30",IF($G609&lt;=60,"Due 31-60","OK")))))</f>
        <v/>
      </c>
      <c r="I609" s="54"/>
      <c r="J609" s="54"/>
      <c r="K609" s="54"/>
      <c r="L609" s="54"/>
      <c r="M609" s="105">
        <f>IF($F609="","",$F609+ROW()/100000)</f>
        <v/>
      </c>
    </row>
    <row r="610" spans="1:13">
      <c r="A610" s="54"/>
      <c r="B610" s="54"/>
      <c r="C610" s="52"/>
      <c r="D610" s="83">
        <f>IF($B610="","",IFERROR(IF(VLOOKUP($B610,Reference!$A$6:$C$27,3,FALSE)&gt;0,VLOOKUP($B610,Reference!$A$6:$C$27,3,FALSE),""),""))</f>
        <v/>
      </c>
      <c r="E610" s="53"/>
      <c r="F610" s="82">
        <f>IF(OR($A610="",$B610="",NOT(ISNUMBER($C610))),"",IF(ISNUMBER($E610),IF($E610&gt;0,EDATE($C610,$E610),""),IF(ISNUMBER($D610),EDATE($C610,$D610),"")))</f>
        <v/>
      </c>
      <c r="G610" s="83">
        <f>IF($F610="","",$F610-TODAY())</f>
        <v/>
      </c>
      <c r="H610" s="85">
        <f>IF(OR($A610="",$B610=""),"",IF($F610="","No date",IF($G610&lt;0,"Overdue",IF($G610&lt;=30,"Due &lt;=30",IF($G610&lt;=60,"Due 31-60","OK")))))</f>
        <v/>
      </c>
      <c r="I610" s="54"/>
      <c r="J610" s="54"/>
      <c r="K610" s="54"/>
      <c r="L610" s="54"/>
      <c r="M610" s="105">
        <f>IF($F610="","",$F610+ROW()/100000)</f>
        <v/>
      </c>
    </row>
    <row r="611" spans="1:13">
      <c r="A611" s="54"/>
      <c r="B611" s="54"/>
      <c r="C611" s="52"/>
      <c r="D611" s="83">
        <f>IF($B611="","",IFERROR(IF(VLOOKUP($B611,Reference!$A$6:$C$27,3,FALSE)&gt;0,VLOOKUP($B611,Reference!$A$6:$C$27,3,FALSE),""),""))</f>
        <v/>
      </c>
      <c r="E611" s="53"/>
      <c r="F611" s="82">
        <f>IF(OR($A611="",$B611="",NOT(ISNUMBER($C611))),"",IF(ISNUMBER($E611),IF($E611&gt;0,EDATE($C611,$E611),""),IF(ISNUMBER($D611),EDATE($C611,$D611),"")))</f>
        <v/>
      </c>
      <c r="G611" s="83">
        <f>IF($F611="","",$F611-TODAY())</f>
        <v/>
      </c>
      <c r="H611" s="85">
        <f>IF(OR($A611="",$B611=""),"",IF($F611="","No date",IF($G611&lt;0,"Overdue",IF($G611&lt;=30,"Due &lt;=30",IF($G611&lt;=60,"Due 31-60","OK")))))</f>
        <v/>
      </c>
      <c r="I611" s="54"/>
      <c r="J611" s="54"/>
      <c r="K611" s="54"/>
      <c r="L611" s="54"/>
      <c r="M611" s="105">
        <f>IF($F611="","",$F611+ROW()/100000)</f>
        <v/>
      </c>
    </row>
    <row r="612" spans="1:13">
      <c r="A612" s="54"/>
      <c r="B612" s="54"/>
      <c r="C612" s="52"/>
      <c r="D612" s="83">
        <f>IF($B612="","",IFERROR(IF(VLOOKUP($B612,Reference!$A$6:$C$27,3,FALSE)&gt;0,VLOOKUP($B612,Reference!$A$6:$C$27,3,FALSE),""),""))</f>
        <v/>
      </c>
      <c r="E612" s="53"/>
      <c r="F612" s="82">
        <f>IF(OR($A612="",$B612="",NOT(ISNUMBER($C612))),"",IF(ISNUMBER($E612),IF($E612&gt;0,EDATE($C612,$E612),""),IF(ISNUMBER($D612),EDATE($C612,$D612),"")))</f>
        <v/>
      </c>
      <c r="G612" s="83">
        <f>IF($F612="","",$F612-TODAY())</f>
        <v/>
      </c>
      <c r="H612" s="85">
        <f>IF(OR($A612="",$B612=""),"",IF($F612="","No date",IF($G612&lt;0,"Overdue",IF($G612&lt;=30,"Due &lt;=30",IF($G612&lt;=60,"Due 31-60","OK")))))</f>
        <v/>
      </c>
      <c r="I612" s="54"/>
      <c r="J612" s="54"/>
      <c r="K612" s="54"/>
      <c r="L612" s="54"/>
      <c r="M612" s="105">
        <f>IF($F612="","",$F612+ROW()/100000)</f>
        <v/>
      </c>
    </row>
    <row r="613" spans="1:13">
      <c r="A613" s="54"/>
      <c r="B613" s="54"/>
      <c r="C613" s="52"/>
      <c r="D613" s="83">
        <f>IF($B613="","",IFERROR(IF(VLOOKUP($B613,Reference!$A$6:$C$27,3,FALSE)&gt;0,VLOOKUP($B613,Reference!$A$6:$C$27,3,FALSE),""),""))</f>
        <v/>
      </c>
      <c r="E613" s="53"/>
      <c r="F613" s="82">
        <f>IF(OR($A613="",$B613="",NOT(ISNUMBER($C613))),"",IF(ISNUMBER($E613),IF($E613&gt;0,EDATE($C613,$E613),""),IF(ISNUMBER($D613),EDATE($C613,$D613),"")))</f>
        <v/>
      </c>
      <c r="G613" s="83">
        <f>IF($F613="","",$F613-TODAY())</f>
        <v/>
      </c>
      <c r="H613" s="85">
        <f>IF(OR($A613="",$B613=""),"",IF($F613="","No date",IF($G613&lt;0,"Overdue",IF($G613&lt;=30,"Due &lt;=30",IF($G613&lt;=60,"Due 31-60","OK")))))</f>
        <v/>
      </c>
      <c r="I613" s="54"/>
      <c r="J613" s="54"/>
      <c r="K613" s="54"/>
      <c r="L613" s="54"/>
      <c r="M613" s="105">
        <f>IF($F613="","",$F613+ROW()/100000)</f>
        <v/>
      </c>
    </row>
    <row r="614" spans="1:13">
      <c r="A614" s="54"/>
      <c r="B614" s="54"/>
      <c r="C614" s="52"/>
      <c r="D614" s="83">
        <f>IF($B614="","",IFERROR(IF(VLOOKUP($B614,Reference!$A$6:$C$27,3,FALSE)&gt;0,VLOOKUP($B614,Reference!$A$6:$C$27,3,FALSE),""),""))</f>
        <v/>
      </c>
      <c r="E614" s="53"/>
      <c r="F614" s="82">
        <f>IF(OR($A614="",$B614="",NOT(ISNUMBER($C614))),"",IF(ISNUMBER($E614),IF($E614&gt;0,EDATE($C614,$E614),""),IF(ISNUMBER($D614),EDATE($C614,$D614),"")))</f>
        <v/>
      </c>
      <c r="G614" s="83">
        <f>IF($F614="","",$F614-TODAY())</f>
        <v/>
      </c>
      <c r="H614" s="85">
        <f>IF(OR($A614="",$B614=""),"",IF($F614="","No date",IF($G614&lt;0,"Overdue",IF($G614&lt;=30,"Due &lt;=30",IF($G614&lt;=60,"Due 31-60","OK")))))</f>
        <v/>
      </c>
      <c r="I614" s="54"/>
      <c r="J614" s="54"/>
      <c r="K614" s="54"/>
      <c r="L614" s="54"/>
      <c r="M614" s="105">
        <f>IF($F614="","",$F614+ROW()/100000)</f>
        <v/>
      </c>
    </row>
    <row r="615" spans="1:13">
      <c r="A615" s="54"/>
      <c r="B615" s="54"/>
      <c r="C615" s="52"/>
      <c r="D615" s="83">
        <f>IF($B615="","",IFERROR(IF(VLOOKUP($B615,Reference!$A$6:$C$27,3,FALSE)&gt;0,VLOOKUP($B615,Reference!$A$6:$C$27,3,FALSE),""),""))</f>
        <v/>
      </c>
      <c r="E615" s="53"/>
      <c r="F615" s="82">
        <f>IF(OR($A615="",$B615="",NOT(ISNUMBER($C615))),"",IF(ISNUMBER($E615),IF($E615&gt;0,EDATE($C615,$E615),""),IF(ISNUMBER($D615),EDATE($C615,$D615),"")))</f>
        <v/>
      </c>
      <c r="G615" s="83">
        <f>IF($F615="","",$F615-TODAY())</f>
        <v/>
      </c>
      <c r="H615" s="85">
        <f>IF(OR($A615="",$B615=""),"",IF($F615="","No date",IF($G615&lt;0,"Overdue",IF($G615&lt;=30,"Due &lt;=30",IF($G615&lt;=60,"Due 31-60","OK")))))</f>
        <v/>
      </c>
      <c r="I615" s="54"/>
      <c r="J615" s="54"/>
      <c r="K615" s="54"/>
      <c r="L615" s="54"/>
      <c r="M615" s="105">
        <f>IF($F615="","",$F615+ROW()/100000)</f>
        <v/>
      </c>
    </row>
    <row r="616" spans="1:13">
      <c r="A616" s="54"/>
      <c r="B616" s="54"/>
      <c r="C616" s="52"/>
      <c r="D616" s="83">
        <f>IF($B616="","",IFERROR(IF(VLOOKUP($B616,Reference!$A$6:$C$27,3,FALSE)&gt;0,VLOOKUP($B616,Reference!$A$6:$C$27,3,FALSE),""),""))</f>
        <v/>
      </c>
      <c r="E616" s="53"/>
      <c r="F616" s="82">
        <f>IF(OR($A616="",$B616="",NOT(ISNUMBER($C616))),"",IF(ISNUMBER($E616),IF($E616&gt;0,EDATE($C616,$E616),""),IF(ISNUMBER($D616),EDATE($C616,$D616),"")))</f>
        <v/>
      </c>
      <c r="G616" s="83">
        <f>IF($F616="","",$F616-TODAY())</f>
        <v/>
      </c>
      <c r="H616" s="85">
        <f>IF(OR($A616="",$B616=""),"",IF($F616="","No date",IF($G616&lt;0,"Overdue",IF($G616&lt;=30,"Due &lt;=30",IF($G616&lt;=60,"Due 31-60","OK")))))</f>
        <v/>
      </c>
      <c r="I616" s="54"/>
      <c r="J616" s="54"/>
      <c r="K616" s="54"/>
      <c r="L616" s="54"/>
      <c r="M616" s="105">
        <f>IF($F616="","",$F616+ROW()/100000)</f>
        <v/>
      </c>
    </row>
    <row r="617" spans="1:13">
      <c r="A617" s="54"/>
      <c r="B617" s="54"/>
      <c r="C617" s="52"/>
      <c r="D617" s="83">
        <f>IF($B617="","",IFERROR(IF(VLOOKUP($B617,Reference!$A$6:$C$27,3,FALSE)&gt;0,VLOOKUP($B617,Reference!$A$6:$C$27,3,FALSE),""),""))</f>
        <v/>
      </c>
      <c r="E617" s="53"/>
      <c r="F617" s="82">
        <f>IF(OR($A617="",$B617="",NOT(ISNUMBER($C617))),"",IF(ISNUMBER($E617),IF($E617&gt;0,EDATE($C617,$E617),""),IF(ISNUMBER($D617),EDATE($C617,$D617),"")))</f>
        <v/>
      </c>
      <c r="G617" s="83">
        <f>IF($F617="","",$F617-TODAY())</f>
        <v/>
      </c>
      <c r="H617" s="85">
        <f>IF(OR($A617="",$B617=""),"",IF($F617="","No date",IF($G617&lt;0,"Overdue",IF($G617&lt;=30,"Due &lt;=30",IF($G617&lt;=60,"Due 31-60","OK")))))</f>
        <v/>
      </c>
      <c r="I617" s="54"/>
      <c r="J617" s="54"/>
      <c r="K617" s="54"/>
      <c r="L617" s="54"/>
      <c r="M617" s="105">
        <f>IF($F617="","",$F617+ROW()/100000)</f>
        <v/>
      </c>
    </row>
    <row r="618" spans="1:13">
      <c r="A618" s="54"/>
      <c r="B618" s="54"/>
      <c r="C618" s="52"/>
      <c r="D618" s="83">
        <f>IF($B618="","",IFERROR(IF(VLOOKUP($B618,Reference!$A$6:$C$27,3,FALSE)&gt;0,VLOOKUP($B618,Reference!$A$6:$C$27,3,FALSE),""),""))</f>
        <v/>
      </c>
      <c r="E618" s="53"/>
      <c r="F618" s="82">
        <f>IF(OR($A618="",$B618="",NOT(ISNUMBER($C618))),"",IF(ISNUMBER($E618),IF($E618&gt;0,EDATE($C618,$E618),""),IF(ISNUMBER($D618),EDATE($C618,$D618),"")))</f>
        <v/>
      </c>
      <c r="G618" s="83">
        <f>IF($F618="","",$F618-TODAY())</f>
        <v/>
      </c>
      <c r="H618" s="85">
        <f>IF(OR($A618="",$B618=""),"",IF($F618="","No date",IF($G618&lt;0,"Overdue",IF($G618&lt;=30,"Due &lt;=30",IF($G618&lt;=60,"Due 31-60","OK")))))</f>
        <v/>
      </c>
      <c r="I618" s="54"/>
      <c r="J618" s="54"/>
      <c r="K618" s="54"/>
      <c r="L618" s="54"/>
      <c r="M618" s="105">
        <f>IF($F618="","",$F618+ROW()/100000)</f>
        <v/>
      </c>
    </row>
    <row r="619" spans="1:13">
      <c r="A619" s="54"/>
      <c r="B619" s="54"/>
      <c r="C619" s="52"/>
      <c r="D619" s="83">
        <f>IF($B619="","",IFERROR(IF(VLOOKUP($B619,Reference!$A$6:$C$27,3,FALSE)&gt;0,VLOOKUP($B619,Reference!$A$6:$C$27,3,FALSE),""),""))</f>
        <v/>
      </c>
      <c r="E619" s="53"/>
      <c r="F619" s="82">
        <f>IF(OR($A619="",$B619="",NOT(ISNUMBER($C619))),"",IF(ISNUMBER($E619),IF($E619&gt;0,EDATE($C619,$E619),""),IF(ISNUMBER($D619),EDATE($C619,$D619),"")))</f>
        <v/>
      </c>
      <c r="G619" s="83">
        <f>IF($F619="","",$F619-TODAY())</f>
        <v/>
      </c>
      <c r="H619" s="85">
        <f>IF(OR($A619="",$B619=""),"",IF($F619="","No date",IF($G619&lt;0,"Overdue",IF($G619&lt;=30,"Due &lt;=30",IF($G619&lt;=60,"Due 31-60","OK")))))</f>
        <v/>
      </c>
      <c r="I619" s="54"/>
      <c r="J619" s="54"/>
      <c r="K619" s="54"/>
      <c r="L619" s="54"/>
      <c r="M619" s="105">
        <f>IF($F619="","",$F619+ROW()/100000)</f>
        <v/>
      </c>
    </row>
    <row r="620" spans="1:13">
      <c r="A620" s="54"/>
      <c r="B620" s="54"/>
      <c r="C620" s="52"/>
      <c r="D620" s="83">
        <f>IF($B620="","",IFERROR(IF(VLOOKUP($B620,Reference!$A$6:$C$27,3,FALSE)&gt;0,VLOOKUP($B620,Reference!$A$6:$C$27,3,FALSE),""),""))</f>
        <v/>
      </c>
      <c r="E620" s="53"/>
      <c r="F620" s="82">
        <f>IF(OR($A620="",$B620="",NOT(ISNUMBER($C620))),"",IF(ISNUMBER($E620),IF($E620&gt;0,EDATE($C620,$E620),""),IF(ISNUMBER($D620),EDATE($C620,$D620),"")))</f>
        <v/>
      </c>
      <c r="G620" s="83">
        <f>IF($F620="","",$F620-TODAY())</f>
        <v/>
      </c>
      <c r="H620" s="85">
        <f>IF(OR($A620="",$B620=""),"",IF($F620="","No date",IF($G620&lt;0,"Overdue",IF($G620&lt;=30,"Due &lt;=30",IF($G620&lt;=60,"Due 31-60","OK")))))</f>
        <v/>
      </c>
      <c r="I620" s="54"/>
      <c r="J620" s="54"/>
      <c r="K620" s="54"/>
      <c r="L620" s="54"/>
      <c r="M620" s="105">
        <f>IF($F620="","",$F620+ROW()/100000)</f>
        <v/>
      </c>
    </row>
    <row r="621" spans="1:13">
      <c r="A621" s="54"/>
      <c r="B621" s="54"/>
      <c r="C621" s="52"/>
      <c r="D621" s="83">
        <f>IF($B621="","",IFERROR(IF(VLOOKUP($B621,Reference!$A$6:$C$27,3,FALSE)&gt;0,VLOOKUP($B621,Reference!$A$6:$C$27,3,FALSE),""),""))</f>
        <v/>
      </c>
      <c r="E621" s="53"/>
      <c r="F621" s="82">
        <f>IF(OR($A621="",$B621="",NOT(ISNUMBER($C621))),"",IF(ISNUMBER($E621),IF($E621&gt;0,EDATE($C621,$E621),""),IF(ISNUMBER($D621),EDATE($C621,$D621),"")))</f>
        <v/>
      </c>
      <c r="G621" s="83">
        <f>IF($F621="","",$F621-TODAY())</f>
        <v/>
      </c>
      <c r="H621" s="85">
        <f>IF(OR($A621="",$B621=""),"",IF($F621="","No date",IF($G621&lt;0,"Overdue",IF($G621&lt;=30,"Due &lt;=30",IF($G621&lt;=60,"Due 31-60","OK")))))</f>
        <v/>
      </c>
      <c r="I621" s="54"/>
      <c r="J621" s="54"/>
      <c r="K621" s="54"/>
      <c r="L621" s="54"/>
      <c r="M621" s="105">
        <f>IF($F621="","",$F621+ROW()/100000)</f>
        <v/>
      </c>
    </row>
    <row r="622" spans="1:13">
      <c r="A622" s="54"/>
      <c r="B622" s="54"/>
      <c r="C622" s="52"/>
      <c r="D622" s="83">
        <f>IF($B622="","",IFERROR(IF(VLOOKUP($B622,Reference!$A$6:$C$27,3,FALSE)&gt;0,VLOOKUP($B622,Reference!$A$6:$C$27,3,FALSE),""),""))</f>
        <v/>
      </c>
      <c r="E622" s="53"/>
      <c r="F622" s="82">
        <f>IF(OR($A622="",$B622="",NOT(ISNUMBER($C622))),"",IF(ISNUMBER($E622),IF($E622&gt;0,EDATE($C622,$E622),""),IF(ISNUMBER($D622),EDATE($C622,$D622),"")))</f>
        <v/>
      </c>
      <c r="G622" s="83">
        <f>IF($F622="","",$F622-TODAY())</f>
        <v/>
      </c>
      <c r="H622" s="85">
        <f>IF(OR($A622="",$B622=""),"",IF($F622="","No date",IF($G622&lt;0,"Overdue",IF($G622&lt;=30,"Due &lt;=30",IF($G622&lt;=60,"Due 31-60","OK")))))</f>
        <v/>
      </c>
      <c r="I622" s="54"/>
      <c r="J622" s="54"/>
      <c r="K622" s="54"/>
      <c r="L622" s="54"/>
      <c r="M622" s="105">
        <f>IF($F622="","",$F622+ROW()/100000)</f>
        <v/>
      </c>
    </row>
    <row r="623" spans="1:13">
      <c r="A623" s="54"/>
      <c r="B623" s="54"/>
      <c r="C623" s="52"/>
      <c r="D623" s="83">
        <f>IF($B623="","",IFERROR(IF(VLOOKUP($B623,Reference!$A$6:$C$27,3,FALSE)&gt;0,VLOOKUP($B623,Reference!$A$6:$C$27,3,FALSE),""),""))</f>
        <v/>
      </c>
      <c r="E623" s="53"/>
      <c r="F623" s="82">
        <f>IF(OR($A623="",$B623="",NOT(ISNUMBER($C623))),"",IF(ISNUMBER($E623),IF($E623&gt;0,EDATE($C623,$E623),""),IF(ISNUMBER($D623),EDATE($C623,$D623),"")))</f>
        <v/>
      </c>
      <c r="G623" s="83">
        <f>IF($F623="","",$F623-TODAY())</f>
        <v/>
      </c>
      <c r="H623" s="85">
        <f>IF(OR($A623="",$B623=""),"",IF($F623="","No date",IF($G623&lt;0,"Overdue",IF($G623&lt;=30,"Due &lt;=30",IF($G623&lt;=60,"Due 31-60","OK")))))</f>
        <v/>
      </c>
      <c r="I623" s="54"/>
      <c r="J623" s="54"/>
      <c r="K623" s="54"/>
      <c r="L623" s="54"/>
      <c r="M623" s="105">
        <f>IF($F623="","",$F623+ROW()/100000)</f>
        <v/>
      </c>
    </row>
    <row r="624" spans="1:13">
      <c r="A624" s="54"/>
      <c r="B624" s="54"/>
      <c r="C624" s="52"/>
      <c r="D624" s="83">
        <f>IF($B624="","",IFERROR(IF(VLOOKUP($B624,Reference!$A$6:$C$27,3,FALSE)&gt;0,VLOOKUP($B624,Reference!$A$6:$C$27,3,FALSE),""),""))</f>
        <v/>
      </c>
      <c r="E624" s="53"/>
      <c r="F624" s="82">
        <f>IF(OR($A624="",$B624="",NOT(ISNUMBER($C624))),"",IF(ISNUMBER($E624),IF($E624&gt;0,EDATE($C624,$E624),""),IF(ISNUMBER($D624),EDATE($C624,$D624),"")))</f>
        <v/>
      </c>
      <c r="G624" s="83">
        <f>IF($F624="","",$F624-TODAY())</f>
        <v/>
      </c>
      <c r="H624" s="85">
        <f>IF(OR($A624="",$B624=""),"",IF($F624="","No date",IF($G624&lt;0,"Overdue",IF($G624&lt;=30,"Due &lt;=30",IF($G624&lt;=60,"Due 31-60","OK")))))</f>
        <v/>
      </c>
      <c r="I624" s="54"/>
      <c r="J624" s="54"/>
      <c r="K624" s="54"/>
      <c r="L624" s="54"/>
      <c r="M624" s="105">
        <f>IF($F624="","",$F624+ROW()/100000)</f>
        <v/>
      </c>
    </row>
    <row r="625" spans="1:13">
      <c r="A625" s="54"/>
      <c r="B625" s="54"/>
      <c r="C625" s="52"/>
      <c r="D625" s="83">
        <f>IF($B625="","",IFERROR(IF(VLOOKUP($B625,Reference!$A$6:$C$27,3,FALSE)&gt;0,VLOOKUP($B625,Reference!$A$6:$C$27,3,FALSE),""),""))</f>
        <v/>
      </c>
      <c r="E625" s="53"/>
      <c r="F625" s="82">
        <f>IF(OR($A625="",$B625="",NOT(ISNUMBER($C625))),"",IF(ISNUMBER($E625),IF($E625&gt;0,EDATE($C625,$E625),""),IF(ISNUMBER($D625),EDATE($C625,$D625),"")))</f>
        <v/>
      </c>
      <c r="G625" s="83">
        <f>IF($F625="","",$F625-TODAY())</f>
        <v/>
      </c>
      <c r="H625" s="85">
        <f>IF(OR($A625="",$B625=""),"",IF($F625="","No date",IF($G625&lt;0,"Overdue",IF($G625&lt;=30,"Due &lt;=30",IF($G625&lt;=60,"Due 31-60","OK")))))</f>
        <v/>
      </c>
      <c r="I625" s="54"/>
      <c r="J625" s="54"/>
      <c r="K625" s="54"/>
      <c r="L625" s="54"/>
      <c r="M625" s="105">
        <f>IF($F625="","",$F625+ROW()/100000)</f>
        <v/>
      </c>
    </row>
    <row r="626" spans="1:13">
      <c r="A626" s="54"/>
      <c r="B626" s="54"/>
      <c r="C626" s="52"/>
      <c r="D626" s="83">
        <f>IF($B626="","",IFERROR(IF(VLOOKUP($B626,Reference!$A$6:$C$27,3,FALSE)&gt;0,VLOOKUP($B626,Reference!$A$6:$C$27,3,FALSE),""),""))</f>
        <v/>
      </c>
      <c r="E626" s="53"/>
      <c r="F626" s="82">
        <f>IF(OR($A626="",$B626="",NOT(ISNUMBER($C626))),"",IF(ISNUMBER($E626),IF($E626&gt;0,EDATE($C626,$E626),""),IF(ISNUMBER($D626),EDATE($C626,$D626),"")))</f>
        <v/>
      </c>
      <c r="G626" s="83">
        <f>IF($F626="","",$F626-TODAY())</f>
        <v/>
      </c>
      <c r="H626" s="85">
        <f>IF(OR($A626="",$B626=""),"",IF($F626="","No date",IF($G626&lt;0,"Overdue",IF($G626&lt;=30,"Due &lt;=30",IF($G626&lt;=60,"Due 31-60","OK")))))</f>
        <v/>
      </c>
      <c r="I626" s="54"/>
      <c r="J626" s="54"/>
      <c r="K626" s="54"/>
      <c r="L626" s="54"/>
      <c r="M626" s="105">
        <f>IF($F626="","",$F626+ROW()/100000)</f>
        <v/>
      </c>
    </row>
    <row r="627" spans="1:13">
      <c r="A627" s="54"/>
      <c r="B627" s="54"/>
      <c r="C627" s="52"/>
      <c r="D627" s="83">
        <f>IF($B627="","",IFERROR(IF(VLOOKUP($B627,Reference!$A$6:$C$27,3,FALSE)&gt;0,VLOOKUP($B627,Reference!$A$6:$C$27,3,FALSE),""),""))</f>
        <v/>
      </c>
      <c r="E627" s="53"/>
      <c r="F627" s="82">
        <f>IF(OR($A627="",$B627="",NOT(ISNUMBER($C627))),"",IF(ISNUMBER($E627),IF($E627&gt;0,EDATE($C627,$E627),""),IF(ISNUMBER($D627),EDATE($C627,$D627),"")))</f>
        <v/>
      </c>
      <c r="G627" s="83">
        <f>IF($F627="","",$F627-TODAY())</f>
        <v/>
      </c>
      <c r="H627" s="85">
        <f>IF(OR($A627="",$B627=""),"",IF($F627="","No date",IF($G627&lt;0,"Overdue",IF($G627&lt;=30,"Due &lt;=30",IF($G627&lt;=60,"Due 31-60","OK")))))</f>
        <v/>
      </c>
      <c r="I627" s="54"/>
      <c r="J627" s="54"/>
      <c r="K627" s="54"/>
      <c r="L627" s="54"/>
      <c r="M627" s="105">
        <f>IF($F627="","",$F627+ROW()/100000)</f>
        <v/>
      </c>
    </row>
    <row r="628" spans="1:13">
      <c r="A628" s="54"/>
      <c r="B628" s="54"/>
      <c r="C628" s="52"/>
      <c r="D628" s="83">
        <f>IF($B628="","",IFERROR(IF(VLOOKUP($B628,Reference!$A$6:$C$27,3,FALSE)&gt;0,VLOOKUP($B628,Reference!$A$6:$C$27,3,FALSE),""),""))</f>
        <v/>
      </c>
      <c r="E628" s="53"/>
      <c r="F628" s="82">
        <f>IF(OR($A628="",$B628="",NOT(ISNUMBER($C628))),"",IF(ISNUMBER($E628),IF($E628&gt;0,EDATE($C628,$E628),""),IF(ISNUMBER($D628),EDATE($C628,$D628),"")))</f>
        <v/>
      </c>
      <c r="G628" s="83">
        <f>IF($F628="","",$F628-TODAY())</f>
        <v/>
      </c>
      <c r="H628" s="85">
        <f>IF(OR($A628="",$B628=""),"",IF($F628="","No date",IF($G628&lt;0,"Overdue",IF($G628&lt;=30,"Due &lt;=30",IF($G628&lt;=60,"Due 31-60","OK")))))</f>
        <v/>
      </c>
      <c r="I628" s="54"/>
      <c r="J628" s="54"/>
      <c r="K628" s="54"/>
      <c r="L628" s="54"/>
      <c r="M628" s="105">
        <f>IF($F628="","",$F628+ROW()/100000)</f>
        <v/>
      </c>
    </row>
    <row r="629" spans="1:13">
      <c r="A629" s="54"/>
      <c r="B629" s="54"/>
      <c r="C629" s="52"/>
      <c r="D629" s="83">
        <f>IF($B629="","",IFERROR(IF(VLOOKUP($B629,Reference!$A$6:$C$27,3,FALSE)&gt;0,VLOOKUP($B629,Reference!$A$6:$C$27,3,FALSE),""),""))</f>
        <v/>
      </c>
      <c r="E629" s="53"/>
      <c r="F629" s="82">
        <f>IF(OR($A629="",$B629="",NOT(ISNUMBER($C629))),"",IF(ISNUMBER($E629),IF($E629&gt;0,EDATE($C629,$E629),""),IF(ISNUMBER($D629),EDATE($C629,$D629),"")))</f>
        <v/>
      </c>
      <c r="G629" s="83">
        <f>IF($F629="","",$F629-TODAY())</f>
        <v/>
      </c>
      <c r="H629" s="85">
        <f>IF(OR($A629="",$B629=""),"",IF($F629="","No date",IF($G629&lt;0,"Overdue",IF($G629&lt;=30,"Due &lt;=30",IF($G629&lt;=60,"Due 31-60","OK")))))</f>
        <v/>
      </c>
      <c r="I629" s="54"/>
      <c r="J629" s="54"/>
      <c r="K629" s="54"/>
      <c r="L629" s="54"/>
      <c r="M629" s="105">
        <f>IF($F629="","",$F629+ROW()/100000)</f>
        <v/>
      </c>
    </row>
    <row r="630" spans="1:13">
      <c r="A630" s="54"/>
      <c r="B630" s="54"/>
      <c r="C630" s="52"/>
      <c r="D630" s="83">
        <f>IF($B630="","",IFERROR(IF(VLOOKUP($B630,Reference!$A$6:$C$27,3,FALSE)&gt;0,VLOOKUP($B630,Reference!$A$6:$C$27,3,FALSE),""),""))</f>
        <v/>
      </c>
      <c r="E630" s="53"/>
      <c r="F630" s="82">
        <f>IF(OR($A630="",$B630="",NOT(ISNUMBER($C630))),"",IF(ISNUMBER($E630),IF($E630&gt;0,EDATE($C630,$E630),""),IF(ISNUMBER($D630),EDATE($C630,$D630),"")))</f>
        <v/>
      </c>
      <c r="G630" s="83">
        <f>IF($F630="","",$F630-TODAY())</f>
        <v/>
      </c>
      <c r="H630" s="85">
        <f>IF(OR($A630="",$B630=""),"",IF($F630="","No date",IF($G630&lt;0,"Overdue",IF($G630&lt;=30,"Due &lt;=30",IF($G630&lt;=60,"Due 31-60","OK")))))</f>
        <v/>
      </c>
      <c r="I630" s="54"/>
      <c r="J630" s="54"/>
      <c r="K630" s="54"/>
      <c r="L630" s="54"/>
      <c r="M630" s="105">
        <f>IF($F630="","",$F630+ROW()/100000)</f>
        <v/>
      </c>
    </row>
    <row r="631" spans="1:13">
      <c r="A631" s="54"/>
      <c r="B631" s="54"/>
      <c r="C631" s="52"/>
      <c r="D631" s="83">
        <f>IF($B631="","",IFERROR(IF(VLOOKUP($B631,Reference!$A$6:$C$27,3,FALSE)&gt;0,VLOOKUP($B631,Reference!$A$6:$C$27,3,FALSE),""),""))</f>
        <v/>
      </c>
      <c r="E631" s="53"/>
      <c r="F631" s="82">
        <f>IF(OR($A631="",$B631="",NOT(ISNUMBER($C631))),"",IF(ISNUMBER($E631),IF($E631&gt;0,EDATE($C631,$E631),""),IF(ISNUMBER($D631),EDATE($C631,$D631),"")))</f>
        <v/>
      </c>
      <c r="G631" s="83">
        <f>IF($F631="","",$F631-TODAY())</f>
        <v/>
      </c>
      <c r="H631" s="85">
        <f>IF(OR($A631="",$B631=""),"",IF($F631="","No date",IF($G631&lt;0,"Overdue",IF($G631&lt;=30,"Due &lt;=30",IF($G631&lt;=60,"Due 31-60","OK")))))</f>
        <v/>
      </c>
      <c r="I631" s="54"/>
      <c r="J631" s="54"/>
      <c r="K631" s="54"/>
      <c r="L631" s="54"/>
      <c r="M631" s="105">
        <f>IF($F631="","",$F631+ROW()/100000)</f>
        <v/>
      </c>
    </row>
    <row r="632" spans="1:13">
      <c r="A632" s="54"/>
      <c r="B632" s="54"/>
      <c r="C632" s="52"/>
      <c r="D632" s="83">
        <f>IF($B632="","",IFERROR(IF(VLOOKUP($B632,Reference!$A$6:$C$27,3,FALSE)&gt;0,VLOOKUP($B632,Reference!$A$6:$C$27,3,FALSE),""),""))</f>
        <v/>
      </c>
      <c r="E632" s="53"/>
      <c r="F632" s="82">
        <f>IF(OR($A632="",$B632="",NOT(ISNUMBER($C632))),"",IF(ISNUMBER($E632),IF($E632&gt;0,EDATE($C632,$E632),""),IF(ISNUMBER($D632),EDATE($C632,$D632),"")))</f>
        <v/>
      </c>
      <c r="G632" s="83">
        <f>IF($F632="","",$F632-TODAY())</f>
        <v/>
      </c>
      <c r="H632" s="85">
        <f>IF(OR($A632="",$B632=""),"",IF($F632="","No date",IF($G632&lt;0,"Overdue",IF($G632&lt;=30,"Due &lt;=30",IF($G632&lt;=60,"Due 31-60","OK")))))</f>
        <v/>
      </c>
      <c r="I632" s="54"/>
      <c r="J632" s="54"/>
      <c r="K632" s="54"/>
      <c r="L632" s="54"/>
      <c r="M632" s="105">
        <f>IF($F632="","",$F632+ROW()/100000)</f>
        <v/>
      </c>
    </row>
    <row r="633" spans="1:13">
      <c r="A633" s="54"/>
      <c r="B633" s="54"/>
      <c r="C633" s="52"/>
      <c r="D633" s="83">
        <f>IF($B633="","",IFERROR(IF(VLOOKUP($B633,Reference!$A$6:$C$27,3,FALSE)&gt;0,VLOOKUP($B633,Reference!$A$6:$C$27,3,FALSE),""),""))</f>
        <v/>
      </c>
      <c r="E633" s="53"/>
      <c r="F633" s="82">
        <f>IF(OR($A633="",$B633="",NOT(ISNUMBER($C633))),"",IF(ISNUMBER($E633),IF($E633&gt;0,EDATE($C633,$E633),""),IF(ISNUMBER($D633),EDATE($C633,$D633),"")))</f>
        <v/>
      </c>
      <c r="G633" s="83">
        <f>IF($F633="","",$F633-TODAY())</f>
        <v/>
      </c>
      <c r="H633" s="85">
        <f>IF(OR($A633="",$B633=""),"",IF($F633="","No date",IF($G633&lt;0,"Overdue",IF($G633&lt;=30,"Due &lt;=30",IF($G633&lt;=60,"Due 31-60","OK")))))</f>
        <v/>
      </c>
      <c r="I633" s="54"/>
      <c r="J633" s="54"/>
      <c r="K633" s="54"/>
      <c r="L633" s="54"/>
      <c r="M633" s="105">
        <f>IF($F633="","",$F633+ROW()/100000)</f>
        <v/>
      </c>
    </row>
    <row r="634" spans="1:13">
      <c r="A634" s="54"/>
      <c r="B634" s="54"/>
      <c r="C634" s="52"/>
      <c r="D634" s="83">
        <f>IF($B634="","",IFERROR(IF(VLOOKUP($B634,Reference!$A$6:$C$27,3,FALSE)&gt;0,VLOOKUP($B634,Reference!$A$6:$C$27,3,FALSE),""),""))</f>
        <v/>
      </c>
      <c r="E634" s="53"/>
      <c r="F634" s="82">
        <f>IF(OR($A634="",$B634="",NOT(ISNUMBER($C634))),"",IF(ISNUMBER($E634),IF($E634&gt;0,EDATE($C634,$E634),""),IF(ISNUMBER($D634),EDATE($C634,$D634),"")))</f>
        <v/>
      </c>
      <c r="G634" s="83">
        <f>IF($F634="","",$F634-TODAY())</f>
        <v/>
      </c>
      <c r="H634" s="85">
        <f>IF(OR($A634="",$B634=""),"",IF($F634="","No date",IF($G634&lt;0,"Overdue",IF($G634&lt;=30,"Due &lt;=30",IF($G634&lt;=60,"Due 31-60","OK")))))</f>
        <v/>
      </c>
      <c r="I634" s="54"/>
      <c r="J634" s="54"/>
      <c r="K634" s="54"/>
      <c r="L634" s="54"/>
      <c r="M634" s="105">
        <f>IF($F634="","",$F634+ROW()/100000)</f>
        <v/>
      </c>
    </row>
    <row r="635" spans="1:13">
      <c r="A635" s="54"/>
      <c r="B635" s="54"/>
      <c r="C635" s="52"/>
      <c r="D635" s="83">
        <f>IF($B635="","",IFERROR(IF(VLOOKUP($B635,Reference!$A$6:$C$27,3,FALSE)&gt;0,VLOOKUP($B635,Reference!$A$6:$C$27,3,FALSE),""),""))</f>
        <v/>
      </c>
      <c r="E635" s="53"/>
      <c r="F635" s="82">
        <f>IF(OR($A635="",$B635="",NOT(ISNUMBER($C635))),"",IF(ISNUMBER($E635),IF($E635&gt;0,EDATE($C635,$E635),""),IF(ISNUMBER($D635),EDATE($C635,$D635),"")))</f>
        <v/>
      </c>
      <c r="G635" s="83">
        <f>IF($F635="","",$F635-TODAY())</f>
        <v/>
      </c>
      <c r="H635" s="85">
        <f>IF(OR($A635="",$B635=""),"",IF($F635="","No date",IF($G635&lt;0,"Overdue",IF($G635&lt;=30,"Due &lt;=30",IF($G635&lt;=60,"Due 31-60","OK")))))</f>
        <v/>
      </c>
      <c r="I635" s="54"/>
      <c r="J635" s="54"/>
      <c r="K635" s="54"/>
      <c r="L635" s="54"/>
      <c r="M635" s="105">
        <f>IF($F635="","",$F635+ROW()/100000)</f>
        <v/>
      </c>
    </row>
    <row r="636" spans="1:13">
      <c r="A636" s="54"/>
      <c r="B636" s="54"/>
      <c r="C636" s="52"/>
      <c r="D636" s="83">
        <f>IF($B636="","",IFERROR(IF(VLOOKUP($B636,Reference!$A$6:$C$27,3,FALSE)&gt;0,VLOOKUP($B636,Reference!$A$6:$C$27,3,FALSE),""),""))</f>
        <v/>
      </c>
      <c r="E636" s="53"/>
      <c r="F636" s="82">
        <f>IF(OR($A636="",$B636="",NOT(ISNUMBER($C636))),"",IF(ISNUMBER($E636),IF($E636&gt;0,EDATE($C636,$E636),""),IF(ISNUMBER($D636),EDATE($C636,$D636),"")))</f>
        <v/>
      </c>
      <c r="G636" s="83">
        <f>IF($F636="","",$F636-TODAY())</f>
        <v/>
      </c>
      <c r="H636" s="85">
        <f>IF(OR($A636="",$B636=""),"",IF($F636="","No date",IF($G636&lt;0,"Overdue",IF($G636&lt;=30,"Due &lt;=30",IF($G636&lt;=60,"Due 31-60","OK")))))</f>
        <v/>
      </c>
      <c r="I636" s="54"/>
      <c r="J636" s="54"/>
      <c r="K636" s="54"/>
      <c r="L636" s="54"/>
      <c r="M636" s="105">
        <f>IF($F636="","",$F636+ROW()/100000)</f>
        <v/>
      </c>
    </row>
    <row r="637" spans="1:13">
      <c r="A637" s="54"/>
      <c r="B637" s="54"/>
      <c r="C637" s="52"/>
      <c r="D637" s="83">
        <f>IF($B637="","",IFERROR(IF(VLOOKUP($B637,Reference!$A$6:$C$27,3,FALSE)&gt;0,VLOOKUP($B637,Reference!$A$6:$C$27,3,FALSE),""),""))</f>
        <v/>
      </c>
      <c r="E637" s="53"/>
      <c r="F637" s="82">
        <f>IF(OR($A637="",$B637="",NOT(ISNUMBER($C637))),"",IF(ISNUMBER($E637),IF($E637&gt;0,EDATE($C637,$E637),""),IF(ISNUMBER($D637),EDATE($C637,$D637),"")))</f>
        <v/>
      </c>
      <c r="G637" s="83">
        <f>IF($F637="","",$F637-TODAY())</f>
        <v/>
      </c>
      <c r="H637" s="85">
        <f>IF(OR($A637="",$B637=""),"",IF($F637="","No date",IF($G637&lt;0,"Overdue",IF($G637&lt;=30,"Due &lt;=30",IF($G637&lt;=60,"Due 31-60","OK")))))</f>
        <v/>
      </c>
      <c r="I637" s="54"/>
      <c r="J637" s="54"/>
      <c r="K637" s="54"/>
      <c r="L637" s="54"/>
      <c r="M637" s="105">
        <f>IF($F637="","",$F637+ROW()/100000)</f>
        <v/>
      </c>
    </row>
    <row r="638" spans="1:13">
      <c r="A638" s="54"/>
      <c r="B638" s="54"/>
      <c r="C638" s="52"/>
      <c r="D638" s="83">
        <f>IF($B638="","",IFERROR(IF(VLOOKUP($B638,Reference!$A$6:$C$27,3,FALSE)&gt;0,VLOOKUP($B638,Reference!$A$6:$C$27,3,FALSE),""),""))</f>
        <v/>
      </c>
      <c r="E638" s="53"/>
      <c r="F638" s="82">
        <f>IF(OR($A638="",$B638="",NOT(ISNUMBER($C638))),"",IF(ISNUMBER($E638),IF($E638&gt;0,EDATE($C638,$E638),""),IF(ISNUMBER($D638),EDATE($C638,$D638),"")))</f>
        <v/>
      </c>
      <c r="G638" s="83">
        <f>IF($F638="","",$F638-TODAY())</f>
        <v/>
      </c>
      <c r="H638" s="85">
        <f>IF(OR($A638="",$B638=""),"",IF($F638="","No date",IF($G638&lt;0,"Overdue",IF($G638&lt;=30,"Due &lt;=30",IF($G638&lt;=60,"Due 31-60","OK")))))</f>
        <v/>
      </c>
      <c r="I638" s="54"/>
      <c r="J638" s="54"/>
      <c r="K638" s="54"/>
      <c r="L638" s="54"/>
      <c r="M638" s="105">
        <f>IF($F638="","",$F638+ROW()/100000)</f>
        <v/>
      </c>
    </row>
    <row r="639" spans="1:13">
      <c r="A639" s="54"/>
      <c r="B639" s="54"/>
      <c r="C639" s="52"/>
      <c r="D639" s="83">
        <f>IF($B639="","",IFERROR(IF(VLOOKUP($B639,Reference!$A$6:$C$27,3,FALSE)&gt;0,VLOOKUP($B639,Reference!$A$6:$C$27,3,FALSE),""),""))</f>
        <v/>
      </c>
      <c r="E639" s="53"/>
      <c r="F639" s="82">
        <f>IF(OR($A639="",$B639="",NOT(ISNUMBER($C639))),"",IF(ISNUMBER($E639),IF($E639&gt;0,EDATE($C639,$E639),""),IF(ISNUMBER($D639),EDATE($C639,$D639),"")))</f>
        <v/>
      </c>
      <c r="G639" s="83">
        <f>IF($F639="","",$F639-TODAY())</f>
        <v/>
      </c>
      <c r="H639" s="85">
        <f>IF(OR($A639="",$B639=""),"",IF($F639="","No date",IF($G639&lt;0,"Overdue",IF($G639&lt;=30,"Due &lt;=30",IF($G639&lt;=60,"Due 31-60","OK")))))</f>
        <v/>
      </c>
      <c r="I639" s="54"/>
      <c r="J639" s="54"/>
      <c r="K639" s="54"/>
      <c r="L639" s="54"/>
      <c r="M639" s="105">
        <f>IF($F639="","",$F639+ROW()/100000)</f>
        <v/>
      </c>
    </row>
    <row r="640" spans="1:13">
      <c r="A640" s="54"/>
      <c r="B640" s="54"/>
      <c r="C640" s="52"/>
      <c r="D640" s="83">
        <f>IF($B640="","",IFERROR(IF(VLOOKUP($B640,Reference!$A$6:$C$27,3,FALSE)&gt;0,VLOOKUP($B640,Reference!$A$6:$C$27,3,FALSE),""),""))</f>
        <v/>
      </c>
      <c r="E640" s="53"/>
      <c r="F640" s="82">
        <f>IF(OR($A640="",$B640="",NOT(ISNUMBER($C640))),"",IF(ISNUMBER($E640),IF($E640&gt;0,EDATE($C640,$E640),""),IF(ISNUMBER($D640),EDATE($C640,$D640),"")))</f>
        <v/>
      </c>
      <c r="G640" s="83">
        <f>IF($F640="","",$F640-TODAY())</f>
        <v/>
      </c>
      <c r="H640" s="85">
        <f>IF(OR($A640="",$B640=""),"",IF($F640="","No date",IF($G640&lt;0,"Overdue",IF($G640&lt;=30,"Due &lt;=30",IF($G640&lt;=60,"Due 31-60","OK")))))</f>
        <v/>
      </c>
      <c r="I640" s="54"/>
      <c r="J640" s="54"/>
      <c r="K640" s="54"/>
      <c r="L640" s="54"/>
      <c r="M640" s="105">
        <f>IF($F640="","",$F640+ROW()/100000)</f>
        <v/>
      </c>
    </row>
    <row r="641" spans="1:13">
      <c r="A641" s="54"/>
      <c r="B641" s="54"/>
      <c r="C641" s="52"/>
      <c r="D641" s="83">
        <f>IF($B641="","",IFERROR(IF(VLOOKUP($B641,Reference!$A$6:$C$27,3,FALSE)&gt;0,VLOOKUP($B641,Reference!$A$6:$C$27,3,FALSE),""),""))</f>
        <v/>
      </c>
      <c r="E641" s="53"/>
      <c r="F641" s="82">
        <f>IF(OR($A641="",$B641="",NOT(ISNUMBER($C641))),"",IF(ISNUMBER($E641),IF($E641&gt;0,EDATE($C641,$E641),""),IF(ISNUMBER($D641),EDATE($C641,$D641),"")))</f>
        <v/>
      </c>
      <c r="G641" s="83">
        <f>IF($F641="","",$F641-TODAY())</f>
        <v/>
      </c>
      <c r="H641" s="85">
        <f>IF(OR($A641="",$B641=""),"",IF($F641="","No date",IF($G641&lt;0,"Overdue",IF($G641&lt;=30,"Due &lt;=30",IF($G641&lt;=60,"Due 31-60","OK")))))</f>
        <v/>
      </c>
      <c r="I641" s="54"/>
      <c r="J641" s="54"/>
      <c r="K641" s="54"/>
      <c r="L641" s="54"/>
      <c r="M641" s="105">
        <f>IF($F641="","",$F641+ROW()/100000)</f>
        <v/>
      </c>
    </row>
    <row r="642" spans="1:13">
      <c r="A642" s="54"/>
      <c r="B642" s="54"/>
      <c r="C642" s="52"/>
      <c r="D642" s="83">
        <f>IF($B642="","",IFERROR(IF(VLOOKUP($B642,Reference!$A$6:$C$27,3,FALSE)&gt;0,VLOOKUP($B642,Reference!$A$6:$C$27,3,FALSE),""),""))</f>
        <v/>
      </c>
      <c r="E642" s="53"/>
      <c r="F642" s="82">
        <f>IF(OR($A642="",$B642="",NOT(ISNUMBER($C642))),"",IF(ISNUMBER($E642),IF($E642&gt;0,EDATE($C642,$E642),""),IF(ISNUMBER($D642),EDATE($C642,$D642),"")))</f>
        <v/>
      </c>
      <c r="G642" s="83">
        <f>IF($F642="","",$F642-TODAY())</f>
        <v/>
      </c>
      <c r="H642" s="85">
        <f>IF(OR($A642="",$B642=""),"",IF($F642="","No date",IF($G642&lt;0,"Overdue",IF($G642&lt;=30,"Due &lt;=30",IF($G642&lt;=60,"Due 31-60","OK")))))</f>
        <v/>
      </c>
      <c r="I642" s="54"/>
      <c r="J642" s="54"/>
      <c r="K642" s="54"/>
      <c r="L642" s="54"/>
      <c r="M642" s="105">
        <f>IF($F642="","",$F642+ROW()/100000)</f>
        <v/>
      </c>
    </row>
    <row r="643" spans="1:13">
      <c r="A643" s="54"/>
      <c r="B643" s="54"/>
      <c r="C643" s="52"/>
      <c r="D643" s="83">
        <f>IF($B643="","",IFERROR(IF(VLOOKUP($B643,Reference!$A$6:$C$27,3,FALSE)&gt;0,VLOOKUP($B643,Reference!$A$6:$C$27,3,FALSE),""),""))</f>
        <v/>
      </c>
      <c r="E643" s="53"/>
      <c r="F643" s="82">
        <f>IF(OR($A643="",$B643="",NOT(ISNUMBER($C643))),"",IF(ISNUMBER($E643),IF($E643&gt;0,EDATE($C643,$E643),""),IF(ISNUMBER($D643),EDATE($C643,$D643),"")))</f>
        <v/>
      </c>
      <c r="G643" s="83">
        <f>IF($F643="","",$F643-TODAY())</f>
        <v/>
      </c>
      <c r="H643" s="85">
        <f>IF(OR($A643="",$B643=""),"",IF($F643="","No date",IF($G643&lt;0,"Overdue",IF($G643&lt;=30,"Due &lt;=30",IF($G643&lt;=60,"Due 31-60","OK")))))</f>
        <v/>
      </c>
      <c r="I643" s="54"/>
      <c r="J643" s="54"/>
      <c r="K643" s="54"/>
      <c r="L643" s="54"/>
      <c r="M643" s="105">
        <f>IF($F643="","",$F643+ROW()/100000)</f>
        <v/>
      </c>
    </row>
    <row r="644" spans="1:13">
      <c r="A644" s="54"/>
      <c r="B644" s="54"/>
      <c r="C644" s="52"/>
      <c r="D644" s="83">
        <f>IF($B644="","",IFERROR(IF(VLOOKUP($B644,Reference!$A$6:$C$27,3,FALSE)&gt;0,VLOOKUP($B644,Reference!$A$6:$C$27,3,FALSE),""),""))</f>
        <v/>
      </c>
      <c r="E644" s="53"/>
      <c r="F644" s="82">
        <f>IF(OR($A644="",$B644="",NOT(ISNUMBER($C644))),"",IF(ISNUMBER($E644),IF($E644&gt;0,EDATE($C644,$E644),""),IF(ISNUMBER($D644),EDATE($C644,$D644),"")))</f>
        <v/>
      </c>
      <c r="G644" s="83">
        <f>IF($F644="","",$F644-TODAY())</f>
        <v/>
      </c>
      <c r="H644" s="85">
        <f>IF(OR($A644="",$B644=""),"",IF($F644="","No date",IF($G644&lt;0,"Overdue",IF($G644&lt;=30,"Due &lt;=30",IF($G644&lt;=60,"Due 31-60","OK")))))</f>
        <v/>
      </c>
      <c r="I644" s="54"/>
      <c r="J644" s="54"/>
      <c r="K644" s="54"/>
      <c r="L644" s="54"/>
      <c r="M644" s="105">
        <f>IF($F644="","",$F644+ROW()/100000)</f>
        <v/>
      </c>
    </row>
    <row r="645" spans="1:13">
      <c r="A645" s="54"/>
      <c r="B645" s="54"/>
      <c r="C645" s="52"/>
      <c r="D645" s="83">
        <f>IF($B645="","",IFERROR(IF(VLOOKUP($B645,Reference!$A$6:$C$27,3,FALSE)&gt;0,VLOOKUP($B645,Reference!$A$6:$C$27,3,FALSE),""),""))</f>
        <v/>
      </c>
      <c r="E645" s="53"/>
      <c r="F645" s="82">
        <f>IF(OR($A645="",$B645="",NOT(ISNUMBER($C645))),"",IF(ISNUMBER($E645),IF($E645&gt;0,EDATE($C645,$E645),""),IF(ISNUMBER($D645),EDATE($C645,$D645),"")))</f>
        <v/>
      </c>
      <c r="G645" s="83">
        <f>IF($F645="","",$F645-TODAY())</f>
        <v/>
      </c>
      <c r="H645" s="85">
        <f>IF(OR($A645="",$B645=""),"",IF($F645="","No date",IF($G645&lt;0,"Overdue",IF($G645&lt;=30,"Due &lt;=30",IF($G645&lt;=60,"Due 31-60","OK")))))</f>
        <v/>
      </c>
      <c r="I645" s="54"/>
      <c r="J645" s="54"/>
      <c r="K645" s="54"/>
      <c r="L645" s="54"/>
      <c r="M645" s="105">
        <f>IF($F645="","",$F645+ROW()/100000)</f>
        <v/>
      </c>
    </row>
    <row r="646" spans="1:13">
      <c r="A646" s="54"/>
      <c r="B646" s="54"/>
      <c r="C646" s="52"/>
      <c r="D646" s="83">
        <f>IF($B646="","",IFERROR(IF(VLOOKUP($B646,Reference!$A$6:$C$27,3,FALSE)&gt;0,VLOOKUP($B646,Reference!$A$6:$C$27,3,FALSE),""),""))</f>
        <v/>
      </c>
      <c r="E646" s="53"/>
      <c r="F646" s="82">
        <f>IF(OR($A646="",$B646="",NOT(ISNUMBER($C646))),"",IF(ISNUMBER($E646),IF($E646&gt;0,EDATE($C646,$E646),""),IF(ISNUMBER($D646),EDATE($C646,$D646),"")))</f>
        <v/>
      </c>
      <c r="G646" s="83">
        <f>IF($F646="","",$F646-TODAY())</f>
        <v/>
      </c>
      <c r="H646" s="85">
        <f>IF(OR($A646="",$B646=""),"",IF($F646="","No date",IF($G646&lt;0,"Overdue",IF($G646&lt;=30,"Due &lt;=30",IF($G646&lt;=60,"Due 31-60","OK")))))</f>
        <v/>
      </c>
      <c r="I646" s="54"/>
      <c r="J646" s="54"/>
      <c r="K646" s="54"/>
      <c r="L646" s="54"/>
      <c r="M646" s="105">
        <f>IF($F646="","",$F646+ROW()/100000)</f>
        <v/>
      </c>
    </row>
    <row r="647" spans="1:13">
      <c r="A647" s="54"/>
      <c r="B647" s="54"/>
      <c r="C647" s="52"/>
      <c r="D647" s="83">
        <f>IF($B647="","",IFERROR(IF(VLOOKUP($B647,Reference!$A$6:$C$27,3,FALSE)&gt;0,VLOOKUP($B647,Reference!$A$6:$C$27,3,FALSE),""),""))</f>
        <v/>
      </c>
      <c r="E647" s="53"/>
      <c r="F647" s="82">
        <f>IF(OR($A647="",$B647="",NOT(ISNUMBER($C647))),"",IF(ISNUMBER($E647),IF($E647&gt;0,EDATE($C647,$E647),""),IF(ISNUMBER($D647),EDATE($C647,$D647),"")))</f>
        <v/>
      </c>
      <c r="G647" s="83">
        <f>IF($F647="","",$F647-TODAY())</f>
        <v/>
      </c>
      <c r="H647" s="85">
        <f>IF(OR($A647="",$B647=""),"",IF($F647="","No date",IF($G647&lt;0,"Overdue",IF($G647&lt;=30,"Due &lt;=30",IF($G647&lt;=60,"Due 31-60","OK")))))</f>
        <v/>
      </c>
      <c r="I647" s="54"/>
      <c r="J647" s="54"/>
      <c r="K647" s="54"/>
      <c r="L647" s="54"/>
      <c r="M647" s="105">
        <f>IF($F647="","",$F647+ROW()/100000)</f>
        <v/>
      </c>
    </row>
    <row r="648" spans="1:13">
      <c r="A648" s="54"/>
      <c r="B648" s="54"/>
      <c r="C648" s="52"/>
      <c r="D648" s="83">
        <f>IF($B648="","",IFERROR(IF(VLOOKUP($B648,Reference!$A$6:$C$27,3,FALSE)&gt;0,VLOOKUP($B648,Reference!$A$6:$C$27,3,FALSE),""),""))</f>
        <v/>
      </c>
      <c r="E648" s="53"/>
      <c r="F648" s="82">
        <f>IF(OR($A648="",$B648="",NOT(ISNUMBER($C648))),"",IF(ISNUMBER($E648),IF($E648&gt;0,EDATE($C648,$E648),""),IF(ISNUMBER($D648),EDATE($C648,$D648),"")))</f>
        <v/>
      </c>
      <c r="G648" s="83">
        <f>IF($F648="","",$F648-TODAY())</f>
        <v/>
      </c>
      <c r="H648" s="85">
        <f>IF(OR($A648="",$B648=""),"",IF($F648="","No date",IF($G648&lt;0,"Overdue",IF($G648&lt;=30,"Due &lt;=30",IF($G648&lt;=60,"Due 31-60","OK")))))</f>
        <v/>
      </c>
      <c r="I648" s="54"/>
      <c r="J648" s="54"/>
      <c r="K648" s="54"/>
      <c r="L648" s="54"/>
      <c r="M648" s="105">
        <f>IF($F648="","",$F648+ROW()/100000)</f>
        <v/>
      </c>
    </row>
    <row r="649" spans="1:13">
      <c r="A649" s="54"/>
      <c r="B649" s="54"/>
      <c r="C649" s="52"/>
      <c r="D649" s="83">
        <f>IF($B649="","",IFERROR(IF(VLOOKUP($B649,Reference!$A$6:$C$27,3,FALSE)&gt;0,VLOOKUP($B649,Reference!$A$6:$C$27,3,FALSE),""),""))</f>
        <v/>
      </c>
      <c r="E649" s="53"/>
      <c r="F649" s="82">
        <f>IF(OR($A649="",$B649="",NOT(ISNUMBER($C649))),"",IF(ISNUMBER($E649),IF($E649&gt;0,EDATE($C649,$E649),""),IF(ISNUMBER($D649),EDATE($C649,$D649),"")))</f>
        <v/>
      </c>
      <c r="G649" s="83">
        <f>IF($F649="","",$F649-TODAY())</f>
        <v/>
      </c>
      <c r="H649" s="85">
        <f>IF(OR($A649="",$B649=""),"",IF($F649="","No date",IF($G649&lt;0,"Overdue",IF($G649&lt;=30,"Due &lt;=30",IF($G649&lt;=60,"Due 31-60","OK")))))</f>
        <v/>
      </c>
      <c r="I649" s="54"/>
      <c r="J649" s="54"/>
      <c r="K649" s="54"/>
      <c r="L649" s="54"/>
      <c r="M649" s="105">
        <f>IF($F649="","",$F649+ROW()/100000)</f>
        <v/>
      </c>
    </row>
    <row r="650" spans="1:13">
      <c r="A650" s="54"/>
      <c r="B650" s="54"/>
      <c r="C650" s="52"/>
      <c r="D650" s="83">
        <f>IF($B650="","",IFERROR(IF(VLOOKUP($B650,Reference!$A$6:$C$27,3,FALSE)&gt;0,VLOOKUP($B650,Reference!$A$6:$C$27,3,FALSE),""),""))</f>
        <v/>
      </c>
      <c r="E650" s="53"/>
      <c r="F650" s="82">
        <f>IF(OR($A650="",$B650="",NOT(ISNUMBER($C650))),"",IF(ISNUMBER($E650),IF($E650&gt;0,EDATE($C650,$E650),""),IF(ISNUMBER($D650),EDATE($C650,$D650),"")))</f>
        <v/>
      </c>
      <c r="G650" s="83">
        <f>IF($F650="","",$F650-TODAY())</f>
        <v/>
      </c>
      <c r="H650" s="85">
        <f>IF(OR($A650="",$B650=""),"",IF($F650="","No date",IF($G650&lt;0,"Overdue",IF($G650&lt;=30,"Due &lt;=30",IF($G650&lt;=60,"Due 31-60","OK")))))</f>
        <v/>
      </c>
      <c r="I650" s="54"/>
      <c r="J650" s="54"/>
      <c r="K650" s="54"/>
      <c r="L650" s="54"/>
      <c r="M650" s="105">
        <f>IF($F650="","",$F650+ROW()/100000)</f>
        <v/>
      </c>
    </row>
    <row r="651" spans="1:13">
      <c r="A651" s="54"/>
      <c r="B651" s="54"/>
      <c r="C651" s="52"/>
      <c r="D651" s="83">
        <f>IF($B651="","",IFERROR(IF(VLOOKUP($B651,Reference!$A$6:$C$27,3,FALSE)&gt;0,VLOOKUP($B651,Reference!$A$6:$C$27,3,FALSE),""),""))</f>
        <v/>
      </c>
      <c r="E651" s="53"/>
      <c r="F651" s="82">
        <f>IF(OR($A651="",$B651="",NOT(ISNUMBER($C651))),"",IF(ISNUMBER($E651),IF($E651&gt;0,EDATE($C651,$E651),""),IF(ISNUMBER($D651),EDATE($C651,$D651),"")))</f>
        <v/>
      </c>
      <c r="G651" s="83">
        <f>IF($F651="","",$F651-TODAY())</f>
        <v/>
      </c>
      <c r="H651" s="85">
        <f>IF(OR($A651="",$B651=""),"",IF($F651="","No date",IF($G651&lt;0,"Overdue",IF($G651&lt;=30,"Due &lt;=30",IF($G651&lt;=60,"Due 31-60","OK")))))</f>
        <v/>
      </c>
      <c r="I651" s="54"/>
      <c r="J651" s="54"/>
      <c r="K651" s="54"/>
      <c r="L651" s="54"/>
      <c r="M651" s="105">
        <f>IF($F651="","",$F651+ROW()/100000)</f>
        <v/>
      </c>
    </row>
    <row r="652" spans="1:13">
      <c r="A652" s="54"/>
      <c r="B652" s="54"/>
      <c r="C652" s="52"/>
      <c r="D652" s="83">
        <f>IF($B652="","",IFERROR(IF(VLOOKUP($B652,Reference!$A$6:$C$27,3,FALSE)&gt;0,VLOOKUP($B652,Reference!$A$6:$C$27,3,FALSE),""),""))</f>
        <v/>
      </c>
      <c r="E652" s="53"/>
      <c r="F652" s="82">
        <f>IF(OR($A652="",$B652="",NOT(ISNUMBER($C652))),"",IF(ISNUMBER($E652),IF($E652&gt;0,EDATE($C652,$E652),""),IF(ISNUMBER($D652),EDATE($C652,$D652),"")))</f>
        <v/>
      </c>
      <c r="G652" s="83">
        <f>IF($F652="","",$F652-TODAY())</f>
        <v/>
      </c>
      <c r="H652" s="85">
        <f>IF(OR($A652="",$B652=""),"",IF($F652="","No date",IF($G652&lt;0,"Overdue",IF($G652&lt;=30,"Due &lt;=30",IF($G652&lt;=60,"Due 31-60","OK")))))</f>
        <v/>
      </c>
      <c r="I652" s="54"/>
      <c r="J652" s="54"/>
      <c r="K652" s="54"/>
      <c r="L652" s="54"/>
      <c r="M652" s="105">
        <f>IF($F652="","",$F652+ROW()/100000)</f>
        <v/>
      </c>
    </row>
    <row r="653" spans="1:13">
      <c r="A653" s="54"/>
      <c r="B653" s="54"/>
      <c r="C653" s="52"/>
      <c r="D653" s="83">
        <f>IF($B653="","",IFERROR(IF(VLOOKUP($B653,Reference!$A$6:$C$27,3,FALSE)&gt;0,VLOOKUP($B653,Reference!$A$6:$C$27,3,FALSE),""),""))</f>
        <v/>
      </c>
      <c r="E653" s="53"/>
      <c r="F653" s="82">
        <f>IF(OR($A653="",$B653="",NOT(ISNUMBER($C653))),"",IF(ISNUMBER($E653),IF($E653&gt;0,EDATE($C653,$E653),""),IF(ISNUMBER($D653),EDATE($C653,$D653),"")))</f>
        <v/>
      </c>
      <c r="G653" s="83">
        <f>IF($F653="","",$F653-TODAY())</f>
        <v/>
      </c>
      <c r="H653" s="85">
        <f>IF(OR($A653="",$B653=""),"",IF($F653="","No date",IF($G653&lt;0,"Overdue",IF($G653&lt;=30,"Due &lt;=30",IF($G653&lt;=60,"Due 31-60","OK")))))</f>
        <v/>
      </c>
      <c r="I653" s="54"/>
      <c r="J653" s="54"/>
      <c r="K653" s="54"/>
      <c r="L653" s="54"/>
      <c r="M653" s="105">
        <f>IF($F653="","",$F653+ROW()/100000)</f>
        <v/>
      </c>
    </row>
    <row r="654" spans="1:13">
      <c r="A654" s="54"/>
      <c r="B654" s="54"/>
      <c r="C654" s="52"/>
      <c r="D654" s="83">
        <f>IF($B654="","",IFERROR(IF(VLOOKUP($B654,Reference!$A$6:$C$27,3,FALSE)&gt;0,VLOOKUP($B654,Reference!$A$6:$C$27,3,FALSE),""),""))</f>
        <v/>
      </c>
      <c r="E654" s="53"/>
      <c r="F654" s="82">
        <f>IF(OR($A654="",$B654="",NOT(ISNUMBER($C654))),"",IF(ISNUMBER($E654),IF($E654&gt;0,EDATE($C654,$E654),""),IF(ISNUMBER($D654),EDATE($C654,$D654),"")))</f>
        <v/>
      </c>
      <c r="G654" s="83">
        <f>IF($F654="","",$F654-TODAY())</f>
        <v/>
      </c>
      <c r="H654" s="85">
        <f>IF(OR($A654="",$B654=""),"",IF($F654="","No date",IF($G654&lt;0,"Overdue",IF($G654&lt;=30,"Due &lt;=30",IF($G654&lt;=60,"Due 31-60","OK")))))</f>
        <v/>
      </c>
      <c r="I654" s="54"/>
      <c r="J654" s="54"/>
      <c r="K654" s="54"/>
      <c r="L654" s="54"/>
      <c r="M654" s="105">
        <f>IF($F654="","",$F654+ROW()/100000)</f>
        <v/>
      </c>
    </row>
    <row r="655" spans="1:13">
      <c r="A655" s="54"/>
      <c r="B655" s="54"/>
      <c r="C655" s="52"/>
      <c r="D655" s="83">
        <f>IF($B655="","",IFERROR(IF(VLOOKUP($B655,Reference!$A$6:$C$27,3,FALSE)&gt;0,VLOOKUP($B655,Reference!$A$6:$C$27,3,FALSE),""),""))</f>
        <v/>
      </c>
      <c r="E655" s="53"/>
      <c r="F655" s="82">
        <f>IF(OR($A655="",$B655="",NOT(ISNUMBER($C655))),"",IF(ISNUMBER($E655),IF($E655&gt;0,EDATE($C655,$E655),""),IF(ISNUMBER($D655),EDATE($C655,$D655),"")))</f>
        <v/>
      </c>
      <c r="G655" s="83">
        <f>IF($F655="","",$F655-TODAY())</f>
        <v/>
      </c>
      <c r="H655" s="85">
        <f>IF(OR($A655="",$B655=""),"",IF($F655="","No date",IF($G655&lt;0,"Overdue",IF($G655&lt;=30,"Due &lt;=30",IF($G655&lt;=60,"Due 31-60","OK")))))</f>
        <v/>
      </c>
      <c r="I655" s="54"/>
      <c r="J655" s="54"/>
      <c r="K655" s="54"/>
      <c r="L655" s="54"/>
      <c r="M655" s="105">
        <f>IF($F655="","",$F655+ROW()/100000)</f>
        <v/>
      </c>
    </row>
    <row r="656" spans="1:13">
      <c r="A656" s="54"/>
      <c r="B656" s="54"/>
      <c r="C656" s="52"/>
      <c r="D656" s="83">
        <f>IF($B656="","",IFERROR(IF(VLOOKUP($B656,Reference!$A$6:$C$27,3,FALSE)&gt;0,VLOOKUP($B656,Reference!$A$6:$C$27,3,FALSE),""),""))</f>
        <v/>
      </c>
      <c r="E656" s="53"/>
      <c r="F656" s="82">
        <f>IF(OR($A656="",$B656="",NOT(ISNUMBER($C656))),"",IF(ISNUMBER($E656),IF($E656&gt;0,EDATE($C656,$E656),""),IF(ISNUMBER($D656),EDATE($C656,$D656),"")))</f>
        <v/>
      </c>
      <c r="G656" s="83">
        <f>IF($F656="","",$F656-TODAY())</f>
        <v/>
      </c>
      <c r="H656" s="85">
        <f>IF(OR($A656="",$B656=""),"",IF($F656="","No date",IF($G656&lt;0,"Overdue",IF($G656&lt;=30,"Due &lt;=30",IF($G656&lt;=60,"Due 31-60","OK")))))</f>
        <v/>
      </c>
      <c r="I656" s="54"/>
      <c r="J656" s="54"/>
      <c r="K656" s="54"/>
      <c r="L656" s="54"/>
      <c r="M656" s="105">
        <f>IF($F656="","",$F656+ROW()/100000)</f>
        <v/>
      </c>
    </row>
    <row r="657" spans="1:13">
      <c r="A657" s="54"/>
      <c r="B657" s="54"/>
      <c r="C657" s="52"/>
      <c r="D657" s="83">
        <f>IF($B657="","",IFERROR(IF(VLOOKUP($B657,Reference!$A$6:$C$27,3,FALSE)&gt;0,VLOOKUP($B657,Reference!$A$6:$C$27,3,FALSE),""),""))</f>
        <v/>
      </c>
      <c r="E657" s="53"/>
      <c r="F657" s="82">
        <f>IF(OR($A657="",$B657="",NOT(ISNUMBER($C657))),"",IF(ISNUMBER($E657),IF($E657&gt;0,EDATE($C657,$E657),""),IF(ISNUMBER($D657),EDATE($C657,$D657),"")))</f>
        <v/>
      </c>
      <c r="G657" s="83">
        <f>IF($F657="","",$F657-TODAY())</f>
        <v/>
      </c>
      <c r="H657" s="85">
        <f>IF(OR($A657="",$B657=""),"",IF($F657="","No date",IF($G657&lt;0,"Overdue",IF($G657&lt;=30,"Due &lt;=30",IF($G657&lt;=60,"Due 31-60","OK")))))</f>
        <v/>
      </c>
      <c r="I657" s="54"/>
      <c r="J657" s="54"/>
      <c r="K657" s="54"/>
      <c r="L657" s="54"/>
      <c r="M657" s="105">
        <f>IF($F657="","",$F657+ROW()/100000)</f>
        <v/>
      </c>
    </row>
    <row r="658" spans="1:13">
      <c r="A658" s="54"/>
      <c r="B658" s="54"/>
      <c r="C658" s="52"/>
      <c r="D658" s="83">
        <f>IF($B658="","",IFERROR(IF(VLOOKUP($B658,Reference!$A$6:$C$27,3,FALSE)&gt;0,VLOOKUP($B658,Reference!$A$6:$C$27,3,FALSE),""),""))</f>
        <v/>
      </c>
      <c r="E658" s="53"/>
      <c r="F658" s="82">
        <f>IF(OR($A658="",$B658="",NOT(ISNUMBER($C658))),"",IF(ISNUMBER($E658),IF($E658&gt;0,EDATE($C658,$E658),""),IF(ISNUMBER($D658),EDATE($C658,$D658),"")))</f>
        <v/>
      </c>
      <c r="G658" s="83">
        <f>IF($F658="","",$F658-TODAY())</f>
        <v/>
      </c>
      <c r="H658" s="85">
        <f>IF(OR($A658="",$B658=""),"",IF($F658="","No date",IF($G658&lt;0,"Overdue",IF($G658&lt;=30,"Due &lt;=30",IF($G658&lt;=60,"Due 31-60","OK")))))</f>
        <v/>
      </c>
      <c r="I658" s="54"/>
      <c r="J658" s="54"/>
      <c r="K658" s="54"/>
      <c r="L658" s="54"/>
      <c r="M658" s="105">
        <f>IF($F658="","",$F658+ROW()/100000)</f>
        <v/>
      </c>
    </row>
    <row r="659" spans="1:13">
      <c r="A659" s="54"/>
      <c r="B659" s="54"/>
      <c r="C659" s="52"/>
      <c r="D659" s="83">
        <f>IF($B659="","",IFERROR(IF(VLOOKUP($B659,Reference!$A$6:$C$27,3,FALSE)&gt;0,VLOOKUP($B659,Reference!$A$6:$C$27,3,FALSE),""),""))</f>
        <v/>
      </c>
      <c r="E659" s="53"/>
      <c r="F659" s="82">
        <f>IF(OR($A659="",$B659="",NOT(ISNUMBER($C659))),"",IF(ISNUMBER($E659),IF($E659&gt;0,EDATE($C659,$E659),""),IF(ISNUMBER($D659),EDATE($C659,$D659),"")))</f>
        <v/>
      </c>
      <c r="G659" s="83">
        <f>IF($F659="","",$F659-TODAY())</f>
        <v/>
      </c>
      <c r="H659" s="85">
        <f>IF(OR($A659="",$B659=""),"",IF($F659="","No date",IF($G659&lt;0,"Overdue",IF($G659&lt;=30,"Due &lt;=30",IF($G659&lt;=60,"Due 31-60","OK")))))</f>
        <v/>
      </c>
      <c r="I659" s="54"/>
      <c r="J659" s="54"/>
      <c r="K659" s="54"/>
      <c r="L659" s="54"/>
      <c r="M659" s="105">
        <f>IF($F659="","",$F659+ROW()/100000)</f>
        <v/>
      </c>
    </row>
    <row r="660" spans="1:13">
      <c r="A660" s="54"/>
      <c r="B660" s="54"/>
      <c r="C660" s="52"/>
      <c r="D660" s="83">
        <f>IF($B660="","",IFERROR(IF(VLOOKUP($B660,Reference!$A$6:$C$27,3,FALSE)&gt;0,VLOOKUP($B660,Reference!$A$6:$C$27,3,FALSE),""),""))</f>
        <v/>
      </c>
      <c r="E660" s="53"/>
      <c r="F660" s="82">
        <f>IF(OR($A660="",$B660="",NOT(ISNUMBER($C660))),"",IF(ISNUMBER($E660),IF($E660&gt;0,EDATE($C660,$E660),""),IF(ISNUMBER($D660),EDATE($C660,$D660),"")))</f>
        <v/>
      </c>
      <c r="G660" s="83">
        <f>IF($F660="","",$F660-TODAY())</f>
        <v/>
      </c>
      <c r="H660" s="85">
        <f>IF(OR($A660="",$B660=""),"",IF($F660="","No date",IF($G660&lt;0,"Overdue",IF($G660&lt;=30,"Due &lt;=30",IF($G660&lt;=60,"Due 31-60","OK")))))</f>
        <v/>
      </c>
      <c r="I660" s="54"/>
      <c r="J660" s="54"/>
      <c r="K660" s="54"/>
      <c r="L660" s="54"/>
      <c r="M660" s="105">
        <f>IF($F660="","",$F660+ROW()/100000)</f>
        <v/>
      </c>
    </row>
    <row r="661" spans="1:13">
      <c r="A661" s="54"/>
      <c r="B661" s="54"/>
      <c r="C661" s="52"/>
      <c r="D661" s="83">
        <f>IF($B661="","",IFERROR(IF(VLOOKUP($B661,Reference!$A$6:$C$27,3,FALSE)&gt;0,VLOOKUP($B661,Reference!$A$6:$C$27,3,FALSE),""),""))</f>
        <v/>
      </c>
      <c r="E661" s="53"/>
      <c r="F661" s="82">
        <f>IF(OR($A661="",$B661="",NOT(ISNUMBER($C661))),"",IF(ISNUMBER($E661),IF($E661&gt;0,EDATE($C661,$E661),""),IF(ISNUMBER($D661),EDATE($C661,$D661),"")))</f>
        <v/>
      </c>
      <c r="G661" s="83">
        <f>IF($F661="","",$F661-TODAY())</f>
        <v/>
      </c>
      <c r="H661" s="85">
        <f>IF(OR($A661="",$B661=""),"",IF($F661="","No date",IF($G661&lt;0,"Overdue",IF($G661&lt;=30,"Due &lt;=30",IF($G661&lt;=60,"Due 31-60","OK")))))</f>
        <v/>
      </c>
      <c r="I661" s="54"/>
      <c r="J661" s="54"/>
      <c r="K661" s="54"/>
      <c r="L661" s="54"/>
      <c r="M661" s="105">
        <f>IF($F661="","",$F661+ROW()/100000)</f>
        <v/>
      </c>
    </row>
    <row r="662" spans="1:13">
      <c r="A662" s="54"/>
      <c r="B662" s="54"/>
      <c r="C662" s="52"/>
      <c r="D662" s="83">
        <f>IF($B662="","",IFERROR(IF(VLOOKUP($B662,Reference!$A$6:$C$27,3,FALSE)&gt;0,VLOOKUP($B662,Reference!$A$6:$C$27,3,FALSE),""),""))</f>
        <v/>
      </c>
      <c r="E662" s="53"/>
      <c r="F662" s="82">
        <f>IF(OR($A662="",$B662="",NOT(ISNUMBER($C662))),"",IF(ISNUMBER($E662),IF($E662&gt;0,EDATE($C662,$E662),""),IF(ISNUMBER($D662),EDATE($C662,$D662),"")))</f>
        <v/>
      </c>
      <c r="G662" s="83">
        <f>IF($F662="","",$F662-TODAY())</f>
        <v/>
      </c>
      <c r="H662" s="85">
        <f>IF(OR($A662="",$B662=""),"",IF($F662="","No date",IF($G662&lt;0,"Overdue",IF($G662&lt;=30,"Due &lt;=30",IF($G662&lt;=60,"Due 31-60","OK")))))</f>
        <v/>
      </c>
      <c r="I662" s="54"/>
      <c r="J662" s="54"/>
      <c r="K662" s="54"/>
      <c r="L662" s="54"/>
      <c r="M662" s="105">
        <f>IF($F662="","",$F662+ROW()/100000)</f>
        <v/>
      </c>
    </row>
    <row r="663" spans="1:13">
      <c r="A663" s="54"/>
      <c r="B663" s="54"/>
      <c r="C663" s="52"/>
      <c r="D663" s="83">
        <f>IF($B663="","",IFERROR(IF(VLOOKUP($B663,Reference!$A$6:$C$27,3,FALSE)&gt;0,VLOOKUP($B663,Reference!$A$6:$C$27,3,FALSE),""),""))</f>
        <v/>
      </c>
      <c r="E663" s="53"/>
      <c r="F663" s="82">
        <f>IF(OR($A663="",$B663="",NOT(ISNUMBER($C663))),"",IF(ISNUMBER($E663),IF($E663&gt;0,EDATE($C663,$E663),""),IF(ISNUMBER($D663),EDATE($C663,$D663),"")))</f>
        <v/>
      </c>
      <c r="G663" s="83">
        <f>IF($F663="","",$F663-TODAY())</f>
        <v/>
      </c>
      <c r="H663" s="85">
        <f>IF(OR($A663="",$B663=""),"",IF($F663="","No date",IF($G663&lt;0,"Overdue",IF($G663&lt;=30,"Due &lt;=30",IF($G663&lt;=60,"Due 31-60","OK")))))</f>
        <v/>
      </c>
      <c r="I663" s="54"/>
      <c r="J663" s="54"/>
      <c r="K663" s="54"/>
      <c r="L663" s="54"/>
      <c r="M663" s="105">
        <f>IF($F663="","",$F663+ROW()/100000)</f>
        <v/>
      </c>
    </row>
    <row r="664" spans="1:13">
      <c r="A664" s="54"/>
      <c r="B664" s="54"/>
      <c r="C664" s="52"/>
      <c r="D664" s="83">
        <f>IF($B664="","",IFERROR(IF(VLOOKUP($B664,Reference!$A$6:$C$27,3,FALSE)&gt;0,VLOOKUP($B664,Reference!$A$6:$C$27,3,FALSE),""),""))</f>
        <v/>
      </c>
      <c r="E664" s="53"/>
      <c r="F664" s="82">
        <f>IF(OR($A664="",$B664="",NOT(ISNUMBER($C664))),"",IF(ISNUMBER($E664),IF($E664&gt;0,EDATE($C664,$E664),""),IF(ISNUMBER($D664),EDATE($C664,$D664),"")))</f>
        <v/>
      </c>
      <c r="G664" s="83">
        <f>IF($F664="","",$F664-TODAY())</f>
        <v/>
      </c>
      <c r="H664" s="85">
        <f>IF(OR($A664="",$B664=""),"",IF($F664="","No date",IF($G664&lt;0,"Overdue",IF($G664&lt;=30,"Due &lt;=30",IF($G664&lt;=60,"Due 31-60","OK")))))</f>
        <v/>
      </c>
      <c r="I664" s="54"/>
      <c r="J664" s="54"/>
      <c r="K664" s="54"/>
      <c r="L664" s="54"/>
      <c r="M664" s="105">
        <f>IF($F664="","",$F664+ROW()/100000)</f>
        <v/>
      </c>
    </row>
    <row r="665" spans="1:13">
      <c r="A665" s="54"/>
      <c r="B665" s="54"/>
      <c r="C665" s="52"/>
      <c r="D665" s="83">
        <f>IF($B665="","",IFERROR(IF(VLOOKUP($B665,Reference!$A$6:$C$27,3,FALSE)&gt;0,VLOOKUP($B665,Reference!$A$6:$C$27,3,FALSE),""),""))</f>
        <v/>
      </c>
      <c r="E665" s="53"/>
      <c r="F665" s="82">
        <f>IF(OR($A665="",$B665="",NOT(ISNUMBER($C665))),"",IF(ISNUMBER($E665),IF($E665&gt;0,EDATE($C665,$E665),""),IF(ISNUMBER($D665),EDATE($C665,$D665),"")))</f>
        <v/>
      </c>
      <c r="G665" s="83">
        <f>IF($F665="","",$F665-TODAY())</f>
        <v/>
      </c>
      <c r="H665" s="85">
        <f>IF(OR($A665="",$B665=""),"",IF($F665="","No date",IF($G665&lt;0,"Overdue",IF($G665&lt;=30,"Due &lt;=30",IF($G665&lt;=60,"Due 31-60","OK")))))</f>
        <v/>
      </c>
      <c r="I665" s="54"/>
      <c r="J665" s="54"/>
      <c r="K665" s="54"/>
      <c r="L665" s="54"/>
      <c r="M665" s="105">
        <f>IF($F665="","",$F665+ROW()/100000)</f>
        <v/>
      </c>
    </row>
    <row r="666" spans="1:13">
      <c r="A666" s="54"/>
      <c r="B666" s="54"/>
      <c r="C666" s="52"/>
      <c r="D666" s="83">
        <f>IF($B666="","",IFERROR(IF(VLOOKUP($B666,Reference!$A$6:$C$27,3,FALSE)&gt;0,VLOOKUP($B666,Reference!$A$6:$C$27,3,FALSE),""),""))</f>
        <v/>
      </c>
      <c r="E666" s="53"/>
      <c r="F666" s="82">
        <f>IF(OR($A666="",$B666="",NOT(ISNUMBER($C666))),"",IF(ISNUMBER($E666),IF($E666&gt;0,EDATE($C666,$E666),""),IF(ISNUMBER($D666),EDATE($C666,$D666),"")))</f>
        <v/>
      </c>
      <c r="G666" s="83">
        <f>IF($F666="","",$F666-TODAY())</f>
        <v/>
      </c>
      <c r="H666" s="85">
        <f>IF(OR($A666="",$B666=""),"",IF($F666="","No date",IF($G666&lt;0,"Overdue",IF($G666&lt;=30,"Due &lt;=30",IF($G666&lt;=60,"Due 31-60","OK")))))</f>
        <v/>
      </c>
      <c r="I666" s="54"/>
      <c r="J666" s="54"/>
      <c r="K666" s="54"/>
      <c r="L666" s="54"/>
      <c r="M666" s="105">
        <f>IF($F666="","",$F666+ROW()/100000)</f>
        <v/>
      </c>
    </row>
    <row r="667" spans="1:13">
      <c r="A667" s="54"/>
      <c r="B667" s="54"/>
      <c r="C667" s="52"/>
      <c r="D667" s="83">
        <f>IF($B667="","",IFERROR(IF(VLOOKUP($B667,Reference!$A$6:$C$27,3,FALSE)&gt;0,VLOOKUP($B667,Reference!$A$6:$C$27,3,FALSE),""),""))</f>
        <v/>
      </c>
      <c r="E667" s="53"/>
      <c r="F667" s="82">
        <f>IF(OR($A667="",$B667="",NOT(ISNUMBER($C667))),"",IF(ISNUMBER($E667),IF($E667&gt;0,EDATE($C667,$E667),""),IF(ISNUMBER($D667),EDATE($C667,$D667),"")))</f>
        <v/>
      </c>
      <c r="G667" s="83">
        <f>IF($F667="","",$F667-TODAY())</f>
        <v/>
      </c>
      <c r="H667" s="85">
        <f>IF(OR($A667="",$B667=""),"",IF($F667="","No date",IF($G667&lt;0,"Overdue",IF($G667&lt;=30,"Due &lt;=30",IF($G667&lt;=60,"Due 31-60","OK")))))</f>
        <v/>
      </c>
      <c r="I667" s="54"/>
      <c r="J667" s="54"/>
      <c r="K667" s="54"/>
      <c r="L667" s="54"/>
      <c r="M667" s="105">
        <f>IF($F667="","",$F667+ROW()/100000)</f>
        <v/>
      </c>
    </row>
    <row r="668" spans="1:13">
      <c r="A668" s="54"/>
      <c r="B668" s="54"/>
      <c r="C668" s="52"/>
      <c r="D668" s="83">
        <f>IF($B668="","",IFERROR(IF(VLOOKUP($B668,Reference!$A$6:$C$27,3,FALSE)&gt;0,VLOOKUP($B668,Reference!$A$6:$C$27,3,FALSE),""),""))</f>
        <v/>
      </c>
      <c r="E668" s="53"/>
      <c r="F668" s="82">
        <f>IF(OR($A668="",$B668="",NOT(ISNUMBER($C668))),"",IF(ISNUMBER($E668),IF($E668&gt;0,EDATE($C668,$E668),""),IF(ISNUMBER($D668),EDATE($C668,$D668),"")))</f>
        <v/>
      </c>
      <c r="G668" s="83">
        <f>IF($F668="","",$F668-TODAY())</f>
        <v/>
      </c>
      <c r="H668" s="85">
        <f>IF(OR($A668="",$B668=""),"",IF($F668="","No date",IF($G668&lt;0,"Overdue",IF($G668&lt;=30,"Due &lt;=30",IF($G668&lt;=60,"Due 31-60","OK")))))</f>
        <v/>
      </c>
      <c r="I668" s="54"/>
      <c r="J668" s="54"/>
      <c r="K668" s="54"/>
      <c r="L668" s="54"/>
      <c r="M668" s="105">
        <f>IF($F668="","",$F668+ROW()/100000)</f>
        <v/>
      </c>
    </row>
    <row r="669" spans="1:13">
      <c r="A669" s="54"/>
      <c r="B669" s="54"/>
      <c r="C669" s="52"/>
      <c r="D669" s="83">
        <f>IF($B669="","",IFERROR(IF(VLOOKUP($B669,Reference!$A$6:$C$27,3,FALSE)&gt;0,VLOOKUP($B669,Reference!$A$6:$C$27,3,FALSE),""),""))</f>
        <v/>
      </c>
      <c r="E669" s="53"/>
      <c r="F669" s="82">
        <f>IF(OR($A669="",$B669="",NOT(ISNUMBER($C669))),"",IF(ISNUMBER($E669),IF($E669&gt;0,EDATE($C669,$E669),""),IF(ISNUMBER($D669),EDATE($C669,$D669),"")))</f>
        <v/>
      </c>
      <c r="G669" s="83">
        <f>IF($F669="","",$F669-TODAY())</f>
        <v/>
      </c>
      <c r="H669" s="85">
        <f>IF(OR($A669="",$B669=""),"",IF($F669="","No date",IF($G669&lt;0,"Overdue",IF($G669&lt;=30,"Due &lt;=30",IF($G669&lt;=60,"Due 31-60","OK")))))</f>
        <v/>
      </c>
      <c r="I669" s="54"/>
      <c r="J669" s="54"/>
      <c r="K669" s="54"/>
      <c r="L669" s="54"/>
      <c r="M669" s="105">
        <f>IF($F669="","",$F669+ROW()/100000)</f>
        <v/>
      </c>
    </row>
    <row r="670" spans="1:13">
      <c r="A670" s="54"/>
      <c r="B670" s="54"/>
      <c r="C670" s="52"/>
      <c r="D670" s="83">
        <f>IF($B670="","",IFERROR(IF(VLOOKUP($B670,Reference!$A$6:$C$27,3,FALSE)&gt;0,VLOOKUP($B670,Reference!$A$6:$C$27,3,FALSE),""),""))</f>
        <v/>
      </c>
      <c r="E670" s="53"/>
      <c r="F670" s="82">
        <f>IF(OR($A670="",$B670="",NOT(ISNUMBER($C670))),"",IF(ISNUMBER($E670),IF($E670&gt;0,EDATE($C670,$E670),""),IF(ISNUMBER($D670),EDATE($C670,$D670),"")))</f>
        <v/>
      </c>
      <c r="G670" s="83">
        <f>IF($F670="","",$F670-TODAY())</f>
        <v/>
      </c>
      <c r="H670" s="85">
        <f>IF(OR($A670="",$B670=""),"",IF($F670="","No date",IF($G670&lt;0,"Overdue",IF($G670&lt;=30,"Due &lt;=30",IF($G670&lt;=60,"Due 31-60","OK")))))</f>
        <v/>
      </c>
      <c r="I670" s="54"/>
      <c r="J670" s="54"/>
      <c r="K670" s="54"/>
      <c r="L670" s="54"/>
      <c r="M670" s="105">
        <f>IF($F670="","",$F670+ROW()/100000)</f>
        <v/>
      </c>
    </row>
    <row r="671" spans="1:13">
      <c r="A671" s="54"/>
      <c r="B671" s="54"/>
      <c r="C671" s="52"/>
      <c r="D671" s="83">
        <f>IF($B671="","",IFERROR(IF(VLOOKUP($B671,Reference!$A$6:$C$27,3,FALSE)&gt;0,VLOOKUP($B671,Reference!$A$6:$C$27,3,FALSE),""),""))</f>
        <v/>
      </c>
      <c r="E671" s="53"/>
      <c r="F671" s="82">
        <f>IF(OR($A671="",$B671="",NOT(ISNUMBER($C671))),"",IF(ISNUMBER($E671),IF($E671&gt;0,EDATE($C671,$E671),""),IF(ISNUMBER($D671),EDATE($C671,$D671),"")))</f>
        <v/>
      </c>
      <c r="G671" s="83">
        <f>IF($F671="","",$F671-TODAY())</f>
        <v/>
      </c>
      <c r="H671" s="85">
        <f>IF(OR($A671="",$B671=""),"",IF($F671="","No date",IF($G671&lt;0,"Overdue",IF($G671&lt;=30,"Due &lt;=30",IF($G671&lt;=60,"Due 31-60","OK")))))</f>
        <v/>
      </c>
      <c r="I671" s="54"/>
      <c r="J671" s="54"/>
      <c r="K671" s="54"/>
      <c r="L671" s="54"/>
      <c r="M671" s="105">
        <f>IF($F671="","",$F671+ROW()/100000)</f>
        <v/>
      </c>
    </row>
    <row r="672" spans="1:13">
      <c r="A672" s="54"/>
      <c r="B672" s="54"/>
      <c r="C672" s="52"/>
      <c r="D672" s="83">
        <f>IF($B672="","",IFERROR(IF(VLOOKUP($B672,Reference!$A$6:$C$27,3,FALSE)&gt;0,VLOOKUP($B672,Reference!$A$6:$C$27,3,FALSE),""),""))</f>
        <v/>
      </c>
      <c r="E672" s="53"/>
      <c r="F672" s="82">
        <f>IF(OR($A672="",$B672="",NOT(ISNUMBER($C672))),"",IF(ISNUMBER($E672),IF($E672&gt;0,EDATE($C672,$E672),""),IF(ISNUMBER($D672),EDATE($C672,$D672),"")))</f>
        <v/>
      </c>
      <c r="G672" s="83">
        <f>IF($F672="","",$F672-TODAY())</f>
        <v/>
      </c>
      <c r="H672" s="85">
        <f>IF(OR($A672="",$B672=""),"",IF($F672="","No date",IF($G672&lt;0,"Overdue",IF($G672&lt;=30,"Due &lt;=30",IF($G672&lt;=60,"Due 31-60","OK")))))</f>
        <v/>
      </c>
      <c r="I672" s="54"/>
      <c r="J672" s="54"/>
      <c r="K672" s="54"/>
      <c r="L672" s="54"/>
      <c r="M672" s="105">
        <f>IF($F672="","",$F672+ROW()/100000)</f>
        <v/>
      </c>
    </row>
    <row r="673" spans="1:13">
      <c r="A673" s="54"/>
      <c r="B673" s="54"/>
      <c r="C673" s="52"/>
      <c r="D673" s="83">
        <f>IF($B673="","",IFERROR(IF(VLOOKUP($B673,Reference!$A$6:$C$27,3,FALSE)&gt;0,VLOOKUP($B673,Reference!$A$6:$C$27,3,FALSE),""),""))</f>
        <v/>
      </c>
      <c r="E673" s="53"/>
      <c r="F673" s="82">
        <f>IF(OR($A673="",$B673="",NOT(ISNUMBER($C673))),"",IF(ISNUMBER($E673),IF($E673&gt;0,EDATE($C673,$E673),""),IF(ISNUMBER($D673),EDATE($C673,$D673),"")))</f>
        <v/>
      </c>
      <c r="G673" s="83">
        <f>IF($F673="","",$F673-TODAY())</f>
        <v/>
      </c>
      <c r="H673" s="85">
        <f>IF(OR($A673="",$B673=""),"",IF($F673="","No date",IF($G673&lt;0,"Overdue",IF($G673&lt;=30,"Due &lt;=30",IF($G673&lt;=60,"Due 31-60","OK")))))</f>
        <v/>
      </c>
      <c r="I673" s="54"/>
      <c r="J673" s="54"/>
      <c r="K673" s="54"/>
      <c r="L673" s="54"/>
      <c r="M673" s="105">
        <f>IF($F673="","",$F673+ROW()/100000)</f>
        <v/>
      </c>
    </row>
    <row r="674" spans="1:13">
      <c r="A674" s="54"/>
      <c r="B674" s="54"/>
      <c r="C674" s="52"/>
      <c r="D674" s="83">
        <f>IF($B674="","",IFERROR(IF(VLOOKUP($B674,Reference!$A$6:$C$27,3,FALSE)&gt;0,VLOOKUP($B674,Reference!$A$6:$C$27,3,FALSE),""),""))</f>
        <v/>
      </c>
      <c r="E674" s="53"/>
      <c r="F674" s="82">
        <f>IF(OR($A674="",$B674="",NOT(ISNUMBER($C674))),"",IF(ISNUMBER($E674),IF($E674&gt;0,EDATE($C674,$E674),""),IF(ISNUMBER($D674),EDATE($C674,$D674),"")))</f>
        <v/>
      </c>
      <c r="G674" s="83">
        <f>IF($F674="","",$F674-TODAY())</f>
        <v/>
      </c>
      <c r="H674" s="85">
        <f>IF(OR($A674="",$B674=""),"",IF($F674="","No date",IF($G674&lt;0,"Overdue",IF($G674&lt;=30,"Due &lt;=30",IF($G674&lt;=60,"Due 31-60","OK")))))</f>
        <v/>
      </c>
      <c r="I674" s="54"/>
      <c r="J674" s="54"/>
      <c r="K674" s="54"/>
      <c r="L674" s="54"/>
      <c r="M674" s="105">
        <f>IF($F674="","",$F674+ROW()/100000)</f>
        <v/>
      </c>
    </row>
    <row r="675" spans="1:13">
      <c r="A675" s="54"/>
      <c r="B675" s="54"/>
      <c r="C675" s="52"/>
      <c r="D675" s="83">
        <f>IF($B675="","",IFERROR(IF(VLOOKUP($B675,Reference!$A$6:$C$27,3,FALSE)&gt;0,VLOOKUP($B675,Reference!$A$6:$C$27,3,FALSE),""),""))</f>
        <v/>
      </c>
      <c r="E675" s="53"/>
      <c r="F675" s="82">
        <f>IF(OR($A675="",$B675="",NOT(ISNUMBER($C675))),"",IF(ISNUMBER($E675),IF($E675&gt;0,EDATE($C675,$E675),""),IF(ISNUMBER($D675),EDATE($C675,$D675),"")))</f>
        <v/>
      </c>
      <c r="G675" s="83">
        <f>IF($F675="","",$F675-TODAY())</f>
        <v/>
      </c>
      <c r="H675" s="85">
        <f>IF(OR($A675="",$B675=""),"",IF($F675="","No date",IF($G675&lt;0,"Overdue",IF($G675&lt;=30,"Due &lt;=30",IF($G675&lt;=60,"Due 31-60","OK")))))</f>
        <v/>
      </c>
      <c r="I675" s="54"/>
      <c r="J675" s="54"/>
      <c r="K675" s="54"/>
      <c r="L675" s="54"/>
      <c r="M675" s="105">
        <f>IF($F675="","",$F675+ROW()/100000)</f>
        <v/>
      </c>
    </row>
    <row r="676" spans="1:13">
      <c r="A676" s="54"/>
      <c r="B676" s="54"/>
      <c r="C676" s="52"/>
      <c r="D676" s="83">
        <f>IF($B676="","",IFERROR(IF(VLOOKUP($B676,Reference!$A$6:$C$27,3,FALSE)&gt;0,VLOOKUP($B676,Reference!$A$6:$C$27,3,FALSE),""),""))</f>
        <v/>
      </c>
      <c r="E676" s="53"/>
      <c r="F676" s="82">
        <f>IF(OR($A676="",$B676="",NOT(ISNUMBER($C676))),"",IF(ISNUMBER($E676),IF($E676&gt;0,EDATE($C676,$E676),""),IF(ISNUMBER($D676),EDATE($C676,$D676),"")))</f>
        <v/>
      </c>
      <c r="G676" s="83">
        <f>IF($F676="","",$F676-TODAY())</f>
        <v/>
      </c>
      <c r="H676" s="85">
        <f>IF(OR($A676="",$B676=""),"",IF($F676="","No date",IF($G676&lt;0,"Overdue",IF($G676&lt;=30,"Due &lt;=30",IF($G676&lt;=60,"Due 31-60","OK")))))</f>
        <v/>
      </c>
      <c r="I676" s="54"/>
      <c r="J676" s="54"/>
      <c r="K676" s="54"/>
      <c r="L676" s="54"/>
      <c r="M676" s="105">
        <f>IF($F676="","",$F676+ROW()/100000)</f>
        <v/>
      </c>
    </row>
    <row r="677" spans="1:13">
      <c r="A677" s="54"/>
      <c r="B677" s="54"/>
      <c r="C677" s="52"/>
      <c r="D677" s="83">
        <f>IF($B677="","",IFERROR(IF(VLOOKUP($B677,Reference!$A$6:$C$27,3,FALSE)&gt;0,VLOOKUP($B677,Reference!$A$6:$C$27,3,FALSE),""),""))</f>
        <v/>
      </c>
      <c r="E677" s="53"/>
      <c r="F677" s="82">
        <f>IF(OR($A677="",$B677="",NOT(ISNUMBER($C677))),"",IF(ISNUMBER($E677),IF($E677&gt;0,EDATE($C677,$E677),""),IF(ISNUMBER($D677),EDATE($C677,$D677),"")))</f>
        <v/>
      </c>
      <c r="G677" s="83">
        <f>IF($F677="","",$F677-TODAY())</f>
        <v/>
      </c>
      <c r="H677" s="85">
        <f>IF(OR($A677="",$B677=""),"",IF($F677="","No date",IF($G677&lt;0,"Overdue",IF($G677&lt;=30,"Due &lt;=30",IF($G677&lt;=60,"Due 31-60","OK")))))</f>
        <v/>
      </c>
      <c r="I677" s="54"/>
      <c r="J677" s="54"/>
      <c r="K677" s="54"/>
      <c r="L677" s="54"/>
      <c r="M677" s="105">
        <f>IF($F677="","",$F677+ROW()/100000)</f>
        <v/>
      </c>
    </row>
    <row r="678" spans="1:13">
      <c r="A678" s="54"/>
      <c r="B678" s="54"/>
      <c r="C678" s="52"/>
      <c r="D678" s="83">
        <f>IF($B678="","",IFERROR(IF(VLOOKUP($B678,Reference!$A$6:$C$27,3,FALSE)&gt;0,VLOOKUP($B678,Reference!$A$6:$C$27,3,FALSE),""),""))</f>
        <v/>
      </c>
      <c r="E678" s="53"/>
      <c r="F678" s="82">
        <f>IF(OR($A678="",$B678="",NOT(ISNUMBER($C678))),"",IF(ISNUMBER($E678),IF($E678&gt;0,EDATE($C678,$E678),""),IF(ISNUMBER($D678),EDATE($C678,$D678),"")))</f>
        <v/>
      </c>
      <c r="G678" s="83">
        <f>IF($F678="","",$F678-TODAY())</f>
        <v/>
      </c>
      <c r="H678" s="85">
        <f>IF(OR($A678="",$B678=""),"",IF($F678="","No date",IF($G678&lt;0,"Overdue",IF($G678&lt;=30,"Due &lt;=30",IF($G678&lt;=60,"Due 31-60","OK")))))</f>
        <v/>
      </c>
      <c r="I678" s="54"/>
      <c r="J678" s="54"/>
      <c r="K678" s="54"/>
      <c r="L678" s="54"/>
      <c r="M678" s="105">
        <f>IF($F678="","",$F678+ROW()/100000)</f>
        <v/>
      </c>
    </row>
    <row r="679" spans="1:13">
      <c r="A679" s="54"/>
      <c r="B679" s="54"/>
      <c r="C679" s="52"/>
      <c r="D679" s="83">
        <f>IF($B679="","",IFERROR(IF(VLOOKUP($B679,Reference!$A$6:$C$27,3,FALSE)&gt;0,VLOOKUP($B679,Reference!$A$6:$C$27,3,FALSE),""),""))</f>
        <v/>
      </c>
      <c r="E679" s="53"/>
      <c r="F679" s="82">
        <f>IF(OR($A679="",$B679="",NOT(ISNUMBER($C679))),"",IF(ISNUMBER($E679),IF($E679&gt;0,EDATE($C679,$E679),""),IF(ISNUMBER($D679),EDATE($C679,$D679),"")))</f>
        <v/>
      </c>
      <c r="G679" s="83">
        <f>IF($F679="","",$F679-TODAY())</f>
        <v/>
      </c>
      <c r="H679" s="85">
        <f>IF(OR($A679="",$B679=""),"",IF($F679="","No date",IF($G679&lt;0,"Overdue",IF($G679&lt;=30,"Due &lt;=30",IF($G679&lt;=60,"Due 31-60","OK")))))</f>
        <v/>
      </c>
      <c r="I679" s="54"/>
      <c r="J679" s="54"/>
      <c r="K679" s="54"/>
      <c r="L679" s="54"/>
      <c r="M679" s="105">
        <f>IF($F679="","",$F679+ROW()/100000)</f>
        <v/>
      </c>
    </row>
    <row r="680" spans="1:13">
      <c r="A680" s="54"/>
      <c r="B680" s="54"/>
      <c r="C680" s="52"/>
      <c r="D680" s="83">
        <f>IF($B680="","",IFERROR(IF(VLOOKUP($B680,Reference!$A$6:$C$27,3,FALSE)&gt;0,VLOOKUP($B680,Reference!$A$6:$C$27,3,FALSE),""),""))</f>
        <v/>
      </c>
      <c r="E680" s="53"/>
      <c r="F680" s="82">
        <f>IF(OR($A680="",$B680="",NOT(ISNUMBER($C680))),"",IF(ISNUMBER($E680),IF($E680&gt;0,EDATE($C680,$E680),""),IF(ISNUMBER($D680),EDATE($C680,$D680),"")))</f>
        <v/>
      </c>
      <c r="G680" s="83">
        <f>IF($F680="","",$F680-TODAY())</f>
        <v/>
      </c>
      <c r="H680" s="85">
        <f>IF(OR($A680="",$B680=""),"",IF($F680="","No date",IF($G680&lt;0,"Overdue",IF($G680&lt;=30,"Due &lt;=30",IF($G680&lt;=60,"Due 31-60","OK")))))</f>
        <v/>
      </c>
      <c r="I680" s="54"/>
      <c r="J680" s="54"/>
      <c r="K680" s="54"/>
      <c r="L680" s="54"/>
      <c r="M680" s="105">
        <f>IF($F680="","",$F680+ROW()/100000)</f>
        <v/>
      </c>
    </row>
    <row r="681" spans="1:13">
      <c r="A681" s="54"/>
      <c r="B681" s="54"/>
      <c r="C681" s="52"/>
      <c r="D681" s="83">
        <f>IF($B681="","",IFERROR(IF(VLOOKUP($B681,Reference!$A$6:$C$27,3,FALSE)&gt;0,VLOOKUP($B681,Reference!$A$6:$C$27,3,FALSE),""),""))</f>
        <v/>
      </c>
      <c r="E681" s="53"/>
      <c r="F681" s="82">
        <f>IF(OR($A681="",$B681="",NOT(ISNUMBER($C681))),"",IF(ISNUMBER($E681),IF($E681&gt;0,EDATE($C681,$E681),""),IF(ISNUMBER($D681),EDATE($C681,$D681),"")))</f>
        <v/>
      </c>
      <c r="G681" s="83">
        <f>IF($F681="","",$F681-TODAY())</f>
        <v/>
      </c>
      <c r="H681" s="85">
        <f>IF(OR($A681="",$B681=""),"",IF($F681="","No date",IF($G681&lt;0,"Overdue",IF($G681&lt;=30,"Due &lt;=30",IF($G681&lt;=60,"Due 31-60","OK")))))</f>
        <v/>
      </c>
      <c r="I681" s="54"/>
      <c r="J681" s="54"/>
      <c r="K681" s="54"/>
      <c r="L681" s="54"/>
      <c r="M681" s="105">
        <f>IF($F681="","",$F681+ROW()/100000)</f>
        <v/>
      </c>
    </row>
    <row r="682" spans="1:13">
      <c r="A682" s="54"/>
      <c r="B682" s="54"/>
      <c r="C682" s="52"/>
      <c r="D682" s="83">
        <f>IF($B682="","",IFERROR(IF(VLOOKUP($B682,Reference!$A$6:$C$27,3,FALSE)&gt;0,VLOOKUP($B682,Reference!$A$6:$C$27,3,FALSE),""),""))</f>
        <v/>
      </c>
      <c r="E682" s="53"/>
      <c r="F682" s="82">
        <f>IF(OR($A682="",$B682="",NOT(ISNUMBER($C682))),"",IF(ISNUMBER($E682),IF($E682&gt;0,EDATE($C682,$E682),""),IF(ISNUMBER($D682),EDATE($C682,$D682),"")))</f>
        <v/>
      </c>
      <c r="G682" s="83">
        <f>IF($F682="","",$F682-TODAY())</f>
        <v/>
      </c>
      <c r="H682" s="85">
        <f>IF(OR($A682="",$B682=""),"",IF($F682="","No date",IF($G682&lt;0,"Overdue",IF($G682&lt;=30,"Due &lt;=30",IF($G682&lt;=60,"Due 31-60","OK")))))</f>
        <v/>
      </c>
      <c r="I682" s="54"/>
      <c r="J682" s="54"/>
      <c r="K682" s="54"/>
      <c r="L682" s="54"/>
      <c r="M682" s="105">
        <f>IF($F682="","",$F682+ROW()/100000)</f>
        <v/>
      </c>
    </row>
    <row r="683" spans="1:13">
      <c r="A683" s="54"/>
      <c r="B683" s="54"/>
      <c r="C683" s="52"/>
      <c r="D683" s="83">
        <f>IF($B683="","",IFERROR(IF(VLOOKUP($B683,Reference!$A$6:$C$27,3,FALSE)&gt;0,VLOOKUP($B683,Reference!$A$6:$C$27,3,FALSE),""),""))</f>
        <v/>
      </c>
      <c r="E683" s="53"/>
      <c r="F683" s="82">
        <f>IF(OR($A683="",$B683="",NOT(ISNUMBER($C683))),"",IF(ISNUMBER($E683),IF($E683&gt;0,EDATE($C683,$E683),""),IF(ISNUMBER($D683),EDATE($C683,$D683),"")))</f>
        <v/>
      </c>
      <c r="G683" s="83">
        <f>IF($F683="","",$F683-TODAY())</f>
        <v/>
      </c>
      <c r="H683" s="85">
        <f>IF(OR($A683="",$B683=""),"",IF($F683="","No date",IF($G683&lt;0,"Overdue",IF($G683&lt;=30,"Due &lt;=30",IF($G683&lt;=60,"Due 31-60","OK")))))</f>
        <v/>
      </c>
      <c r="I683" s="54"/>
      <c r="J683" s="54"/>
      <c r="K683" s="54"/>
      <c r="L683" s="54"/>
      <c r="M683" s="105">
        <f>IF($F683="","",$F683+ROW()/100000)</f>
        <v/>
      </c>
    </row>
    <row r="684" spans="1:13">
      <c r="A684" s="54"/>
      <c r="B684" s="54"/>
      <c r="C684" s="52"/>
      <c r="D684" s="83">
        <f>IF($B684="","",IFERROR(IF(VLOOKUP($B684,Reference!$A$6:$C$27,3,FALSE)&gt;0,VLOOKUP($B684,Reference!$A$6:$C$27,3,FALSE),""),""))</f>
        <v/>
      </c>
      <c r="E684" s="53"/>
      <c r="F684" s="82">
        <f>IF(OR($A684="",$B684="",NOT(ISNUMBER($C684))),"",IF(ISNUMBER($E684),IF($E684&gt;0,EDATE($C684,$E684),""),IF(ISNUMBER($D684),EDATE($C684,$D684),"")))</f>
        <v/>
      </c>
      <c r="G684" s="83">
        <f>IF($F684="","",$F684-TODAY())</f>
        <v/>
      </c>
      <c r="H684" s="85">
        <f>IF(OR($A684="",$B684=""),"",IF($F684="","No date",IF($G684&lt;0,"Overdue",IF($G684&lt;=30,"Due &lt;=30",IF($G684&lt;=60,"Due 31-60","OK")))))</f>
        <v/>
      </c>
      <c r="I684" s="54"/>
      <c r="J684" s="54"/>
      <c r="K684" s="54"/>
      <c r="L684" s="54"/>
      <c r="M684" s="105">
        <f>IF($F684="","",$F684+ROW()/100000)</f>
        <v/>
      </c>
    </row>
    <row r="685" spans="1:13">
      <c r="A685" s="54"/>
      <c r="B685" s="54"/>
      <c r="C685" s="52"/>
      <c r="D685" s="83">
        <f>IF($B685="","",IFERROR(IF(VLOOKUP($B685,Reference!$A$6:$C$27,3,FALSE)&gt;0,VLOOKUP($B685,Reference!$A$6:$C$27,3,FALSE),""),""))</f>
        <v/>
      </c>
      <c r="E685" s="53"/>
      <c r="F685" s="82">
        <f>IF(OR($A685="",$B685="",NOT(ISNUMBER($C685))),"",IF(ISNUMBER($E685),IF($E685&gt;0,EDATE($C685,$E685),""),IF(ISNUMBER($D685),EDATE($C685,$D685),"")))</f>
        <v/>
      </c>
      <c r="G685" s="83">
        <f>IF($F685="","",$F685-TODAY())</f>
        <v/>
      </c>
      <c r="H685" s="85">
        <f>IF(OR($A685="",$B685=""),"",IF($F685="","No date",IF($G685&lt;0,"Overdue",IF($G685&lt;=30,"Due &lt;=30",IF($G685&lt;=60,"Due 31-60","OK")))))</f>
        <v/>
      </c>
      <c r="I685" s="54"/>
      <c r="J685" s="54"/>
      <c r="K685" s="54"/>
      <c r="L685" s="54"/>
      <c r="M685" s="105">
        <f>IF($F685="","",$F685+ROW()/100000)</f>
        <v/>
      </c>
    </row>
    <row r="686" spans="1:13">
      <c r="A686" s="54"/>
      <c r="B686" s="54"/>
      <c r="C686" s="52"/>
      <c r="D686" s="83">
        <f>IF($B686="","",IFERROR(IF(VLOOKUP($B686,Reference!$A$6:$C$27,3,FALSE)&gt;0,VLOOKUP($B686,Reference!$A$6:$C$27,3,FALSE),""),""))</f>
        <v/>
      </c>
      <c r="E686" s="53"/>
      <c r="F686" s="82">
        <f>IF(OR($A686="",$B686="",NOT(ISNUMBER($C686))),"",IF(ISNUMBER($E686),IF($E686&gt;0,EDATE($C686,$E686),""),IF(ISNUMBER($D686),EDATE($C686,$D686),"")))</f>
        <v/>
      </c>
      <c r="G686" s="83">
        <f>IF($F686="","",$F686-TODAY())</f>
        <v/>
      </c>
      <c r="H686" s="85">
        <f>IF(OR($A686="",$B686=""),"",IF($F686="","No date",IF($G686&lt;0,"Overdue",IF($G686&lt;=30,"Due &lt;=30",IF($G686&lt;=60,"Due 31-60","OK")))))</f>
        <v/>
      </c>
      <c r="I686" s="54"/>
      <c r="J686" s="54"/>
      <c r="K686" s="54"/>
      <c r="L686" s="54"/>
      <c r="M686" s="105">
        <f>IF($F686="","",$F686+ROW()/100000)</f>
        <v/>
      </c>
    </row>
    <row r="687" spans="1:13">
      <c r="A687" s="54"/>
      <c r="B687" s="54"/>
      <c r="C687" s="52"/>
      <c r="D687" s="83">
        <f>IF($B687="","",IFERROR(IF(VLOOKUP($B687,Reference!$A$6:$C$27,3,FALSE)&gt;0,VLOOKUP($B687,Reference!$A$6:$C$27,3,FALSE),""),""))</f>
        <v/>
      </c>
      <c r="E687" s="53"/>
      <c r="F687" s="82">
        <f>IF(OR($A687="",$B687="",NOT(ISNUMBER($C687))),"",IF(ISNUMBER($E687),IF($E687&gt;0,EDATE($C687,$E687),""),IF(ISNUMBER($D687),EDATE($C687,$D687),"")))</f>
        <v/>
      </c>
      <c r="G687" s="83">
        <f>IF($F687="","",$F687-TODAY())</f>
        <v/>
      </c>
      <c r="H687" s="85">
        <f>IF(OR($A687="",$B687=""),"",IF($F687="","No date",IF($G687&lt;0,"Overdue",IF($G687&lt;=30,"Due &lt;=30",IF($G687&lt;=60,"Due 31-60","OK")))))</f>
        <v/>
      </c>
      <c r="I687" s="54"/>
      <c r="J687" s="54"/>
      <c r="K687" s="54"/>
      <c r="L687" s="54"/>
      <c r="M687" s="105">
        <f>IF($F687="","",$F687+ROW()/100000)</f>
        <v/>
      </c>
    </row>
    <row r="688" spans="1:13">
      <c r="A688" s="54"/>
      <c r="B688" s="54"/>
      <c r="C688" s="52"/>
      <c r="D688" s="83">
        <f>IF($B688="","",IFERROR(IF(VLOOKUP($B688,Reference!$A$6:$C$27,3,FALSE)&gt;0,VLOOKUP($B688,Reference!$A$6:$C$27,3,FALSE),""),""))</f>
        <v/>
      </c>
      <c r="E688" s="53"/>
      <c r="F688" s="82">
        <f>IF(OR($A688="",$B688="",NOT(ISNUMBER($C688))),"",IF(ISNUMBER($E688),IF($E688&gt;0,EDATE($C688,$E688),""),IF(ISNUMBER($D688),EDATE($C688,$D688),"")))</f>
        <v/>
      </c>
      <c r="G688" s="83">
        <f>IF($F688="","",$F688-TODAY())</f>
        <v/>
      </c>
      <c r="H688" s="85">
        <f>IF(OR($A688="",$B688=""),"",IF($F688="","No date",IF($G688&lt;0,"Overdue",IF($G688&lt;=30,"Due &lt;=30",IF($G688&lt;=60,"Due 31-60","OK")))))</f>
        <v/>
      </c>
      <c r="I688" s="54"/>
      <c r="J688" s="54"/>
      <c r="K688" s="54"/>
      <c r="L688" s="54"/>
      <c r="M688" s="105">
        <f>IF($F688="","",$F688+ROW()/100000)</f>
        <v/>
      </c>
    </row>
    <row r="689" spans="1:13">
      <c r="A689" s="54"/>
      <c r="B689" s="54"/>
      <c r="C689" s="52"/>
      <c r="D689" s="83">
        <f>IF($B689="","",IFERROR(IF(VLOOKUP($B689,Reference!$A$6:$C$27,3,FALSE)&gt;0,VLOOKUP($B689,Reference!$A$6:$C$27,3,FALSE),""),""))</f>
        <v/>
      </c>
      <c r="E689" s="53"/>
      <c r="F689" s="82">
        <f>IF(OR($A689="",$B689="",NOT(ISNUMBER($C689))),"",IF(ISNUMBER($E689),IF($E689&gt;0,EDATE($C689,$E689),""),IF(ISNUMBER($D689),EDATE($C689,$D689),"")))</f>
        <v/>
      </c>
      <c r="G689" s="83">
        <f>IF($F689="","",$F689-TODAY())</f>
        <v/>
      </c>
      <c r="H689" s="85">
        <f>IF(OR($A689="",$B689=""),"",IF($F689="","No date",IF($G689&lt;0,"Overdue",IF($G689&lt;=30,"Due &lt;=30",IF($G689&lt;=60,"Due 31-60","OK")))))</f>
        <v/>
      </c>
      <c r="I689" s="54"/>
      <c r="J689" s="54"/>
      <c r="K689" s="54"/>
      <c r="L689" s="54"/>
      <c r="M689" s="105">
        <f>IF($F689="","",$F689+ROW()/100000)</f>
        <v/>
      </c>
    </row>
    <row r="690" spans="1:13">
      <c r="A690" s="54"/>
      <c r="B690" s="54"/>
      <c r="C690" s="52"/>
      <c r="D690" s="83">
        <f>IF($B690="","",IFERROR(IF(VLOOKUP($B690,Reference!$A$6:$C$27,3,FALSE)&gt;0,VLOOKUP($B690,Reference!$A$6:$C$27,3,FALSE),""),""))</f>
        <v/>
      </c>
      <c r="E690" s="53"/>
      <c r="F690" s="82">
        <f>IF(OR($A690="",$B690="",NOT(ISNUMBER($C690))),"",IF(ISNUMBER($E690),IF($E690&gt;0,EDATE($C690,$E690),""),IF(ISNUMBER($D690),EDATE($C690,$D690),"")))</f>
        <v/>
      </c>
      <c r="G690" s="83">
        <f>IF($F690="","",$F690-TODAY())</f>
        <v/>
      </c>
      <c r="H690" s="85">
        <f>IF(OR($A690="",$B690=""),"",IF($F690="","No date",IF($G690&lt;0,"Overdue",IF($G690&lt;=30,"Due &lt;=30",IF($G690&lt;=60,"Due 31-60","OK")))))</f>
        <v/>
      </c>
      <c r="I690" s="54"/>
      <c r="J690" s="54"/>
      <c r="K690" s="54"/>
      <c r="L690" s="54"/>
      <c r="M690" s="105">
        <f>IF($F690="","",$F690+ROW()/100000)</f>
        <v/>
      </c>
    </row>
    <row r="691" spans="1:13">
      <c r="A691" s="54"/>
      <c r="B691" s="54"/>
      <c r="C691" s="52"/>
      <c r="D691" s="83">
        <f>IF($B691="","",IFERROR(IF(VLOOKUP($B691,Reference!$A$6:$C$27,3,FALSE)&gt;0,VLOOKUP($B691,Reference!$A$6:$C$27,3,FALSE),""),""))</f>
        <v/>
      </c>
      <c r="E691" s="53"/>
      <c r="F691" s="82">
        <f>IF(OR($A691="",$B691="",NOT(ISNUMBER($C691))),"",IF(ISNUMBER($E691),IF($E691&gt;0,EDATE($C691,$E691),""),IF(ISNUMBER($D691),EDATE($C691,$D691),"")))</f>
        <v/>
      </c>
      <c r="G691" s="83">
        <f>IF($F691="","",$F691-TODAY())</f>
        <v/>
      </c>
      <c r="H691" s="85">
        <f>IF(OR($A691="",$B691=""),"",IF($F691="","No date",IF($G691&lt;0,"Overdue",IF($G691&lt;=30,"Due &lt;=30",IF($G691&lt;=60,"Due 31-60","OK")))))</f>
        <v/>
      </c>
      <c r="I691" s="54"/>
      <c r="J691" s="54"/>
      <c r="K691" s="54"/>
      <c r="L691" s="54"/>
      <c r="M691" s="105">
        <f>IF($F691="","",$F691+ROW()/100000)</f>
        <v/>
      </c>
    </row>
    <row r="692" spans="1:13">
      <c r="A692" s="54"/>
      <c r="B692" s="54"/>
      <c r="C692" s="52"/>
      <c r="D692" s="83">
        <f>IF($B692="","",IFERROR(IF(VLOOKUP($B692,Reference!$A$6:$C$27,3,FALSE)&gt;0,VLOOKUP($B692,Reference!$A$6:$C$27,3,FALSE),""),""))</f>
        <v/>
      </c>
      <c r="E692" s="53"/>
      <c r="F692" s="82">
        <f>IF(OR($A692="",$B692="",NOT(ISNUMBER($C692))),"",IF(ISNUMBER($E692),IF($E692&gt;0,EDATE($C692,$E692),""),IF(ISNUMBER($D692),EDATE($C692,$D692),"")))</f>
        <v/>
      </c>
      <c r="G692" s="83">
        <f>IF($F692="","",$F692-TODAY())</f>
        <v/>
      </c>
      <c r="H692" s="85">
        <f>IF(OR($A692="",$B692=""),"",IF($F692="","No date",IF($G692&lt;0,"Overdue",IF($G692&lt;=30,"Due &lt;=30",IF($G692&lt;=60,"Due 31-60","OK")))))</f>
        <v/>
      </c>
      <c r="I692" s="54"/>
      <c r="J692" s="54"/>
      <c r="K692" s="54"/>
      <c r="L692" s="54"/>
      <c r="M692" s="105">
        <f>IF($F692="","",$F692+ROW()/100000)</f>
        <v/>
      </c>
    </row>
    <row r="693" spans="1:13">
      <c r="A693" s="54"/>
      <c r="B693" s="54"/>
      <c r="C693" s="52"/>
      <c r="D693" s="83">
        <f>IF($B693="","",IFERROR(IF(VLOOKUP($B693,Reference!$A$6:$C$27,3,FALSE)&gt;0,VLOOKUP($B693,Reference!$A$6:$C$27,3,FALSE),""),""))</f>
        <v/>
      </c>
      <c r="E693" s="53"/>
      <c r="F693" s="82">
        <f>IF(OR($A693="",$B693="",NOT(ISNUMBER($C693))),"",IF(ISNUMBER($E693),IF($E693&gt;0,EDATE($C693,$E693),""),IF(ISNUMBER($D693),EDATE($C693,$D693),"")))</f>
        <v/>
      </c>
      <c r="G693" s="83">
        <f>IF($F693="","",$F693-TODAY())</f>
        <v/>
      </c>
      <c r="H693" s="85">
        <f>IF(OR($A693="",$B693=""),"",IF($F693="","No date",IF($G693&lt;0,"Overdue",IF($G693&lt;=30,"Due &lt;=30",IF($G693&lt;=60,"Due 31-60","OK")))))</f>
        <v/>
      </c>
      <c r="I693" s="54"/>
      <c r="J693" s="54"/>
      <c r="K693" s="54"/>
      <c r="L693" s="54"/>
      <c r="M693" s="105">
        <f>IF($F693="","",$F693+ROW()/100000)</f>
        <v/>
      </c>
    </row>
    <row r="694" spans="1:13">
      <c r="A694" s="54"/>
      <c r="B694" s="54"/>
      <c r="C694" s="52"/>
      <c r="D694" s="83">
        <f>IF($B694="","",IFERROR(IF(VLOOKUP($B694,Reference!$A$6:$C$27,3,FALSE)&gt;0,VLOOKUP($B694,Reference!$A$6:$C$27,3,FALSE),""),""))</f>
        <v/>
      </c>
      <c r="E694" s="53"/>
      <c r="F694" s="82">
        <f>IF(OR($A694="",$B694="",NOT(ISNUMBER($C694))),"",IF(ISNUMBER($E694),IF($E694&gt;0,EDATE($C694,$E694),""),IF(ISNUMBER($D694),EDATE($C694,$D694),"")))</f>
        <v/>
      </c>
      <c r="G694" s="83">
        <f>IF($F694="","",$F694-TODAY())</f>
        <v/>
      </c>
      <c r="H694" s="85">
        <f>IF(OR($A694="",$B694=""),"",IF($F694="","No date",IF($G694&lt;0,"Overdue",IF($G694&lt;=30,"Due &lt;=30",IF($G694&lt;=60,"Due 31-60","OK")))))</f>
        <v/>
      </c>
      <c r="I694" s="54"/>
      <c r="J694" s="54"/>
      <c r="K694" s="54"/>
      <c r="L694" s="54"/>
      <c r="M694" s="105">
        <f>IF($F694="","",$F694+ROW()/100000)</f>
        <v/>
      </c>
    </row>
    <row r="695" spans="1:13">
      <c r="A695" s="54"/>
      <c r="B695" s="54"/>
      <c r="C695" s="52"/>
      <c r="D695" s="83">
        <f>IF($B695="","",IFERROR(IF(VLOOKUP($B695,Reference!$A$6:$C$27,3,FALSE)&gt;0,VLOOKUP($B695,Reference!$A$6:$C$27,3,FALSE),""),""))</f>
        <v/>
      </c>
      <c r="E695" s="53"/>
      <c r="F695" s="82">
        <f>IF(OR($A695="",$B695="",NOT(ISNUMBER($C695))),"",IF(ISNUMBER($E695),IF($E695&gt;0,EDATE($C695,$E695),""),IF(ISNUMBER($D695),EDATE($C695,$D695),"")))</f>
        <v/>
      </c>
      <c r="G695" s="83">
        <f>IF($F695="","",$F695-TODAY())</f>
        <v/>
      </c>
      <c r="H695" s="85">
        <f>IF(OR($A695="",$B695=""),"",IF($F695="","No date",IF($G695&lt;0,"Overdue",IF($G695&lt;=30,"Due &lt;=30",IF($G695&lt;=60,"Due 31-60","OK")))))</f>
        <v/>
      </c>
      <c r="I695" s="54"/>
      <c r="J695" s="54"/>
      <c r="K695" s="54"/>
      <c r="L695" s="54"/>
      <c r="M695" s="105">
        <f>IF($F695="","",$F695+ROW()/100000)</f>
        <v/>
      </c>
    </row>
    <row r="696" spans="1:13">
      <c r="A696" s="54"/>
      <c r="B696" s="54"/>
      <c r="C696" s="52"/>
      <c r="D696" s="83">
        <f>IF($B696="","",IFERROR(IF(VLOOKUP($B696,Reference!$A$6:$C$27,3,FALSE)&gt;0,VLOOKUP($B696,Reference!$A$6:$C$27,3,FALSE),""),""))</f>
        <v/>
      </c>
      <c r="E696" s="53"/>
      <c r="F696" s="82">
        <f>IF(OR($A696="",$B696="",NOT(ISNUMBER($C696))),"",IF(ISNUMBER($E696),IF($E696&gt;0,EDATE($C696,$E696),""),IF(ISNUMBER($D696),EDATE($C696,$D696),"")))</f>
        <v/>
      </c>
      <c r="G696" s="83">
        <f>IF($F696="","",$F696-TODAY())</f>
        <v/>
      </c>
      <c r="H696" s="85">
        <f>IF(OR($A696="",$B696=""),"",IF($F696="","No date",IF($G696&lt;0,"Overdue",IF($G696&lt;=30,"Due &lt;=30",IF($G696&lt;=60,"Due 31-60","OK")))))</f>
        <v/>
      </c>
      <c r="I696" s="54"/>
      <c r="J696" s="54"/>
      <c r="K696" s="54"/>
      <c r="L696" s="54"/>
      <c r="M696" s="105">
        <f>IF($F696="","",$F696+ROW()/100000)</f>
        <v/>
      </c>
    </row>
    <row r="697" spans="1:13">
      <c r="A697" s="54"/>
      <c r="B697" s="54"/>
      <c r="C697" s="52"/>
      <c r="D697" s="83">
        <f>IF($B697="","",IFERROR(IF(VLOOKUP($B697,Reference!$A$6:$C$27,3,FALSE)&gt;0,VLOOKUP($B697,Reference!$A$6:$C$27,3,FALSE),""),""))</f>
        <v/>
      </c>
      <c r="E697" s="53"/>
      <c r="F697" s="82">
        <f>IF(OR($A697="",$B697="",NOT(ISNUMBER($C697))),"",IF(ISNUMBER($E697),IF($E697&gt;0,EDATE($C697,$E697),""),IF(ISNUMBER($D697),EDATE($C697,$D697),"")))</f>
        <v/>
      </c>
      <c r="G697" s="83">
        <f>IF($F697="","",$F697-TODAY())</f>
        <v/>
      </c>
      <c r="H697" s="85">
        <f>IF(OR($A697="",$B697=""),"",IF($F697="","No date",IF($G697&lt;0,"Overdue",IF($G697&lt;=30,"Due &lt;=30",IF($G697&lt;=60,"Due 31-60","OK")))))</f>
        <v/>
      </c>
      <c r="I697" s="54"/>
      <c r="J697" s="54"/>
      <c r="K697" s="54"/>
      <c r="L697" s="54"/>
      <c r="M697" s="105">
        <f>IF($F697="","",$F697+ROW()/100000)</f>
        <v/>
      </c>
    </row>
    <row r="698" spans="1:13">
      <c r="A698" s="54"/>
      <c r="B698" s="54"/>
      <c r="C698" s="52"/>
      <c r="D698" s="83">
        <f>IF($B698="","",IFERROR(IF(VLOOKUP($B698,Reference!$A$6:$C$27,3,FALSE)&gt;0,VLOOKUP($B698,Reference!$A$6:$C$27,3,FALSE),""),""))</f>
        <v/>
      </c>
      <c r="E698" s="53"/>
      <c r="F698" s="82">
        <f>IF(OR($A698="",$B698="",NOT(ISNUMBER($C698))),"",IF(ISNUMBER($E698),IF($E698&gt;0,EDATE($C698,$E698),""),IF(ISNUMBER($D698),EDATE($C698,$D698),"")))</f>
        <v/>
      </c>
      <c r="G698" s="83">
        <f>IF($F698="","",$F698-TODAY())</f>
        <v/>
      </c>
      <c r="H698" s="85">
        <f>IF(OR($A698="",$B698=""),"",IF($F698="","No date",IF($G698&lt;0,"Overdue",IF($G698&lt;=30,"Due &lt;=30",IF($G698&lt;=60,"Due 31-60","OK")))))</f>
        <v/>
      </c>
      <c r="I698" s="54"/>
      <c r="J698" s="54"/>
      <c r="K698" s="54"/>
      <c r="L698" s="54"/>
      <c r="M698" s="105">
        <f>IF($F698="","",$F698+ROW()/100000)</f>
        <v/>
      </c>
    </row>
    <row r="699" spans="1:13">
      <c r="A699" s="54"/>
      <c r="B699" s="54"/>
      <c r="C699" s="52"/>
      <c r="D699" s="83">
        <f>IF($B699="","",IFERROR(IF(VLOOKUP($B699,Reference!$A$6:$C$27,3,FALSE)&gt;0,VLOOKUP($B699,Reference!$A$6:$C$27,3,FALSE),""),""))</f>
        <v/>
      </c>
      <c r="E699" s="53"/>
      <c r="F699" s="82">
        <f>IF(OR($A699="",$B699="",NOT(ISNUMBER($C699))),"",IF(ISNUMBER($E699),IF($E699&gt;0,EDATE($C699,$E699),""),IF(ISNUMBER($D699),EDATE($C699,$D699),"")))</f>
        <v/>
      </c>
      <c r="G699" s="83">
        <f>IF($F699="","",$F699-TODAY())</f>
        <v/>
      </c>
      <c r="H699" s="85">
        <f>IF(OR($A699="",$B699=""),"",IF($F699="","No date",IF($G699&lt;0,"Overdue",IF($G699&lt;=30,"Due &lt;=30",IF($G699&lt;=60,"Due 31-60","OK")))))</f>
        <v/>
      </c>
      <c r="I699" s="54"/>
      <c r="J699" s="54"/>
      <c r="K699" s="54"/>
      <c r="L699" s="54"/>
      <c r="M699" s="105">
        <f>IF($F699="","",$F699+ROW()/100000)</f>
        <v/>
      </c>
    </row>
    <row r="700" spans="1:13">
      <c r="A700" s="54"/>
      <c r="B700" s="54"/>
      <c r="C700" s="52"/>
      <c r="D700" s="83">
        <f>IF($B700="","",IFERROR(IF(VLOOKUP($B700,Reference!$A$6:$C$27,3,FALSE)&gt;0,VLOOKUP($B700,Reference!$A$6:$C$27,3,FALSE),""),""))</f>
        <v/>
      </c>
      <c r="E700" s="53"/>
      <c r="F700" s="82">
        <f>IF(OR($A700="",$B700="",NOT(ISNUMBER($C700))),"",IF(ISNUMBER($E700),IF($E700&gt;0,EDATE($C700,$E700),""),IF(ISNUMBER($D700),EDATE($C700,$D700),"")))</f>
        <v/>
      </c>
      <c r="G700" s="83">
        <f>IF($F700="","",$F700-TODAY())</f>
        <v/>
      </c>
      <c r="H700" s="85">
        <f>IF(OR($A700="",$B700=""),"",IF($F700="","No date",IF($G700&lt;0,"Overdue",IF($G700&lt;=30,"Due &lt;=30",IF($G700&lt;=60,"Due 31-60","OK")))))</f>
        <v/>
      </c>
      <c r="I700" s="54"/>
      <c r="J700" s="54"/>
      <c r="K700" s="54"/>
      <c r="L700" s="54"/>
      <c r="M700" s="105">
        <f>IF($F700="","",$F700+ROW()/100000)</f>
        <v/>
      </c>
    </row>
    <row r="701" spans="1:13">
      <c r="A701" s="54"/>
      <c r="B701" s="54"/>
      <c r="C701" s="52"/>
      <c r="D701" s="83">
        <f>IF($B701="","",IFERROR(IF(VLOOKUP($B701,Reference!$A$6:$C$27,3,FALSE)&gt;0,VLOOKUP($B701,Reference!$A$6:$C$27,3,FALSE),""),""))</f>
        <v/>
      </c>
      <c r="E701" s="53"/>
      <c r="F701" s="82">
        <f>IF(OR($A701="",$B701="",NOT(ISNUMBER($C701))),"",IF(ISNUMBER($E701),IF($E701&gt;0,EDATE($C701,$E701),""),IF(ISNUMBER($D701),EDATE($C701,$D701),"")))</f>
        <v/>
      </c>
      <c r="G701" s="83">
        <f>IF($F701="","",$F701-TODAY())</f>
        <v/>
      </c>
      <c r="H701" s="85">
        <f>IF(OR($A701="",$B701=""),"",IF($F701="","No date",IF($G701&lt;0,"Overdue",IF($G701&lt;=30,"Due &lt;=30",IF($G701&lt;=60,"Due 31-60","OK")))))</f>
        <v/>
      </c>
      <c r="I701" s="54"/>
      <c r="J701" s="54"/>
      <c r="K701" s="54"/>
      <c r="L701" s="54"/>
      <c r="M701" s="105">
        <f>IF($F701="","",$F701+ROW()/100000)</f>
        <v/>
      </c>
    </row>
    <row r="702" spans="1:13">
      <c r="A702" s="54"/>
      <c r="B702" s="54"/>
      <c r="C702" s="52"/>
      <c r="D702" s="83">
        <f>IF($B702="","",IFERROR(IF(VLOOKUP($B702,Reference!$A$6:$C$27,3,FALSE)&gt;0,VLOOKUP($B702,Reference!$A$6:$C$27,3,FALSE),""),""))</f>
        <v/>
      </c>
      <c r="E702" s="53"/>
      <c r="F702" s="82">
        <f>IF(OR($A702="",$B702="",NOT(ISNUMBER($C702))),"",IF(ISNUMBER($E702),IF($E702&gt;0,EDATE($C702,$E702),""),IF(ISNUMBER($D702),EDATE($C702,$D702),"")))</f>
        <v/>
      </c>
      <c r="G702" s="83">
        <f>IF($F702="","",$F702-TODAY())</f>
        <v/>
      </c>
      <c r="H702" s="85">
        <f>IF(OR($A702="",$B702=""),"",IF($F702="","No date",IF($G702&lt;0,"Overdue",IF($G702&lt;=30,"Due &lt;=30",IF($G702&lt;=60,"Due 31-60","OK")))))</f>
        <v/>
      </c>
      <c r="I702" s="54"/>
      <c r="J702" s="54"/>
      <c r="K702" s="54"/>
      <c r="L702" s="54"/>
      <c r="M702" s="105">
        <f>IF($F702="","",$F702+ROW()/100000)</f>
        <v/>
      </c>
    </row>
    <row r="703" spans="1:13">
      <c r="A703" s="54"/>
      <c r="B703" s="54"/>
      <c r="C703" s="52"/>
      <c r="D703" s="83">
        <f>IF($B703="","",IFERROR(IF(VLOOKUP($B703,Reference!$A$6:$C$27,3,FALSE)&gt;0,VLOOKUP($B703,Reference!$A$6:$C$27,3,FALSE),""),""))</f>
        <v/>
      </c>
      <c r="E703" s="53"/>
      <c r="F703" s="82">
        <f>IF(OR($A703="",$B703="",NOT(ISNUMBER($C703))),"",IF(ISNUMBER($E703),IF($E703&gt;0,EDATE($C703,$E703),""),IF(ISNUMBER($D703),EDATE($C703,$D703),"")))</f>
        <v/>
      </c>
      <c r="G703" s="83">
        <f>IF($F703="","",$F703-TODAY())</f>
        <v/>
      </c>
      <c r="H703" s="85">
        <f>IF(OR($A703="",$B703=""),"",IF($F703="","No date",IF($G703&lt;0,"Overdue",IF($G703&lt;=30,"Due &lt;=30",IF($G703&lt;=60,"Due 31-60","OK")))))</f>
        <v/>
      </c>
      <c r="I703" s="54"/>
      <c r="J703" s="54"/>
      <c r="K703" s="54"/>
      <c r="L703" s="54"/>
      <c r="M703" s="105">
        <f>IF($F703="","",$F703+ROW()/100000)</f>
        <v/>
      </c>
    </row>
    <row r="704" spans="1:13">
      <c r="A704" s="54"/>
      <c r="B704" s="54"/>
      <c r="C704" s="52"/>
      <c r="D704" s="83">
        <f>IF($B704="","",IFERROR(IF(VLOOKUP($B704,Reference!$A$6:$C$27,3,FALSE)&gt;0,VLOOKUP($B704,Reference!$A$6:$C$27,3,FALSE),""),""))</f>
        <v/>
      </c>
      <c r="E704" s="53"/>
      <c r="F704" s="82">
        <f>IF(OR($A704="",$B704="",NOT(ISNUMBER($C704))),"",IF(ISNUMBER($E704),IF($E704&gt;0,EDATE($C704,$E704),""),IF(ISNUMBER($D704),EDATE($C704,$D704),"")))</f>
        <v/>
      </c>
      <c r="G704" s="83">
        <f>IF($F704="","",$F704-TODAY())</f>
        <v/>
      </c>
      <c r="H704" s="85">
        <f>IF(OR($A704="",$B704=""),"",IF($F704="","No date",IF($G704&lt;0,"Overdue",IF($G704&lt;=30,"Due &lt;=30",IF($G704&lt;=60,"Due 31-60","OK")))))</f>
        <v/>
      </c>
      <c r="I704" s="54"/>
      <c r="J704" s="54"/>
      <c r="K704" s="54"/>
      <c r="L704" s="54"/>
      <c r="M704" s="105">
        <f>IF($F704="","",$F704+ROW()/100000)</f>
        <v/>
      </c>
    </row>
    <row r="705" spans="1:13">
      <c r="A705" s="54"/>
      <c r="B705" s="54"/>
      <c r="C705" s="52"/>
      <c r="D705" s="83">
        <f>IF($B705="","",IFERROR(IF(VLOOKUP($B705,Reference!$A$6:$C$27,3,FALSE)&gt;0,VLOOKUP($B705,Reference!$A$6:$C$27,3,FALSE),""),""))</f>
        <v/>
      </c>
      <c r="E705" s="53"/>
      <c r="F705" s="82">
        <f>IF(OR($A705="",$B705="",NOT(ISNUMBER($C705))),"",IF(ISNUMBER($E705),IF($E705&gt;0,EDATE($C705,$E705),""),IF(ISNUMBER($D705),EDATE($C705,$D705),"")))</f>
        <v/>
      </c>
      <c r="G705" s="83">
        <f>IF($F705="","",$F705-TODAY())</f>
        <v/>
      </c>
      <c r="H705" s="85">
        <f>IF(OR($A705="",$B705=""),"",IF($F705="","No date",IF($G705&lt;0,"Overdue",IF($G705&lt;=30,"Due &lt;=30",IF($G705&lt;=60,"Due 31-60","OK")))))</f>
        <v/>
      </c>
      <c r="I705" s="54"/>
      <c r="J705" s="54"/>
      <c r="K705" s="54"/>
      <c r="L705" s="54"/>
      <c r="M705" s="105">
        <f>IF($F705="","",$F705+ROW()/100000)</f>
        <v/>
      </c>
    </row>
    <row r="706" spans="1:13">
      <c r="A706" s="54"/>
      <c r="B706" s="54"/>
      <c r="C706" s="52"/>
      <c r="D706" s="83">
        <f>IF($B706="","",IFERROR(IF(VLOOKUP($B706,Reference!$A$6:$C$27,3,FALSE)&gt;0,VLOOKUP($B706,Reference!$A$6:$C$27,3,FALSE),""),""))</f>
        <v/>
      </c>
      <c r="E706" s="53"/>
      <c r="F706" s="82">
        <f>IF(OR($A706="",$B706="",NOT(ISNUMBER($C706))),"",IF(ISNUMBER($E706),IF($E706&gt;0,EDATE($C706,$E706),""),IF(ISNUMBER($D706),EDATE($C706,$D706),"")))</f>
        <v/>
      </c>
      <c r="G706" s="83">
        <f>IF($F706="","",$F706-TODAY())</f>
        <v/>
      </c>
      <c r="H706" s="85">
        <f>IF(OR($A706="",$B706=""),"",IF($F706="","No date",IF($G706&lt;0,"Overdue",IF($G706&lt;=30,"Due &lt;=30",IF($G706&lt;=60,"Due 31-60","OK")))))</f>
        <v/>
      </c>
      <c r="I706" s="54"/>
      <c r="J706" s="54"/>
      <c r="K706" s="54"/>
      <c r="L706" s="54"/>
      <c r="M706" s="105">
        <f>IF($F706="","",$F706+ROW()/100000)</f>
        <v/>
      </c>
    </row>
    <row r="707" spans="1:13">
      <c r="A707" s="54"/>
      <c r="B707" s="54"/>
      <c r="C707" s="52"/>
      <c r="D707" s="83">
        <f>IF($B707="","",IFERROR(IF(VLOOKUP($B707,Reference!$A$6:$C$27,3,FALSE)&gt;0,VLOOKUP($B707,Reference!$A$6:$C$27,3,FALSE),""),""))</f>
        <v/>
      </c>
      <c r="E707" s="53"/>
      <c r="F707" s="82">
        <f>IF(OR($A707="",$B707="",NOT(ISNUMBER($C707))),"",IF(ISNUMBER($E707),IF($E707&gt;0,EDATE($C707,$E707),""),IF(ISNUMBER($D707),EDATE($C707,$D707),"")))</f>
        <v/>
      </c>
      <c r="G707" s="83">
        <f>IF($F707="","",$F707-TODAY())</f>
        <v/>
      </c>
      <c r="H707" s="85">
        <f>IF(OR($A707="",$B707=""),"",IF($F707="","No date",IF($G707&lt;0,"Overdue",IF($G707&lt;=30,"Due &lt;=30",IF($G707&lt;=60,"Due 31-60","OK")))))</f>
        <v/>
      </c>
      <c r="I707" s="54"/>
      <c r="J707" s="54"/>
      <c r="K707" s="54"/>
      <c r="L707" s="54"/>
      <c r="M707" s="105">
        <f>IF($F707="","",$F707+ROW()/100000)</f>
        <v/>
      </c>
    </row>
    <row r="708" spans="1:13">
      <c r="A708" s="54"/>
      <c r="B708" s="54"/>
      <c r="C708" s="52"/>
      <c r="D708" s="83">
        <f>IF($B708="","",IFERROR(IF(VLOOKUP($B708,Reference!$A$6:$C$27,3,FALSE)&gt;0,VLOOKUP($B708,Reference!$A$6:$C$27,3,FALSE),""),""))</f>
        <v/>
      </c>
      <c r="E708" s="53"/>
      <c r="F708" s="82">
        <f>IF(OR($A708="",$B708="",NOT(ISNUMBER($C708))),"",IF(ISNUMBER($E708),IF($E708&gt;0,EDATE($C708,$E708),""),IF(ISNUMBER($D708),EDATE($C708,$D708),"")))</f>
        <v/>
      </c>
      <c r="G708" s="83">
        <f>IF($F708="","",$F708-TODAY())</f>
        <v/>
      </c>
      <c r="H708" s="85">
        <f>IF(OR($A708="",$B708=""),"",IF($F708="","No date",IF($G708&lt;0,"Overdue",IF($G708&lt;=30,"Due &lt;=30",IF($G708&lt;=60,"Due 31-60","OK")))))</f>
        <v/>
      </c>
      <c r="I708" s="54"/>
      <c r="J708" s="54"/>
      <c r="K708" s="54"/>
      <c r="L708" s="54"/>
      <c r="M708" s="105">
        <f>IF($F708="","",$F708+ROW()/100000)</f>
        <v/>
      </c>
    </row>
    <row r="709" spans="1:13">
      <c r="A709" s="54"/>
      <c r="B709" s="54"/>
      <c r="C709" s="52"/>
      <c r="D709" s="83">
        <f>IF($B709="","",IFERROR(IF(VLOOKUP($B709,Reference!$A$6:$C$27,3,FALSE)&gt;0,VLOOKUP($B709,Reference!$A$6:$C$27,3,FALSE),""),""))</f>
        <v/>
      </c>
      <c r="E709" s="53"/>
      <c r="F709" s="82">
        <f>IF(OR($A709="",$B709="",NOT(ISNUMBER($C709))),"",IF(ISNUMBER($E709),IF($E709&gt;0,EDATE($C709,$E709),""),IF(ISNUMBER($D709),EDATE($C709,$D709),"")))</f>
        <v/>
      </c>
      <c r="G709" s="83">
        <f>IF($F709="","",$F709-TODAY())</f>
        <v/>
      </c>
      <c r="H709" s="85">
        <f>IF(OR($A709="",$B709=""),"",IF($F709="","No date",IF($G709&lt;0,"Overdue",IF($G709&lt;=30,"Due &lt;=30",IF($G709&lt;=60,"Due 31-60","OK")))))</f>
        <v/>
      </c>
      <c r="I709" s="54"/>
      <c r="J709" s="54"/>
      <c r="K709" s="54"/>
      <c r="L709" s="54"/>
      <c r="M709" s="105">
        <f>IF($F709="","",$F709+ROW()/100000)</f>
        <v/>
      </c>
    </row>
    <row r="710" spans="1:13">
      <c r="A710" s="54"/>
      <c r="B710" s="54"/>
      <c r="C710" s="52"/>
      <c r="D710" s="83">
        <f>IF($B710="","",IFERROR(IF(VLOOKUP($B710,Reference!$A$6:$C$27,3,FALSE)&gt;0,VLOOKUP($B710,Reference!$A$6:$C$27,3,FALSE),""),""))</f>
        <v/>
      </c>
      <c r="E710" s="53"/>
      <c r="F710" s="82">
        <f>IF(OR($A710="",$B710="",NOT(ISNUMBER($C710))),"",IF(ISNUMBER($E710),IF($E710&gt;0,EDATE($C710,$E710),""),IF(ISNUMBER($D710),EDATE($C710,$D710),"")))</f>
        <v/>
      </c>
      <c r="G710" s="83">
        <f>IF($F710="","",$F710-TODAY())</f>
        <v/>
      </c>
      <c r="H710" s="85">
        <f>IF(OR($A710="",$B710=""),"",IF($F710="","No date",IF($G710&lt;0,"Overdue",IF($G710&lt;=30,"Due &lt;=30",IF($G710&lt;=60,"Due 31-60","OK")))))</f>
        <v/>
      </c>
      <c r="I710" s="54"/>
      <c r="J710" s="54"/>
      <c r="K710" s="54"/>
      <c r="L710" s="54"/>
      <c r="M710" s="105">
        <f>IF($F710="","",$F710+ROW()/100000)</f>
        <v/>
      </c>
    </row>
    <row r="711" spans="1:13">
      <c r="A711" s="54"/>
      <c r="B711" s="54"/>
      <c r="C711" s="52"/>
      <c r="D711" s="83">
        <f>IF($B711="","",IFERROR(IF(VLOOKUP($B711,Reference!$A$6:$C$27,3,FALSE)&gt;0,VLOOKUP($B711,Reference!$A$6:$C$27,3,FALSE),""),""))</f>
        <v/>
      </c>
      <c r="E711" s="53"/>
      <c r="F711" s="82">
        <f>IF(OR($A711="",$B711="",NOT(ISNUMBER($C711))),"",IF(ISNUMBER($E711),IF($E711&gt;0,EDATE($C711,$E711),""),IF(ISNUMBER($D711),EDATE($C711,$D711),"")))</f>
        <v/>
      </c>
      <c r="G711" s="83">
        <f>IF($F711="","",$F711-TODAY())</f>
        <v/>
      </c>
      <c r="H711" s="85">
        <f>IF(OR($A711="",$B711=""),"",IF($F711="","No date",IF($G711&lt;0,"Overdue",IF($G711&lt;=30,"Due &lt;=30",IF($G711&lt;=60,"Due 31-60","OK")))))</f>
        <v/>
      </c>
      <c r="I711" s="54"/>
      <c r="J711" s="54"/>
      <c r="K711" s="54"/>
      <c r="L711" s="54"/>
      <c r="M711" s="105">
        <f>IF($F711="","",$F711+ROW()/100000)</f>
        <v/>
      </c>
    </row>
    <row r="712" spans="1:13">
      <c r="A712" s="54"/>
      <c r="B712" s="54"/>
      <c r="C712" s="52"/>
      <c r="D712" s="83">
        <f>IF($B712="","",IFERROR(IF(VLOOKUP($B712,Reference!$A$6:$C$27,3,FALSE)&gt;0,VLOOKUP($B712,Reference!$A$6:$C$27,3,FALSE),""),""))</f>
        <v/>
      </c>
      <c r="E712" s="53"/>
      <c r="F712" s="82">
        <f>IF(OR($A712="",$B712="",NOT(ISNUMBER($C712))),"",IF(ISNUMBER($E712),IF($E712&gt;0,EDATE($C712,$E712),""),IF(ISNUMBER($D712),EDATE($C712,$D712),"")))</f>
        <v/>
      </c>
      <c r="G712" s="83">
        <f>IF($F712="","",$F712-TODAY())</f>
        <v/>
      </c>
      <c r="H712" s="85">
        <f>IF(OR($A712="",$B712=""),"",IF($F712="","No date",IF($G712&lt;0,"Overdue",IF($G712&lt;=30,"Due &lt;=30",IF($G712&lt;=60,"Due 31-60","OK")))))</f>
        <v/>
      </c>
      <c r="I712" s="54"/>
      <c r="J712" s="54"/>
      <c r="K712" s="54"/>
      <c r="L712" s="54"/>
      <c r="M712" s="105">
        <f>IF($F712="","",$F712+ROW()/100000)</f>
        <v/>
      </c>
    </row>
    <row r="713" spans="1:13">
      <c r="A713" s="54"/>
      <c r="B713" s="54"/>
      <c r="C713" s="52"/>
      <c r="D713" s="83">
        <f>IF($B713="","",IFERROR(IF(VLOOKUP($B713,Reference!$A$6:$C$27,3,FALSE)&gt;0,VLOOKUP($B713,Reference!$A$6:$C$27,3,FALSE),""),""))</f>
        <v/>
      </c>
      <c r="E713" s="53"/>
      <c r="F713" s="82">
        <f>IF(OR($A713="",$B713="",NOT(ISNUMBER($C713))),"",IF(ISNUMBER($E713),IF($E713&gt;0,EDATE($C713,$E713),""),IF(ISNUMBER($D713),EDATE($C713,$D713),"")))</f>
        <v/>
      </c>
      <c r="G713" s="83">
        <f>IF($F713="","",$F713-TODAY())</f>
        <v/>
      </c>
      <c r="H713" s="85">
        <f>IF(OR($A713="",$B713=""),"",IF($F713="","No date",IF($G713&lt;0,"Overdue",IF($G713&lt;=30,"Due &lt;=30",IF($G713&lt;=60,"Due 31-60","OK")))))</f>
        <v/>
      </c>
      <c r="I713" s="54"/>
      <c r="J713" s="54"/>
      <c r="K713" s="54"/>
      <c r="L713" s="54"/>
      <c r="M713" s="105">
        <f>IF($F713="","",$F713+ROW()/100000)</f>
        <v/>
      </c>
    </row>
    <row r="714" spans="1:13">
      <c r="A714" s="54"/>
      <c r="B714" s="54"/>
      <c r="C714" s="52"/>
      <c r="D714" s="83">
        <f>IF($B714="","",IFERROR(IF(VLOOKUP($B714,Reference!$A$6:$C$27,3,FALSE)&gt;0,VLOOKUP($B714,Reference!$A$6:$C$27,3,FALSE),""),""))</f>
        <v/>
      </c>
      <c r="E714" s="53"/>
      <c r="F714" s="82">
        <f>IF(OR($A714="",$B714="",NOT(ISNUMBER($C714))),"",IF(ISNUMBER($E714),IF($E714&gt;0,EDATE($C714,$E714),""),IF(ISNUMBER($D714),EDATE($C714,$D714),"")))</f>
        <v/>
      </c>
      <c r="G714" s="83">
        <f>IF($F714="","",$F714-TODAY())</f>
        <v/>
      </c>
      <c r="H714" s="85">
        <f>IF(OR($A714="",$B714=""),"",IF($F714="","No date",IF($G714&lt;0,"Overdue",IF($G714&lt;=30,"Due &lt;=30",IF($G714&lt;=60,"Due 31-60","OK")))))</f>
        <v/>
      </c>
      <c r="I714" s="54"/>
      <c r="J714" s="54"/>
      <c r="K714" s="54"/>
      <c r="L714" s="54"/>
      <c r="M714" s="105">
        <f>IF($F714="","",$F714+ROW()/100000)</f>
        <v/>
      </c>
    </row>
    <row r="715" spans="1:13">
      <c r="A715" s="54"/>
      <c r="B715" s="54"/>
      <c r="C715" s="52"/>
      <c r="D715" s="83">
        <f>IF($B715="","",IFERROR(IF(VLOOKUP($B715,Reference!$A$6:$C$27,3,FALSE)&gt;0,VLOOKUP($B715,Reference!$A$6:$C$27,3,FALSE),""),""))</f>
        <v/>
      </c>
      <c r="E715" s="53"/>
      <c r="F715" s="82">
        <f>IF(OR($A715="",$B715="",NOT(ISNUMBER($C715))),"",IF(ISNUMBER($E715),IF($E715&gt;0,EDATE($C715,$E715),""),IF(ISNUMBER($D715),EDATE($C715,$D715),"")))</f>
        <v/>
      </c>
      <c r="G715" s="83">
        <f>IF($F715="","",$F715-TODAY())</f>
        <v/>
      </c>
      <c r="H715" s="85">
        <f>IF(OR($A715="",$B715=""),"",IF($F715="","No date",IF($G715&lt;0,"Overdue",IF($G715&lt;=30,"Due &lt;=30",IF($G715&lt;=60,"Due 31-60","OK")))))</f>
        <v/>
      </c>
      <c r="I715" s="54"/>
      <c r="J715" s="54"/>
      <c r="K715" s="54"/>
      <c r="L715" s="54"/>
      <c r="M715" s="105">
        <f>IF($F715="","",$F715+ROW()/100000)</f>
        <v/>
      </c>
    </row>
    <row r="716" spans="1:13">
      <c r="A716" s="54"/>
      <c r="B716" s="54"/>
      <c r="C716" s="52"/>
      <c r="D716" s="83">
        <f>IF($B716="","",IFERROR(IF(VLOOKUP($B716,Reference!$A$6:$C$27,3,FALSE)&gt;0,VLOOKUP($B716,Reference!$A$6:$C$27,3,FALSE),""),""))</f>
        <v/>
      </c>
      <c r="E716" s="53"/>
      <c r="F716" s="82">
        <f>IF(OR($A716="",$B716="",NOT(ISNUMBER($C716))),"",IF(ISNUMBER($E716),IF($E716&gt;0,EDATE($C716,$E716),""),IF(ISNUMBER($D716),EDATE($C716,$D716),"")))</f>
        <v/>
      </c>
      <c r="G716" s="83">
        <f>IF($F716="","",$F716-TODAY())</f>
        <v/>
      </c>
      <c r="H716" s="85">
        <f>IF(OR($A716="",$B716=""),"",IF($F716="","No date",IF($G716&lt;0,"Overdue",IF($G716&lt;=30,"Due &lt;=30",IF($G716&lt;=60,"Due 31-60","OK")))))</f>
        <v/>
      </c>
      <c r="I716" s="54"/>
      <c r="J716" s="54"/>
      <c r="K716" s="54"/>
      <c r="L716" s="54"/>
      <c r="M716" s="105">
        <f>IF($F716="","",$F716+ROW()/100000)</f>
        <v/>
      </c>
    </row>
    <row r="717" spans="1:13">
      <c r="A717" s="54"/>
      <c r="B717" s="54"/>
      <c r="C717" s="52"/>
      <c r="D717" s="83">
        <f>IF($B717="","",IFERROR(IF(VLOOKUP($B717,Reference!$A$6:$C$27,3,FALSE)&gt;0,VLOOKUP($B717,Reference!$A$6:$C$27,3,FALSE),""),""))</f>
        <v/>
      </c>
      <c r="E717" s="53"/>
      <c r="F717" s="82">
        <f>IF(OR($A717="",$B717="",NOT(ISNUMBER($C717))),"",IF(ISNUMBER($E717),IF($E717&gt;0,EDATE($C717,$E717),""),IF(ISNUMBER($D717),EDATE($C717,$D717),"")))</f>
        <v/>
      </c>
      <c r="G717" s="83">
        <f>IF($F717="","",$F717-TODAY())</f>
        <v/>
      </c>
      <c r="H717" s="85">
        <f>IF(OR($A717="",$B717=""),"",IF($F717="","No date",IF($G717&lt;0,"Overdue",IF($G717&lt;=30,"Due &lt;=30",IF($G717&lt;=60,"Due 31-60","OK")))))</f>
        <v/>
      </c>
      <c r="I717" s="54"/>
      <c r="J717" s="54"/>
      <c r="K717" s="54"/>
      <c r="L717" s="54"/>
      <c r="M717" s="105">
        <f>IF($F717="","",$F717+ROW()/100000)</f>
        <v/>
      </c>
    </row>
    <row r="718" spans="1:13">
      <c r="A718" s="54"/>
      <c r="B718" s="54"/>
      <c r="C718" s="52"/>
      <c r="D718" s="83">
        <f>IF($B718="","",IFERROR(IF(VLOOKUP($B718,Reference!$A$6:$C$27,3,FALSE)&gt;0,VLOOKUP($B718,Reference!$A$6:$C$27,3,FALSE),""),""))</f>
        <v/>
      </c>
      <c r="E718" s="53"/>
      <c r="F718" s="82">
        <f>IF(OR($A718="",$B718="",NOT(ISNUMBER($C718))),"",IF(ISNUMBER($E718),IF($E718&gt;0,EDATE($C718,$E718),""),IF(ISNUMBER($D718),EDATE($C718,$D718),"")))</f>
        <v/>
      </c>
      <c r="G718" s="83">
        <f>IF($F718="","",$F718-TODAY())</f>
        <v/>
      </c>
      <c r="H718" s="85">
        <f>IF(OR($A718="",$B718=""),"",IF($F718="","No date",IF($G718&lt;0,"Overdue",IF($G718&lt;=30,"Due &lt;=30",IF($G718&lt;=60,"Due 31-60","OK")))))</f>
        <v/>
      </c>
      <c r="I718" s="54"/>
      <c r="J718" s="54"/>
      <c r="K718" s="54"/>
      <c r="L718" s="54"/>
      <c r="M718" s="105">
        <f>IF($F718="","",$F718+ROW()/100000)</f>
        <v/>
      </c>
    </row>
    <row r="719" spans="1:13">
      <c r="A719" s="54"/>
      <c r="B719" s="54"/>
      <c r="C719" s="52"/>
      <c r="D719" s="83">
        <f>IF($B719="","",IFERROR(IF(VLOOKUP($B719,Reference!$A$6:$C$27,3,FALSE)&gt;0,VLOOKUP($B719,Reference!$A$6:$C$27,3,FALSE),""),""))</f>
        <v/>
      </c>
      <c r="E719" s="53"/>
      <c r="F719" s="82">
        <f>IF(OR($A719="",$B719="",NOT(ISNUMBER($C719))),"",IF(ISNUMBER($E719),IF($E719&gt;0,EDATE($C719,$E719),""),IF(ISNUMBER($D719),EDATE($C719,$D719),"")))</f>
        <v/>
      </c>
      <c r="G719" s="83">
        <f>IF($F719="","",$F719-TODAY())</f>
        <v/>
      </c>
      <c r="H719" s="85">
        <f>IF(OR($A719="",$B719=""),"",IF($F719="","No date",IF($G719&lt;0,"Overdue",IF($G719&lt;=30,"Due &lt;=30",IF($G719&lt;=60,"Due 31-60","OK")))))</f>
        <v/>
      </c>
      <c r="I719" s="54"/>
      <c r="J719" s="54"/>
      <c r="K719" s="54"/>
      <c r="L719" s="54"/>
      <c r="M719" s="105">
        <f>IF($F719="","",$F719+ROW()/100000)</f>
        <v/>
      </c>
    </row>
    <row r="720" spans="1:13">
      <c r="A720" s="54"/>
      <c r="B720" s="54"/>
      <c r="C720" s="52"/>
      <c r="D720" s="83">
        <f>IF($B720="","",IFERROR(IF(VLOOKUP($B720,Reference!$A$6:$C$27,3,FALSE)&gt;0,VLOOKUP($B720,Reference!$A$6:$C$27,3,FALSE),""),""))</f>
        <v/>
      </c>
      <c r="E720" s="53"/>
      <c r="F720" s="82">
        <f>IF(OR($A720="",$B720="",NOT(ISNUMBER($C720))),"",IF(ISNUMBER($E720),IF($E720&gt;0,EDATE($C720,$E720),""),IF(ISNUMBER($D720),EDATE($C720,$D720),"")))</f>
        <v/>
      </c>
      <c r="G720" s="83">
        <f>IF($F720="","",$F720-TODAY())</f>
        <v/>
      </c>
      <c r="H720" s="85">
        <f>IF(OR($A720="",$B720=""),"",IF($F720="","No date",IF($G720&lt;0,"Overdue",IF($G720&lt;=30,"Due &lt;=30",IF($G720&lt;=60,"Due 31-60","OK")))))</f>
        <v/>
      </c>
      <c r="I720" s="54"/>
      <c r="J720" s="54"/>
      <c r="K720" s="54"/>
      <c r="L720" s="54"/>
      <c r="M720" s="105">
        <f>IF($F720="","",$F720+ROW()/100000)</f>
        <v/>
      </c>
    </row>
    <row r="721" spans="1:13">
      <c r="A721" s="54"/>
      <c r="B721" s="54"/>
      <c r="C721" s="52"/>
      <c r="D721" s="83">
        <f>IF($B721="","",IFERROR(IF(VLOOKUP($B721,Reference!$A$6:$C$27,3,FALSE)&gt;0,VLOOKUP($B721,Reference!$A$6:$C$27,3,FALSE),""),""))</f>
        <v/>
      </c>
      <c r="E721" s="53"/>
      <c r="F721" s="82">
        <f>IF(OR($A721="",$B721="",NOT(ISNUMBER($C721))),"",IF(ISNUMBER($E721),IF($E721&gt;0,EDATE($C721,$E721),""),IF(ISNUMBER($D721),EDATE($C721,$D721),"")))</f>
        <v/>
      </c>
      <c r="G721" s="83">
        <f>IF($F721="","",$F721-TODAY())</f>
        <v/>
      </c>
      <c r="H721" s="85">
        <f>IF(OR($A721="",$B721=""),"",IF($F721="","No date",IF($G721&lt;0,"Overdue",IF($G721&lt;=30,"Due &lt;=30",IF($G721&lt;=60,"Due 31-60","OK")))))</f>
        <v/>
      </c>
      <c r="I721" s="54"/>
      <c r="J721" s="54"/>
      <c r="K721" s="54"/>
      <c r="L721" s="54"/>
      <c r="M721" s="105">
        <f>IF($F721="","",$F721+ROW()/100000)</f>
        <v/>
      </c>
    </row>
    <row r="722" spans="1:13">
      <c r="A722" s="54"/>
      <c r="B722" s="54"/>
      <c r="C722" s="52"/>
      <c r="D722" s="83">
        <f>IF($B722="","",IFERROR(IF(VLOOKUP($B722,Reference!$A$6:$C$27,3,FALSE)&gt;0,VLOOKUP($B722,Reference!$A$6:$C$27,3,FALSE),""),""))</f>
        <v/>
      </c>
      <c r="E722" s="53"/>
      <c r="F722" s="82">
        <f>IF(OR($A722="",$B722="",NOT(ISNUMBER($C722))),"",IF(ISNUMBER($E722),IF($E722&gt;0,EDATE($C722,$E722),""),IF(ISNUMBER($D722),EDATE($C722,$D722),"")))</f>
        <v/>
      </c>
      <c r="G722" s="83">
        <f>IF($F722="","",$F722-TODAY())</f>
        <v/>
      </c>
      <c r="H722" s="85">
        <f>IF(OR($A722="",$B722=""),"",IF($F722="","No date",IF($G722&lt;0,"Overdue",IF($G722&lt;=30,"Due &lt;=30",IF($G722&lt;=60,"Due 31-60","OK")))))</f>
        <v/>
      </c>
      <c r="I722" s="54"/>
      <c r="J722" s="54"/>
      <c r="K722" s="54"/>
      <c r="L722" s="54"/>
      <c r="M722" s="105">
        <f>IF($F722="","",$F722+ROW()/100000)</f>
        <v/>
      </c>
    </row>
    <row r="723" spans="1:13">
      <c r="A723" s="54"/>
      <c r="B723" s="54"/>
      <c r="C723" s="52"/>
      <c r="D723" s="83">
        <f>IF($B723="","",IFERROR(IF(VLOOKUP($B723,Reference!$A$6:$C$27,3,FALSE)&gt;0,VLOOKUP($B723,Reference!$A$6:$C$27,3,FALSE),""),""))</f>
        <v/>
      </c>
      <c r="E723" s="53"/>
      <c r="F723" s="82">
        <f>IF(OR($A723="",$B723="",NOT(ISNUMBER($C723))),"",IF(ISNUMBER($E723),IF($E723&gt;0,EDATE($C723,$E723),""),IF(ISNUMBER($D723),EDATE($C723,$D723),"")))</f>
        <v/>
      </c>
      <c r="G723" s="83">
        <f>IF($F723="","",$F723-TODAY())</f>
        <v/>
      </c>
      <c r="H723" s="85">
        <f>IF(OR($A723="",$B723=""),"",IF($F723="","No date",IF($G723&lt;0,"Overdue",IF($G723&lt;=30,"Due &lt;=30",IF($G723&lt;=60,"Due 31-60","OK")))))</f>
        <v/>
      </c>
      <c r="I723" s="54"/>
      <c r="J723" s="54"/>
      <c r="K723" s="54"/>
      <c r="L723" s="54"/>
      <c r="M723" s="105">
        <f>IF($F723="","",$F723+ROW()/100000)</f>
        <v/>
      </c>
    </row>
    <row r="724" spans="1:13">
      <c r="A724" s="54"/>
      <c r="B724" s="54"/>
      <c r="C724" s="52"/>
      <c r="D724" s="83">
        <f>IF($B724="","",IFERROR(IF(VLOOKUP($B724,Reference!$A$6:$C$27,3,FALSE)&gt;0,VLOOKUP($B724,Reference!$A$6:$C$27,3,FALSE),""),""))</f>
        <v/>
      </c>
      <c r="E724" s="53"/>
      <c r="F724" s="82">
        <f>IF(OR($A724="",$B724="",NOT(ISNUMBER($C724))),"",IF(ISNUMBER($E724),IF($E724&gt;0,EDATE($C724,$E724),""),IF(ISNUMBER($D724),EDATE($C724,$D724),"")))</f>
        <v/>
      </c>
      <c r="G724" s="83">
        <f>IF($F724="","",$F724-TODAY())</f>
        <v/>
      </c>
      <c r="H724" s="85">
        <f>IF(OR($A724="",$B724=""),"",IF($F724="","No date",IF($G724&lt;0,"Overdue",IF($G724&lt;=30,"Due &lt;=30",IF($G724&lt;=60,"Due 31-60","OK")))))</f>
        <v/>
      </c>
      <c r="I724" s="54"/>
      <c r="J724" s="54"/>
      <c r="K724" s="54"/>
      <c r="L724" s="54"/>
      <c r="M724" s="105">
        <f>IF($F724="","",$F724+ROW()/100000)</f>
        <v/>
      </c>
    </row>
    <row r="725" spans="1:13">
      <c r="A725" s="54"/>
      <c r="B725" s="54"/>
      <c r="C725" s="52"/>
      <c r="D725" s="83">
        <f>IF($B725="","",IFERROR(IF(VLOOKUP($B725,Reference!$A$6:$C$27,3,FALSE)&gt;0,VLOOKUP($B725,Reference!$A$6:$C$27,3,FALSE),""),""))</f>
        <v/>
      </c>
      <c r="E725" s="53"/>
      <c r="F725" s="82">
        <f>IF(OR($A725="",$B725="",NOT(ISNUMBER($C725))),"",IF(ISNUMBER($E725),IF($E725&gt;0,EDATE($C725,$E725),""),IF(ISNUMBER($D725),EDATE($C725,$D725),"")))</f>
        <v/>
      </c>
      <c r="G725" s="83">
        <f>IF($F725="","",$F725-TODAY())</f>
        <v/>
      </c>
      <c r="H725" s="85">
        <f>IF(OR($A725="",$B725=""),"",IF($F725="","No date",IF($G725&lt;0,"Overdue",IF($G725&lt;=30,"Due &lt;=30",IF($G725&lt;=60,"Due 31-60","OK")))))</f>
        <v/>
      </c>
      <c r="I725" s="54"/>
      <c r="J725" s="54"/>
      <c r="K725" s="54"/>
      <c r="L725" s="54"/>
      <c r="M725" s="105">
        <f>IF($F725="","",$F725+ROW()/100000)</f>
        <v/>
      </c>
    </row>
    <row r="726" spans="1:13">
      <c r="A726" s="54"/>
      <c r="B726" s="54"/>
      <c r="C726" s="52"/>
      <c r="D726" s="83">
        <f>IF($B726="","",IFERROR(IF(VLOOKUP($B726,Reference!$A$6:$C$27,3,FALSE)&gt;0,VLOOKUP($B726,Reference!$A$6:$C$27,3,FALSE),""),""))</f>
        <v/>
      </c>
      <c r="E726" s="53"/>
      <c r="F726" s="82">
        <f>IF(OR($A726="",$B726="",NOT(ISNUMBER($C726))),"",IF(ISNUMBER($E726),IF($E726&gt;0,EDATE($C726,$E726),""),IF(ISNUMBER($D726),EDATE($C726,$D726),"")))</f>
        <v/>
      </c>
      <c r="G726" s="83">
        <f>IF($F726="","",$F726-TODAY())</f>
        <v/>
      </c>
      <c r="H726" s="85">
        <f>IF(OR($A726="",$B726=""),"",IF($F726="","No date",IF($G726&lt;0,"Overdue",IF($G726&lt;=30,"Due &lt;=30",IF($G726&lt;=60,"Due 31-60","OK")))))</f>
        <v/>
      </c>
      <c r="I726" s="54"/>
      <c r="J726" s="54"/>
      <c r="K726" s="54"/>
      <c r="L726" s="54"/>
      <c r="M726" s="105">
        <f>IF($F726="","",$F726+ROW()/100000)</f>
        <v/>
      </c>
    </row>
    <row r="727" spans="1:13">
      <c r="A727" s="54"/>
      <c r="B727" s="54"/>
      <c r="C727" s="52"/>
      <c r="D727" s="83">
        <f>IF($B727="","",IFERROR(IF(VLOOKUP($B727,Reference!$A$6:$C$27,3,FALSE)&gt;0,VLOOKUP($B727,Reference!$A$6:$C$27,3,FALSE),""),""))</f>
        <v/>
      </c>
      <c r="E727" s="53"/>
      <c r="F727" s="82">
        <f>IF(OR($A727="",$B727="",NOT(ISNUMBER($C727))),"",IF(ISNUMBER($E727),IF($E727&gt;0,EDATE($C727,$E727),""),IF(ISNUMBER($D727),EDATE($C727,$D727),"")))</f>
        <v/>
      </c>
      <c r="G727" s="83">
        <f>IF($F727="","",$F727-TODAY())</f>
        <v/>
      </c>
      <c r="H727" s="85">
        <f>IF(OR($A727="",$B727=""),"",IF($F727="","No date",IF($G727&lt;0,"Overdue",IF($G727&lt;=30,"Due &lt;=30",IF($G727&lt;=60,"Due 31-60","OK")))))</f>
        <v/>
      </c>
      <c r="I727" s="54"/>
      <c r="J727" s="54"/>
      <c r="K727" s="54"/>
      <c r="L727" s="54"/>
      <c r="M727" s="105">
        <f>IF($F727="","",$F727+ROW()/100000)</f>
        <v/>
      </c>
    </row>
    <row r="728" spans="1:13">
      <c r="A728" s="54"/>
      <c r="B728" s="54"/>
      <c r="C728" s="52"/>
      <c r="D728" s="83">
        <f>IF($B728="","",IFERROR(IF(VLOOKUP($B728,Reference!$A$6:$C$27,3,FALSE)&gt;0,VLOOKUP($B728,Reference!$A$6:$C$27,3,FALSE),""),""))</f>
        <v/>
      </c>
      <c r="E728" s="53"/>
      <c r="F728" s="82">
        <f>IF(OR($A728="",$B728="",NOT(ISNUMBER($C728))),"",IF(ISNUMBER($E728),IF($E728&gt;0,EDATE($C728,$E728),""),IF(ISNUMBER($D728),EDATE($C728,$D728),"")))</f>
        <v/>
      </c>
      <c r="G728" s="83">
        <f>IF($F728="","",$F728-TODAY())</f>
        <v/>
      </c>
      <c r="H728" s="85">
        <f>IF(OR($A728="",$B728=""),"",IF($F728="","No date",IF($G728&lt;0,"Overdue",IF($G728&lt;=30,"Due &lt;=30",IF($G728&lt;=60,"Due 31-60","OK")))))</f>
        <v/>
      </c>
      <c r="I728" s="54"/>
      <c r="J728" s="54"/>
      <c r="K728" s="54"/>
      <c r="L728" s="54"/>
      <c r="M728" s="105">
        <f>IF($F728="","",$F728+ROW()/100000)</f>
        <v/>
      </c>
    </row>
    <row r="729" spans="1:13">
      <c r="A729" s="54"/>
      <c r="B729" s="54"/>
      <c r="C729" s="52"/>
      <c r="D729" s="83">
        <f>IF($B729="","",IFERROR(IF(VLOOKUP($B729,Reference!$A$6:$C$27,3,FALSE)&gt;0,VLOOKUP($B729,Reference!$A$6:$C$27,3,FALSE),""),""))</f>
        <v/>
      </c>
      <c r="E729" s="53"/>
      <c r="F729" s="82">
        <f>IF(OR($A729="",$B729="",NOT(ISNUMBER($C729))),"",IF(ISNUMBER($E729),IF($E729&gt;0,EDATE($C729,$E729),""),IF(ISNUMBER($D729),EDATE($C729,$D729),"")))</f>
        <v/>
      </c>
      <c r="G729" s="83">
        <f>IF($F729="","",$F729-TODAY())</f>
        <v/>
      </c>
      <c r="H729" s="85">
        <f>IF(OR($A729="",$B729=""),"",IF($F729="","No date",IF($G729&lt;0,"Overdue",IF($G729&lt;=30,"Due &lt;=30",IF($G729&lt;=60,"Due 31-60","OK")))))</f>
        <v/>
      </c>
      <c r="I729" s="54"/>
      <c r="J729" s="54"/>
      <c r="K729" s="54"/>
      <c r="L729" s="54"/>
      <c r="M729" s="105">
        <f>IF($F729="","",$F729+ROW()/100000)</f>
        <v/>
      </c>
    </row>
    <row r="730" spans="1:13">
      <c r="A730" s="54"/>
      <c r="B730" s="54"/>
      <c r="C730" s="52"/>
      <c r="D730" s="83">
        <f>IF($B730="","",IFERROR(IF(VLOOKUP($B730,Reference!$A$6:$C$27,3,FALSE)&gt;0,VLOOKUP($B730,Reference!$A$6:$C$27,3,FALSE),""),""))</f>
        <v/>
      </c>
      <c r="E730" s="53"/>
      <c r="F730" s="82">
        <f>IF(OR($A730="",$B730="",NOT(ISNUMBER($C730))),"",IF(ISNUMBER($E730),IF($E730&gt;0,EDATE($C730,$E730),""),IF(ISNUMBER($D730),EDATE($C730,$D730),"")))</f>
        <v/>
      </c>
      <c r="G730" s="83">
        <f>IF($F730="","",$F730-TODAY())</f>
        <v/>
      </c>
      <c r="H730" s="85">
        <f>IF(OR($A730="",$B730=""),"",IF($F730="","No date",IF($G730&lt;0,"Overdue",IF($G730&lt;=30,"Due &lt;=30",IF($G730&lt;=60,"Due 31-60","OK")))))</f>
        <v/>
      </c>
      <c r="I730" s="54"/>
      <c r="J730" s="54"/>
      <c r="K730" s="54"/>
      <c r="L730" s="54"/>
      <c r="M730" s="105">
        <f>IF($F730="","",$F730+ROW()/100000)</f>
        <v/>
      </c>
    </row>
    <row r="731" spans="1:13">
      <c r="A731" s="54"/>
      <c r="B731" s="54"/>
      <c r="C731" s="52"/>
      <c r="D731" s="83">
        <f>IF($B731="","",IFERROR(IF(VLOOKUP($B731,Reference!$A$6:$C$27,3,FALSE)&gt;0,VLOOKUP($B731,Reference!$A$6:$C$27,3,FALSE),""),""))</f>
        <v/>
      </c>
      <c r="E731" s="53"/>
      <c r="F731" s="82">
        <f>IF(OR($A731="",$B731="",NOT(ISNUMBER($C731))),"",IF(ISNUMBER($E731),IF($E731&gt;0,EDATE($C731,$E731),""),IF(ISNUMBER($D731),EDATE($C731,$D731),"")))</f>
        <v/>
      </c>
      <c r="G731" s="83">
        <f>IF($F731="","",$F731-TODAY())</f>
        <v/>
      </c>
      <c r="H731" s="85">
        <f>IF(OR($A731="",$B731=""),"",IF($F731="","No date",IF($G731&lt;0,"Overdue",IF($G731&lt;=30,"Due &lt;=30",IF($G731&lt;=60,"Due 31-60","OK")))))</f>
        <v/>
      </c>
      <c r="I731" s="54"/>
      <c r="J731" s="54"/>
      <c r="K731" s="54"/>
      <c r="L731" s="54"/>
      <c r="M731" s="105">
        <f>IF($F731="","",$F731+ROW()/100000)</f>
        <v/>
      </c>
    </row>
    <row r="732" spans="1:13">
      <c r="A732" s="54"/>
      <c r="B732" s="54"/>
      <c r="C732" s="52"/>
      <c r="D732" s="83">
        <f>IF($B732="","",IFERROR(IF(VLOOKUP($B732,Reference!$A$6:$C$27,3,FALSE)&gt;0,VLOOKUP($B732,Reference!$A$6:$C$27,3,FALSE),""),""))</f>
        <v/>
      </c>
      <c r="E732" s="53"/>
      <c r="F732" s="82">
        <f>IF(OR($A732="",$B732="",NOT(ISNUMBER($C732))),"",IF(ISNUMBER($E732),IF($E732&gt;0,EDATE($C732,$E732),""),IF(ISNUMBER($D732),EDATE($C732,$D732),"")))</f>
        <v/>
      </c>
      <c r="G732" s="83">
        <f>IF($F732="","",$F732-TODAY())</f>
        <v/>
      </c>
      <c r="H732" s="85">
        <f>IF(OR($A732="",$B732=""),"",IF($F732="","No date",IF($G732&lt;0,"Overdue",IF($G732&lt;=30,"Due &lt;=30",IF($G732&lt;=60,"Due 31-60","OK")))))</f>
        <v/>
      </c>
      <c r="I732" s="54"/>
      <c r="J732" s="54"/>
      <c r="K732" s="54"/>
      <c r="L732" s="54"/>
      <c r="M732" s="105">
        <f>IF($F732="","",$F732+ROW()/100000)</f>
        <v/>
      </c>
    </row>
    <row r="733" spans="1:13">
      <c r="A733" s="54"/>
      <c r="B733" s="54"/>
      <c r="C733" s="52"/>
      <c r="D733" s="83">
        <f>IF($B733="","",IFERROR(IF(VLOOKUP($B733,Reference!$A$6:$C$27,3,FALSE)&gt;0,VLOOKUP($B733,Reference!$A$6:$C$27,3,FALSE),""),""))</f>
        <v/>
      </c>
      <c r="E733" s="53"/>
      <c r="F733" s="82">
        <f>IF(OR($A733="",$B733="",NOT(ISNUMBER($C733))),"",IF(ISNUMBER($E733),IF($E733&gt;0,EDATE($C733,$E733),""),IF(ISNUMBER($D733),EDATE($C733,$D733),"")))</f>
        <v/>
      </c>
      <c r="G733" s="83">
        <f>IF($F733="","",$F733-TODAY())</f>
        <v/>
      </c>
      <c r="H733" s="85">
        <f>IF(OR($A733="",$B733=""),"",IF($F733="","No date",IF($G733&lt;0,"Overdue",IF($G733&lt;=30,"Due &lt;=30",IF($G733&lt;=60,"Due 31-60","OK")))))</f>
        <v/>
      </c>
      <c r="I733" s="54"/>
      <c r="J733" s="54"/>
      <c r="K733" s="54"/>
      <c r="L733" s="54"/>
      <c r="M733" s="105">
        <f>IF($F733="","",$F733+ROW()/100000)</f>
        <v/>
      </c>
    </row>
    <row r="734" spans="1:13">
      <c r="A734" s="54"/>
      <c r="B734" s="54"/>
      <c r="C734" s="52"/>
      <c r="D734" s="83">
        <f>IF($B734="","",IFERROR(IF(VLOOKUP($B734,Reference!$A$6:$C$27,3,FALSE)&gt;0,VLOOKUP($B734,Reference!$A$6:$C$27,3,FALSE),""),""))</f>
        <v/>
      </c>
      <c r="E734" s="53"/>
      <c r="F734" s="82">
        <f>IF(OR($A734="",$B734="",NOT(ISNUMBER($C734))),"",IF(ISNUMBER($E734),IF($E734&gt;0,EDATE($C734,$E734),""),IF(ISNUMBER($D734),EDATE($C734,$D734),"")))</f>
        <v/>
      </c>
      <c r="G734" s="83">
        <f>IF($F734="","",$F734-TODAY())</f>
        <v/>
      </c>
      <c r="H734" s="85">
        <f>IF(OR($A734="",$B734=""),"",IF($F734="","No date",IF($G734&lt;0,"Overdue",IF($G734&lt;=30,"Due &lt;=30",IF($G734&lt;=60,"Due 31-60","OK")))))</f>
        <v/>
      </c>
      <c r="I734" s="54"/>
      <c r="J734" s="54"/>
      <c r="K734" s="54"/>
      <c r="L734" s="54"/>
      <c r="M734" s="105">
        <f>IF($F734="","",$F734+ROW()/100000)</f>
        <v/>
      </c>
    </row>
    <row r="735" spans="1:13">
      <c r="A735" s="54"/>
      <c r="B735" s="54"/>
      <c r="C735" s="52"/>
      <c r="D735" s="83">
        <f>IF($B735="","",IFERROR(IF(VLOOKUP($B735,Reference!$A$6:$C$27,3,FALSE)&gt;0,VLOOKUP($B735,Reference!$A$6:$C$27,3,FALSE),""),""))</f>
        <v/>
      </c>
      <c r="E735" s="53"/>
      <c r="F735" s="82">
        <f>IF(OR($A735="",$B735="",NOT(ISNUMBER($C735))),"",IF(ISNUMBER($E735),IF($E735&gt;0,EDATE($C735,$E735),""),IF(ISNUMBER($D735),EDATE($C735,$D735),"")))</f>
        <v/>
      </c>
      <c r="G735" s="83">
        <f>IF($F735="","",$F735-TODAY())</f>
        <v/>
      </c>
      <c r="H735" s="85">
        <f>IF(OR($A735="",$B735=""),"",IF($F735="","No date",IF($G735&lt;0,"Overdue",IF($G735&lt;=30,"Due &lt;=30",IF($G735&lt;=60,"Due 31-60","OK")))))</f>
        <v/>
      </c>
      <c r="I735" s="54"/>
      <c r="J735" s="54"/>
      <c r="K735" s="54"/>
      <c r="L735" s="54"/>
      <c r="M735" s="105">
        <f>IF($F735="","",$F735+ROW()/100000)</f>
        <v/>
      </c>
    </row>
    <row r="736" spans="1:13">
      <c r="A736" s="54"/>
      <c r="B736" s="54"/>
      <c r="C736" s="52"/>
      <c r="D736" s="83">
        <f>IF($B736="","",IFERROR(IF(VLOOKUP($B736,Reference!$A$6:$C$27,3,FALSE)&gt;0,VLOOKUP($B736,Reference!$A$6:$C$27,3,FALSE),""),""))</f>
        <v/>
      </c>
      <c r="E736" s="53"/>
      <c r="F736" s="82">
        <f>IF(OR($A736="",$B736="",NOT(ISNUMBER($C736))),"",IF(ISNUMBER($E736),IF($E736&gt;0,EDATE($C736,$E736),""),IF(ISNUMBER($D736),EDATE($C736,$D736),"")))</f>
        <v/>
      </c>
      <c r="G736" s="83">
        <f>IF($F736="","",$F736-TODAY())</f>
        <v/>
      </c>
      <c r="H736" s="85">
        <f>IF(OR($A736="",$B736=""),"",IF($F736="","No date",IF($G736&lt;0,"Overdue",IF($G736&lt;=30,"Due &lt;=30",IF($G736&lt;=60,"Due 31-60","OK")))))</f>
        <v/>
      </c>
      <c r="I736" s="54"/>
      <c r="J736" s="54"/>
      <c r="K736" s="54"/>
      <c r="L736" s="54"/>
      <c r="M736" s="105">
        <f>IF($F736="","",$F736+ROW()/100000)</f>
        <v/>
      </c>
    </row>
    <row r="737" spans="1:13">
      <c r="A737" s="54"/>
      <c r="B737" s="54"/>
      <c r="C737" s="52"/>
      <c r="D737" s="83">
        <f>IF($B737="","",IFERROR(IF(VLOOKUP($B737,Reference!$A$6:$C$27,3,FALSE)&gt;0,VLOOKUP($B737,Reference!$A$6:$C$27,3,FALSE),""),""))</f>
        <v/>
      </c>
      <c r="E737" s="53"/>
      <c r="F737" s="82">
        <f>IF(OR($A737="",$B737="",NOT(ISNUMBER($C737))),"",IF(ISNUMBER($E737),IF($E737&gt;0,EDATE($C737,$E737),""),IF(ISNUMBER($D737),EDATE($C737,$D737),"")))</f>
        <v/>
      </c>
      <c r="G737" s="83">
        <f>IF($F737="","",$F737-TODAY())</f>
        <v/>
      </c>
      <c r="H737" s="85">
        <f>IF(OR($A737="",$B737=""),"",IF($F737="","No date",IF($G737&lt;0,"Overdue",IF($G737&lt;=30,"Due &lt;=30",IF($G737&lt;=60,"Due 31-60","OK")))))</f>
        <v/>
      </c>
      <c r="I737" s="54"/>
      <c r="J737" s="54"/>
      <c r="K737" s="54"/>
      <c r="L737" s="54"/>
      <c r="M737" s="105">
        <f>IF($F737="","",$F737+ROW()/100000)</f>
        <v/>
      </c>
    </row>
    <row r="738" spans="1:13">
      <c r="A738" s="54"/>
      <c r="B738" s="54"/>
      <c r="C738" s="52"/>
      <c r="D738" s="83">
        <f>IF($B738="","",IFERROR(IF(VLOOKUP($B738,Reference!$A$6:$C$27,3,FALSE)&gt;0,VLOOKUP($B738,Reference!$A$6:$C$27,3,FALSE),""),""))</f>
        <v/>
      </c>
      <c r="E738" s="53"/>
      <c r="F738" s="82">
        <f>IF(OR($A738="",$B738="",NOT(ISNUMBER($C738))),"",IF(ISNUMBER($E738),IF($E738&gt;0,EDATE($C738,$E738),""),IF(ISNUMBER($D738),EDATE($C738,$D738),"")))</f>
        <v/>
      </c>
      <c r="G738" s="83">
        <f>IF($F738="","",$F738-TODAY())</f>
        <v/>
      </c>
      <c r="H738" s="85">
        <f>IF(OR($A738="",$B738=""),"",IF($F738="","No date",IF($G738&lt;0,"Overdue",IF($G738&lt;=30,"Due &lt;=30",IF($G738&lt;=60,"Due 31-60","OK")))))</f>
        <v/>
      </c>
      <c r="I738" s="54"/>
      <c r="J738" s="54"/>
      <c r="K738" s="54"/>
      <c r="L738" s="54"/>
      <c r="M738" s="105">
        <f>IF($F738="","",$F738+ROW()/100000)</f>
        <v/>
      </c>
    </row>
    <row r="739" spans="1:13">
      <c r="A739" s="54"/>
      <c r="B739" s="54"/>
      <c r="C739" s="52"/>
      <c r="D739" s="83">
        <f>IF($B739="","",IFERROR(IF(VLOOKUP($B739,Reference!$A$6:$C$27,3,FALSE)&gt;0,VLOOKUP($B739,Reference!$A$6:$C$27,3,FALSE),""),""))</f>
        <v/>
      </c>
      <c r="E739" s="53"/>
      <c r="F739" s="82">
        <f>IF(OR($A739="",$B739="",NOT(ISNUMBER($C739))),"",IF(ISNUMBER($E739),IF($E739&gt;0,EDATE($C739,$E739),""),IF(ISNUMBER($D739),EDATE($C739,$D739),"")))</f>
        <v/>
      </c>
      <c r="G739" s="83">
        <f>IF($F739="","",$F739-TODAY())</f>
        <v/>
      </c>
      <c r="H739" s="85">
        <f>IF(OR($A739="",$B739=""),"",IF($F739="","No date",IF($G739&lt;0,"Overdue",IF($G739&lt;=30,"Due &lt;=30",IF($G739&lt;=60,"Due 31-60","OK")))))</f>
        <v/>
      </c>
      <c r="I739" s="54"/>
      <c r="J739" s="54"/>
      <c r="K739" s="54"/>
      <c r="L739" s="54"/>
      <c r="M739" s="105">
        <f>IF($F739="","",$F739+ROW()/100000)</f>
        <v/>
      </c>
    </row>
    <row r="740" spans="1:13">
      <c r="A740" s="54"/>
      <c r="B740" s="54"/>
      <c r="C740" s="52"/>
      <c r="D740" s="83">
        <f>IF($B740="","",IFERROR(IF(VLOOKUP($B740,Reference!$A$6:$C$27,3,FALSE)&gt;0,VLOOKUP($B740,Reference!$A$6:$C$27,3,FALSE),""),""))</f>
        <v/>
      </c>
      <c r="E740" s="53"/>
      <c r="F740" s="82">
        <f>IF(OR($A740="",$B740="",NOT(ISNUMBER($C740))),"",IF(ISNUMBER($E740),IF($E740&gt;0,EDATE($C740,$E740),""),IF(ISNUMBER($D740),EDATE($C740,$D740),"")))</f>
        <v/>
      </c>
      <c r="G740" s="83">
        <f>IF($F740="","",$F740-TODAY())</f>
        <v/>
      </c>
      <c r="H740" s="85">
        <f>IF(OR($A740="",$B740=""),"",IF($F740="","No date",IF($G740&lt;0,"Overdue",IF($G740&lt;=30,"Due &lt;=30",IF($G740&lt;=60,"Due 31-60","OK")))))</f>
        <v/>
      </c>
      <c r="I740" s="54"/>
      <c r="J740" s="54"/>
      <c r="K740" s="54"/>
      <c r="L740" s="54"/>
      <c r="M740" s="105">
        <f>IF($F740="","",$F740+ROW()/100000)</f>
        <v/>
      </c>
    </row>
    <row r="741" spans="1:13">
      <c r="A741" s="54"/>
      <c r="B741" s="54"/>
      <c r="C741" s="52"/>
      <c r="D741" s="83">
        <f>IF($B741="","",IFERROR(IF(VLOOKUP($B741,Reference!$A$6:$C$27,3,FALSE)&gt;0,VLOOKUP($B741,Reference!$A$6:$C$27,3,FALSE),""),""))</f>
        <v/>
      </c>
      <c r="E741" s="53"/>
      <c r="F741" s="82">
        <f>IF(OR($A741="",$B741="",NOT(ISNUMBER($C741))),"",IF(ISNUMBER($E741),IF($E741&gt;0,EDATE($C741,$E741),""),IF(ISNUMBER($D741),EDATE($C741,$D741),"")))</f>
        <v/>
      </c>
      <c r="G741" s="83">
        <f>IF($F741="","",$F741-TODAY())</f>
        <v/>
      </c>
      <c r="H741" s="85">
        <f>IF(OR($A741="",$B741=""),"",IF($F741="","No date",IF($G741&lt;0,"Overdue",IF($G741&lt;=30,"Due &lt;=30",IF($G741&lt;=60,"Due 31-60","OK")))))</f>
        <v/>
      </c>
      <c r="I741" s="54"/>
      <c r="J741" s="54"/>
      <c r="K741" s="54"/>
      <c r="L741" s="54"/>
      <c r="M741" s="105">
        <f>IF($F741="","",$F741+ROW()/100000)</f>
        <v/>
      </c>
    </row>
    <row r="742" spans="1:13">
      <c r="A742" s="54"/>
      <c r="B742" s="54"/>
      <c r="C742" s="52"/>
      <c r="D742" s="83">
        <f>IF($B742="","",IFERROR(IF(VLOOKUP($B742,Reference!$A$6:$C$27,3,FALSE)&gt;0,VLOOKUP($B742,Reference!$A$6:$C$27,3,FALSE),""),""))</f>
        <v/>
      </c>
      <c r="E742" s="53"/>
      <c r="F742" s="82">
        <f>IF(OR($A742="",$B742="",NOT(ISNUMBER($C742))),"",IF(ISNUMBER($E742),IF($E742&gt;0,EDATE($C742,$E742),""),IF(ISNUMBER($D742),EDATE($C742,$D742),"")))</f>
        <v/>
      </c>
      <c r="G742" s="83">
        <f>IF($F742="","",$F742-TODAY())</f>
        <v/>
      </c>
      <c r="H742" s="85">
        <f>IF(OR($A742="",$B742=""),"",IF($F742="","No date",IF($G742&lt;0,"Overdue",IF($G742&lt;=30,"Due &lt;=30",IF($G742&lt;=60,"Due 31-60","OK")))))</f>
        <v/>
      </c>
      <c r="I742" s="54"/>
      <c r="J742" s="54"/>
      <c r="K742" s="54"/>
      <c r="L742" s="54"/>
      <c r="M742" s="105">
        <f>IF($F742="","",$F742+ROW()/100000)</f>
        <v/>
      </c>
    </row>
    <row r="743" spans="1:13">
      <c r="A743" s="54"/>
      <c r="B743" s="54"/>
      <c r="C743" s="52"/>
      <c r="D743" s="83">
        <f>IF($B743="","",IFERROR(IF(VLOOKUP($B743,Reference!$A$6:$C$27,3,FALSE)&gt;0,VLOOKUP($B743,Reference!$A$6:$C$27,3,FALSE),""),""))</f>
        <v/>
      </c>
      <c r="E743" s="53"/>
      <c r="F743" s="82">
        <f>IF(OR($A743="",$B743="",NOT(ISNUMBER($C743))),"",IF(ISNUMBER($E743),IF($E743&gt;0,EDATE($C743,$E743),""),IF(ISNUMBER($D743),EDATE($C743,$D743),"")))</f>
        <v/>
      </c>
      <c r="G743" s="83">
        <f>IF($F743="","",$F743-TODAY())</f>
        <v/>
      </c>
      <c r="H743" s="85">
        <f>IF(OR($A743="",$B743=""),"",IF($F743="","No date",IF($G743&lt;0,"Overdue",IF($G743&lt;=30,"Due &lt;=30",IF($G743&lt;=60,"Due 31-60","OK")))))</f>
        <v/>
      </c>
      <c r="I743" s="54"/>
      <c r="J743" s="54"/>
      <c r="K743" s="54"/>
      <c r="L743" s="54"/>
      <c r="M743" s="105">
        <f>IF($F743="","",$F743+ROW()/100000)</f>
        <v/>
      </c>
    </row>
    <row r="744" spans="1:13">
      <c r="A744" s="54"/>
      <c r="B744" s="54"/>
      <c r="C744" s="52"/>
      <c r="D744" s="83">
        <f>IF($B744="","",IFERROR(IF(VLOOKUP($B744,Reference!$A$6:$C$27,3,FALSE)&gt;0,VLOOKUP($B744,Reference!$A$6:$C$27,3,FALSE),""),""))</f>
        <v/>
      </c>
      <c r="E744" s="53"/>
      <c r="F744" s="82">
        <f>IF(OR($A744="",$B744="",NOT(ISNUMBER($C744))),"",IF(ISNUMBER($E744),IF($E744&gt;0,EDATE($C744,$E744),""),IF(ISNUMBER($D744),EDATE($C744,$D744),"")))</f>
        <v/>
      </c>
      <c r="G744" s="83">
        <f>IF($F744="","",$F744-TODAY())</f>
        <v/>
      </c>
      <c r="H744" s="85">
        <f>IF(OR($A744="",$B744=""),"",IF($F744="","No date",IF($G744&lt;0,"Overdue",IF($G744&lt;=30,"Due &lt;=30",IF($G744&lt;=60,"Due 31-60","OK")))))</f>
        <v/>
      </c>
      <c r="I744" s="54"/>
      <c r="J744" s="54"/>
      <c r="K744" s="54"/>
      <c r="L744" s="54"/>
      <c r="M744" s="105">
        <f>IF($F744="","",$F744+ROW()/100000)</f>
        <v/>
      </c>
    </row>
    <row r="745" spans="1:13">
      <c r="A745" s="54"/>
      <c r="B745" s="54"/>
      <c r="C745" s="52"/>
      <c r="D745" s="83">
        <f>IF($B745="","",IFERROR(IF(VLOOKUP($B745,Reference!$A$6:$C$27,3,FALSE)&gt;0,VLOOKUP($B745,Reference!$A$6:$C$27,3,FALSE),""),""))</f>
        <v/>
      </c>
      <c r="E745" s="53"/>
      <c r="F745" s="82">
        <f>IF(OR($A745="",$B745="",NOT(ISNUMBER($C745))),"",IF(ISNUMBER($E745),IF($E745&gt;0,EDATE($C745,$E745),""),IF(ISNUMBER($D745),EDATE($C745,$D745),"")))</f>
        <v/>
      </c>
      <c r="G745" s="83">
        <f>IF($F745="","",$F745-TODAY())</f>
        <v/>
      </c>
      <c r="H745" s="85">
        <f>IF(OR($A745="",$B745=""),"",IF($F745="","No date",IF($G745&lt;0,"Overdue",IF($G745&lt;=30,"Due &lt;=30",IF($G745&lt;=60,"Due 31-60","OK")))))</f>
        <v/>
      </c>
      <c r="I745" s="54"/>
      <c r="J745" s="54"/>
      <c r="K745" s="54"/>
      <c r="L745" s="54"/>
      <c r="M745" s="105">
        <f>IF($F745="","",$F745+ROW()/100000)</f>
        <v/>
      </c>
    </row>
    <row r="746" spans="1:13">
      <c r="A746" s="54"/>
      <c r="B746" s="54"/>
      <c r="C746" s="52"/>
      <c r="D746" s="83">
        <f>IF($B746="","",IFERROR(IF(VLOOKUP($B746,Reference!$A$6:$C$27,3,FALSE)&gt;0,VLOOKUP($B746,Reference!$A$6:$C$27,3,FALSE),""),""))</f>
        <v/>
      </c>
      <c r="E746" s="53"/>
      <c r="F746" s="82">
        <f>IF(OR($A746="",$B746="",NOT(ISNUMBER($C746))),"",IF(ISNUMBER($E746),IF($E746&gt;0,EDATE($C746,$E746),""),IF(ISNUMBER($D746),EDATE($C746,$D746),"")))</f>
        <v/>
      </c>
      <c r="G746" s="83">
        <f>IF($F746="","",$F746-TODAY())</f>
        <v/>
      </c>
      <c r="H746" s="85">
        <f>IF(OR($A746="",$B746=""),"",IF($F746="","No date",IF($G746&lt;0,"Overdue",IF($G746&lt;=30,"Due &lt;=30",IF($G746&lt;=60,"Due 31-60","OK")))))</f>
        <v/>
      </c>
      <c r="I746" s="54"/>
      <c r="J746" s="54"/>
      <c r="K746" s="54"/>
      <c r="L746" s="54"/>
      <c r="M746" s="105">
        <f>IF($F746="","",$F746+ROW()/100000)</f>
        <v/>
      </c>
    </row>
    <row r="747" spans="1:13">
      <c r="A747" s="54"/>
      <c r="B747" s="54"/>
      <c r="C747" s="52"/>
      <c r="D747" s="83">
        <f>IF($B747="","",IFERROR(IF(VLOOKUP($B747,Reference!$A$6:$C$27,3,FALSE)&gt;0,VLOOKUP($B747,Reference!$A$6:$C$27,3,FALSE),""),""))</f>
        <v/>
      </c>
      <c r="E747" s="53"/>
      <c r="F747" s="82">
        <f>IF(OR($A747="",$B747="",NOT(ISNUMBER($C747))),"",IF(ISNUMBER($E747),IF($E747&gt;0,EDATE($C747,$E747),""),IF(ISNUMBER($D747),EDATE($C747,$D747),"")))</f>
        <v/>
      </c>
      <c r="G747" s="83">
        <f>IF($F747="","",$F747-TODAY())</f>
        <v/>
      </c>
      <c r="H747" s="85">
        <f>IF(OR($A747="",$B747=""),"",IF($F747="","No date",IF($G747&lt;0,"Overdue",IF($G747&lt;=30,"Due &lt;=30",IF($G747&lt;=60,"Due 31-60","OK")))))</f>
        <v/>
      </c>
      <c r="I747" s="54"/>
      <c r="J747" s="54"/>
      <c r="K747" s="54"/>
      <c r="L747" s="54"/>
      <c r="M747" s="105">
        <f>IF($F747="","",$F747+ROW()/100000)</f>
        <v/>
      </c>
    </row>
    <row r="748" spans="1:13">
      <c r="A748" s="54"/>
      <c r="B748" s="54"/>
      <c r="C748" s="52"/>
      <c r="D748" s="83">
        <f>IF($B748="","",IFERROR(IF(VLOOKUP($B748,Reference!$A$6:$C$27,3,FALSE)&gt;0,VLOOKUP($B748,Reference!$A$6:$C$27,3,FALSE),""),""))</f>
        <v/>
      </c>
      <c r="E748" s="53"/>
      <c r="F748" s="82">
        <f>IF(OR($A748="",$B748="",NOT(ISNUMBER($C748))),"",IF(ISNUMBER($E748),IF($E748&gt;0,EDATE($C748,$E748),""),IF(ISNUMBER($D748),EDATE($C748,$D748),"")))</f>
        <v/>
      </c>
      <c r="G748" s="83">
        <f>IF($F748="","",$F748-TODAY())</f>
        <v/>
      </c>
      <c r="H748" s="85">
        <f>IF(OR($A748="",$B748=""),"",IF($F748="","No date",IF($G748&lt;0,"Overdue",IF($G748&lt;=30,"Due &lt;=30",IF($G748&lt;=60,"Due 31-60","OK")))))</f>
        <v/>
      </c>
      <c r="I748" s="54"/>
      <c r="J748" s="54"/>
      <c r="K748" s="54"/>
      <c r="L748" s="54"/>
      <c r="M748" s="105">
        <f>IF($F748="","",$F748+ROW()/100000)</f>
        <v/>
      </c>
    </row>
    <row r="749" spans="1:13">
      <c r="A749" s="54"/>
      <c r="B749" s="54"/>
      <c r="C749" s="52"/>
      <c r="D749" s="83">
        <f>IF($B749="","",IFERROR(IF(VLOOKUP($B749,Reference!$A$6:$C$27,3,FALSE)&gt;0,VLOOKUP($B749,Reference!$A$6:$C$27,3,FALSE),""),""))</f>
        <v/>
      </c>
      <c r="E749" s="53"/>
      <c r="F749" s="82">
        <f>IF(OR($A749="",$B749="",NOT(ISNUMBER($C749))),"",IF(ISNUMBER($E749),IF($E749&gt;0,EDATE($C749,$E749),""),IF(ISNUMBER($D749),EDATE($C749,$D749),"")))</f>
        <v/>
      </c>
      <c r="G749" s="83">
        <f>IF($F749="","",$F749-TODAY())</f>
        <v/>
      </c>
      <c r="H749" s="85">
        <f>IF(OR($A749="",$B749=""),"",IF($F749="","No date",IF($G749&lt;0,"Overdue",IF($G749&lt;=30,"Due &lt;=30",IF($G749&lt;=60,"Due 31-60","OK")))))</f>
        <v/>
      </c>
      <c r="I749" s="54"/>
      <c r="J749" s="54"/>
      <c r="K749" s="54"/>
      <c r="L749" s="54"/>
      <c r="M749" s="105">
        <f>IF($F749="","",$F749+ROW()/100000)</f>
        <v/>
      </c>
    </row>
    <row r="750" spans="1:13">
      <c r="A750" s="54"/>
      <c r="B750" s="54"/>
      <c r="C750" s="52"/>
      <c r="D750" s="83">
        <f>IF($B750="","",IFERROR(IF(VLOOKUP($B750,Reference!$A$6:$C$27,3,FALSE)&gt;0,VLOOKUP($B750,Reference!$A$6:$C$27,3,FALSE),""),""))</f>
        <v/>
      </c>
      <c r="E750" s="53"/>
      <c r="F750" s="82">
        <f>IF(OR($A750="",$B750="",NOT(ISNUMBER($C750))),"",IF(ISNUMBER($E750),IF($E750&gt;0,EDATE($C750,$E750),""),IF(ISNUMBER($D750),EDATE($C750,$D750),"")))</f>
        <v/>
      </c>
      <c r="G750" s="83">
        <f>IF($F750="","",$F750-TODAY())</f>
        <v/>
      </c>
      <c r="H750" s="85">
        <f>IF(OR($A750="",$B750=""),"",IF($F750="","No date",IF($G750&lt;0,"Overdue",IF($G750&lt;=30,"Due &lt;=30",IF($G750&lt;=60,"Due 31-60","OK")))))</f>
        <v/>
      </c>
      <c r="I750" s="54"/>
      <c r="J750" s="54"/>
      <c r="K750" s="54"/>
      <c r="L750" s="54"/>
      <c r="M750" s="105">
        <f>IF($F750="","",$F750+ROW()/100000)</f>
        <v/>
      </c>
    </row>
    <row r="751" spans="1:13">
      <c r="A751" s="54"/>
      <c r="B751" s="54"/>
      <c r="C751" s="52"/>
      <c r="D751" s="83">
        <f>IF($B751="","",IFERROR(IF(VLOOKUP($B751,Reference!$A$6:$C$27,3,FALSE)&gt;0,VLOOKUP($B751,Reference!$A$6:$C$27,3,FALSE),""),""))</f>
        <v/>
      </c>
      <c r="E751" s="53"/>
      <c r="F751" s="82">
        <f>IF(OR($A751="",$B751="",NOT(ISNUMBER($C751))),"",IF(ISNUMBER($E751),IF($E751&gt;0,EDATE($C751,$E751),""),IF(ISNUMBER($D751),EDATE($C751,$D751),"")))</f>
        <v/>
      </c>
      <c r="G751" s="83">
        <f>IF($F751="","",$F751-TODAY())</f>
        <v/>
      </c>
      <c r="H751" s="85">
        <f>IF(OR($A751="",$B751=""),"",IF($F751="","No date",IF($G751&lt;0,"Overdue",IF($G751&lt;=30,"Due &lt;=30",IF($G751&lt;=60,"Due 31-60","OK")))))</f>
        <v/>
      </c>
      <c r="I751" s="54"/>
      <c r="J751" s="54"/>
      <c r="K751" s="54"/>
      <c r="L751" s="54"/>
      <c r="M751" s="105">
        <f>IF($F751="","",$F751+ROW()/100000)</f>
        <v/>
      </c>
    </row>
    <row r="752" spans="1:13">
      <c r="A752" s="54"/>
      <c r="B752" s="54"/>
      <c r="C752" s="52"/>
      <c r="D752" s="83">
        <f>IF($B752="","",IFERROR(IF(VLOOKUP($B752,Reference!$A$6:$C$27,3,FALSE)&gt;0,VLOOKUP($B752,Reference!$A$6:$C$27,3,FALSE),""),""))</f>
        <v/>
      </c>
      <c r="E752" s="53"/>
      <c r="F752" s="82">
        <f>IF(OR($A752="",$B752="",NOT(ISNUMBER($C752))),"",IF(ISNUMBER($E752),IF($E752&gt;0,EDATE($C752,$E752),""),IF(ISNUMBER($D752),EDATE($C752,$D752),"")))</f>
        <v/>
      </c>
      <c r="G752" s="83">
        <f>IF($F752="","",$F752-TODAY())</f>
        <v/>
      </c>
      <c r="H752" s="85">
        <f>IF(OR($A752="",$B752=""),"",IF($F752="","No date",IF($G752&lt;0,"Overdue",IF($G752&lt;=30,"Due &lt;=30",IF($G752&lt;=60,"Due 31-60","OK")))))</f>
        <v/>
      </c>
      <c r="I752" s="54"/>
      <c r="J752" s="54"/>
      <c r="K752" s="54"/>
      <c r="L752" s="54"/>
      <c r="M752" s="105">
        <f>IF($F752="","",$F752+ROW()/100000)</f>
        <v/>
      </c>
    </row>
    <row r="753" spans="1:13">
      <c r="A753" s="54"/>
      <c r="B753" s="54"/>
      <c r="C753" s="52"/>
      <c r="D753" s="83">
        <f>IF($B753="","",IFERROR(IF(VLOOKUP($B753,Reference!$A$6:$C$27,3,FALSE)&gt;0,VLOOKUP($B753,Reference!$A$6:$C$27,3,FALSE),""),""))</f>
        <v/>
      </c>
      <c r="E753" s="53"/>
      <c r="F753" s="82">
        <f>IF(OR($A753="",$B753="",NOT(ISNUMBER($C753))),"",IF(ISNUMBER($E753),IF($E753&gt;0,EDATE($C753,$E753),""),IF(ISNUMBER($D753),EDATE($C753,$D753),"")))</f>
        <v/>
      </c>
      <c r="G753" s="83">
        <f>IF($F753="","",$F753-TODAY())</f>
        <v/>
      </c>
      <c r="H753" s="85">
        <f>IF(OR($A753="",$B753=""),"",IF($F753="","No date",IF($G753&lt;0,"Overdue",IF($G753&lt;=30,"Due &lt;=30",IF($G753&lt;=60,"Due 31-60","OK")))))</f>
        <v/>
      </c>
      <c r="I753" s="54"/>
      <c r="J753" s="54"/>
      <c r="K753" s="54"/>
      <c r="L753" s="54"/>
      <c r="M753" s="105">
        <f>IF($F753="","",$F753+ROW()/100000)</f>
        <v/>
      </c>
    </row>
    <row r="754" spans="1:13">
      <c r="A754" s="54"/>
      <c r="B754" s="54"/>
      <c r="C754" s="52"/>
      <c r="D754" s="83">
        <f>IF($B754="","",IFERROR(IF(VLOOKUP($B754,Reference!$A$6:$C$27,3,FALSE)&gt;0,VLOOKUP($B754,Reference!$A$6:$C$27,3,FALSE),""),""))</f>
        <v/>
      </c>
      <c r="E754" s="53"/>
      <c r="F754" s="82">
        <f>IF(OR($A754="",$B754="",NOT(ISNUMBER($C754))),"",IF(ISNUMBER($E754),IF($E754&gt;0,EDATE($C754,$E754),""),IF(ISNUMBER($D754),EDATE($C754,$D754),"")))</f>
        <v/>
      </c>
      <c r="G754" s="83">
        <f>IF($F754="","",$F754-TODAY())</f>
        <v/>
      </c>
      <c r="H754" s="85">
        <f>IF(OR($A754="",$B754=""),"",IF($F754="","No date",IF($G754&lt;0,"Overdue",IF($G754&lt;=30,"Due &lt;=30",IF($G754&lt;=60,"Due 31-60","OK")))))</f>
        <v/>
      </c>
      <c r="I754" s="54"/>
      <c r="J754" s="54"/>
      <c r="K754" s="54"/>
      <c r="L754" s="54"/>
      <c r="M754" s="105">
        <f>IF($F754="","",$F754+ROW()/100000)</f>
        <v/>
      </c>
    </row>
    <row r="755" spans="1:13">
      <c r="A755" s="54"/>
      <c r="B755" s="54"/>
      <c r="C755" s="52"/>
      <c r="D755" s="83">
        <f>IF($B755="","",IFERROR(IF(VLOOKUP($B755,Reference!$A$6:$C$27,3,FALSE)&gt;0,VLOOKUP($B755,Reference!$A$6:$C$27,3,FALSE),""),""))</f>
        <v/>
      </c>
      <c r="E755" s="53"/>
      <c r="F755" s="82">
        <f>IF(OR($A755="",$B755="",NOT(ISNUMBER($C755))),"",IF(ISNUMBER($E755),IF($E755&gt;0,EDATE($C755,$E755),""),IF(ISNUMBER($D755),EDATE($C755,$D755),"")))</f>
        <v/>
      </c>
      <c r="G755" s="83">
        <f>IF($F755="","",$F755-TODAY())</f>
        <v/>
      </c>
      <c r="H755" s="85">
        <f>IF(OR($A755="",$B755=""),"",IF($F755="","No date",IF($G755&lt;0,"Overdue",IF($G755&lt;=30,"Due &lt;=30",IF($G755&lt;=60,"Due 31-60","OK")))))</f>
        <v/>
      </c>
      <c r="I755" s="54"/>
      <c r="J755" s="54"/>
      <c r="K755" s="54"/>
      <c r="L755" s="54"/>
      <c r="M755" s="105">
        <f>IF($F755="","",$F755+ROW()/100000)</f>
        <v/>
      </c>
    </row>
    <row r="756" spans="1:13">
      <c r="A756" s="54"/>
      <c r="B756" s="54"/>
      <c r="C756" s="52"/>
      <c r="D756" s="83">
        <f>IF($B756="","",IFERROR(IF(VLOOKUP($B756,Reference!$A$6:$C$27,3,FALSE)&gt;0,VLOOKUP($B756,Reference!$A$6:$C$27,3,FALSE),""),""))</f>
        <v/>
      </c>
      <c r="E756" s="53"/>
      <c r="F756" s="82">
        <f>IF(OR($A756="",$B756="",NOT(ISNUMBER($C756))),"",IF(ISNUMBER($E756),IF($E756&gt;0,EDATE($C756,$E756),""),IF(ISNUMBER($D756),EDATE($C756,$D756),"")))</f>
        <v/>
      </c>
      <c r="G756" s="83">
        <f>IF($F756="","",$F756-TODAY())</f>
        <v/>
      </c>
      <c r="H756" s="85">
        <f>IF(OR($A756="",$B756=""),"",IF($F756="","No date",IF($G756&lt;0,"Overdue",IF($G756&lt;=30,"Due &lt;=30",IF($G756&lt;=60,"Due 31-60","OK")))))</f>
        <v/>
      </c>
      <c r="I756" s="54"/>
      <c r="J756" s="54"/>
      <c r="K756" s="54"/>
      <c r="L756" s="54"/>
      <c r="M756" s="105">
        <f>IF($F756="","",$F756+ROW()/100000)</f>
        <v/>
      </c>
    </row>
    <row r="757" spans="1:13">
      <c r="A757" s="54"/>
      <c r="B757" s="54"/>
      <c r="C757" s="52"/>
      <c r="D757" s="83">
        <f>IF($B757="","",IFERROR(IF(VLOOKUP($B757,Reference!$A$6:$C$27,3,FALSE)&gt;0,VLOOKUP($B757,Reference!$A$6:$C$27,3,FALSE),""),""))</f>
        <v/>
      </c>
      <c r="E757" s="53"/>
      <c r="F757" s="82">
        <f>IF(OR($A757="",$B757="",NOT(ISNUMBER($C757))),"",IF(ISNUMBER($E757),IF($E757&gt;0,EDATE($C757,$E757),""),IF(ISNUMBER($D757),EDATE($C757,$D757),"")))</f>
        <v/>
      </c>
      <c r="G757" s="83">
        <f>IF($F757="","",$F757-TODAY())</f>
        <v/>
      </c>
      <c r="H757" s="85">
        <f>IF(OR($A757="",$B757=""),"",IF($F757="","No date",IF($G757&lt;0,"Overdue",IF($G757&lt;=30,"Due &lt;=30",IF($G757&lt;=60,"Due 31-60","OK")))))</f>
        <v/>
      </c>
      <c r="I757" s="54"/>
      <c r="J757" s="54"/>
      <c r="K757" s="54"/>
      <c r="L757" s="54"/>
      <c r="M757" s="105">
        <f>IF($F757="","",$F757+ROW()/100000)</f>
        <v/>
      </c>
    </row>
    <row r="758" spans="1:13">
      <c r="A758" s="54"/>
      <c r="B758" s="54"/>
      <c r="C758" s="52"/>
      <c r="D758" s="83">
        <f>IF($B758="","",IFERROR(IF(VLOOKUP($B758,Reference!$A$6:$C$27,3,FALSE)&gt;0,VLOOKUP($B758,Reference!$A$6:$C$27,3,FALSE),""),""))</f>
        <v/>
      </c>
      <c r="E758" s="53"/>
      <c r="F758" s="82">
        <f>IF(OR($A758="",$B758="",NOT(ISNUMBER($C758))),"",IF(ISNUMBER($E758),IF($E758&gt;0,EDATE($C758,$E758),""),IF(ISNUMBER($D758),EDATE($C758,$D758),"")))</f>
        <v/>
      </c>
      <c r="G758" s="83">
        <f>IF($F758="","",$F758-TODAY())</f>
        <v/>
      </c>
      <c r="H758" s="85">
        <f>IF(OR($A758="",$B758=""),"",IF($F758="","No date",IF($G758&lt;0,"Overdue",IF($G758&lt;=30,"Due &lt;=30",IF($G758&lt;=60,"Due 31-60","OK")))))</f>
        <v/>
      </c>
      <c r="I758" s="54"/>
      <c r="J758" s="54"/>
      <c r="K758" s="54"/>
      <c r="L758" s="54"/>
      <c r="M758" s="105">
        <f>IF($F758="","",$F758+ROW()/100000)</f>
        <v/>
      </c>
    </row>
    <row r="759" spans="1:13">
      <c r="A759" s="54"/>
      <c r="B759" s="54"/>
      <c r="C759" s="52"/>
      <c r="D759" s="83">
        <f>IF($B759="","",IFERROR(IF(VLOOKUP($B759,Reference!$A$6:$C$27,3,FALSE)&gt;0,VLOOKUP($B759,Reference!$A$6:$C$27,3,FALSE),""),""))</f>
        <v/>
      </c>
      <c r="E759" s="53"/>
      <c r="F759" s="82">
        <f>IF(OR($A759="",$B759="",NOT(ISNUMBER($C759))),"",IF(ISNUMBER($E759),IF($E759&gt;0,EDATE($C759,$E759),""),IF(ISNUMBER($D759),EDATE($C759,$D759),"")))</f>
        <v/>
      </c>
      <c r="G759" s="83">
        <f>IF($F759="","",$F759-TODAY())</f>
        <v/>
      </c>
      <c r="H759" s="85">
        <f>IF(OR($A759="",$B759=""),"",IF($F759="","No date",IF($G759&lt;0,"Overdue",IF($G759&lt;=30,"Due &lt;=30",IF($G759&lt;=60,"Due 31-60","OK")))))</f>
        <v/>
      </c>
      <c r="I759" s="54"/>
      <c r="J759" s="54"/>
      <c r="K759" s="54"/>
      <c r="L759" s="54"/>
      <c r="M759" s="105">
        <f>IF($F759="","",$F759+ROW()/100000)</f>
        <v/>
      </c>
    </row>
    <row r="760" spans="1:13">
      <c r="A760" s="54"/>
      <c r="B760" s="54"/>
      <c r="C760" s="52"/>
      <c r="D760" s="83">
        <f>IF($B760="","",IFERROR(IF(VLOOKUP($B760,Reference!$A$6:$C$27,3,FALSE)&gt;0,VLOOKUP($B760,Reference!$A$6:$C$27,3,FALSE),""),""))</f>
        <v/>
      </c>
      <c r="E760" s="53"/>
      <c r="F760" s="82">
        <f>IF(OR($A760="",$B760="",NOT(ISNUMBER($C760))),"",IF(ISNUMBER($E760),IF($E760&gt;0,EDATE($C760,$E760),""),IF(ISNUMBER($D760),EDATE($C760,$D760),"")))</f>
        <v/>
      </c>
      <c r="G760" s="83">
        <f>IF($F760="","",$F760-TODAY())</f>
        <v/>
      </c>
      <c r="H760" s="85">
        <f>IF(OR($A760="",$B760=""),"",IF($F760="","No date",IF($G760&lt;0,"Overdue",IF($G760&lt;=30,"Due &lt;=30",IF($G760&lt;=60,"Due 31-60","OK")))))</f>
        <v/>
      </c>
      <c r="I760" s="54"/>
      <c r="J760" s="54"/>
      <c r="K760" s="54"/>
      <c r="L760" s="54"/>
      <c r="M760" s="105">
        <f>IF($F760="","",$F760+ROW()/100000)</f>
        <v/>
      </c>
    </row>
    <row r="761" spans="1:13">
      <c r="A761" s="54"/>
      <c r="B761" s="54"/>
      <c r="C761" s="52"/>
      <c r="D761" s="83">
        <f>IF($B761="","",IFERROR(IF(VLOOKUP($B761,Reference!$A$6:$C$27,3,FALSE)&gt;0,VLOOKUP($B761,Reference!$A$6:$C$27,3,FALSE),""),""))</f>
        <v/>
      </c>
      <c r="E761" s="53"/>
      <c r="F761" s="82">
        <f>IF(OR($A761="",$B761="",NOT(ISNUMBER($C761))),"",IF(ISNUMBER($E761),IF($E761&gt;0,EDATE($C761,$E761),""),IF(ISNUMBER($D761),EDATE($C761,$D761),"")))</f>
        <v/>
      </c>
      <c r="G761" s="83">
        <f>IF($F761="","",$F761-TODAY())</f>
        <v/>
      </c>
      <c r="H761" s="85">
        <f>IF(OR($A761="",$B761=""),"",IF($F761="","No date",IF($G761&lt;0,"Overdue",IF($G761&lt;=30,"Due &lt;=30",IF($G761&lt;=60,"Due 31-60","OK")))))</f>
        <v/>
      </c>
      <c r="I761" s="54"/>
      <c r="J761" s="54"/>
      <c r="K761" s="54"/>
      <c r="L761" s="54"/>
      <c r="M761" s="105">
        <f>IF($F761="","",$F761+ROW()/100000)</f>
        <v/>
      </c>
    </row>
    <row r="762" spans="1:13">
      <c r="A762" s="54"/>
      <c r="B762" s="54"/>
      <c r="C762" s="52"/>
      <c r="D762" s="83">
        <f>IF($B762="","",IFERROR(IF(VLOOKUP($B762,Reference!$A$6:$C$27,3,FALSE)&gt;0,VLOOKUP($B762,Reference!$A$6:$C$27,3,FALSE),""),""))</f>
        <v/>
      </c>
      <c r="E762" s="53"/>
      <c r="F762" s="82">
        <f>IF(OR($A762="",$B762="",NOT(ISNUMBER($C762))),"",IF(ISNUMBER($E762),IF($E762&gt;0,EDATE($C762,$E762),""),IF(ISNUMBER($D762),EDATE($C762,$D762),"")))</f>
        <v/>
      </c>
      <c r="G762" s="83">
        <f>IF($F762="","",$F762-TODAY())</f>
        <v/>
      </c>
      <c r="H762" s="85">
        <f>IF(OR($A762="",$B762=""),"",IF($F762="","No date",IF($G762&lt;0,"Overdue",IF($G762&lt;=30,"Due &lt;=30",IF($G762&lt;=60,"Due 31-60","OK")))))</f>
        <v/>
      </c>
      <c r="I762" s="54"/>
      <c r="J762" s="54"/>
      <c r="K762" s="54"/>
      <c r="L762" s="54"/>
      <c r="M762" s="105">
        <f>IF($F762="","",$F762+ROW()/100000)</f>
        <v/>
      </c>
    </row>
    <row r="763" spans="1:13">
      <c r="A763" s="54"/>
      <c r="B763" s="54"/>
      <c r="C763" s="52"/>
      <c r="D763" s="83">
        <f>IF($B763="","",IFERROR(IF(VLOOKUP($B763,Reference!$A$6:$C$27,3,FALSE)&gt;0,VLOOKUP($B763,Reference!$A$6:$C$27,3,FALSE),""),""))</f>
        <v/>
      </c>
      <c r="E763" s="53"/>
      <c r="F763" s="82">
        <f>IF(OR($A763="",$B763="",NOT(ISNUMBER($C763))),"",IF(ISNUMBER($E763),IF($E763&gt;0,EDATE($C763,$E763),""),IF(ISNUMBER($D763),EDATE($C763,$D763),"")))</f>
        <v/>
      </c>
      <c r="G763" s="83">
        <f>IF($F763="","",$F763-TODAY())</f>
        <v/>
      </c>
      <c r="H763" s="85">
        <f>IF(OR($A763="",$B763=""),"",IF($F763="","No date",IF($G763&lt;0,"Overdue",IF($G763&lt;=30,"Due &lt;=30",IF($G763&lt;=60,"Due 31-60","OK")))))</f>
        <v/>
      </c>
      <c r="I763" s="54"/>
      <c r="J763" s="54"/>
      <c r="K763" s="54"/>
      <c r="L763" s="54"/>
      <c r="M763" s="105">
        <f>IF($F763="","",$F763+ROW()/100000)</f>
        <v/>
      </c>
    </row>
    <row r="764" spans="1:13">
      <c r="A764" s="54"/>
      <c r="B764" s="54"/>
      <c r="C764" s="52"/>
      <c r="D764" s="83">
        <f>IF($B764="","",IFERROR(IF(VLOOKUP($B764,Reference!$A$6:$C$27,3,FALSE)&gt;0,VLOOKUP($B764,Reference!$A$6:$C$27,3,FALSE),""),""))</f>
        <v/>
      </c>
      <c r="E764" s="53"/>
      <c r="F764" s="82">
        <f>IF(OR($A764="",$B764="",NOT(ISNUMBER($C764))),"",IF(ISNUMBER($E764),IF($E764&gt;0,EDATE($C764,$E764),""),IF(ISNUMBER($D764),EDATE($C764,$D764),"")))</f>
        <v/>
      </c>
      <c r="G764" s="83">
        <f>IF($F764="","",$F764-TODAY())</f>
        <v/>
      </c>
      <c r="H764" s="85">
        <f>IF(OR($A764="",$B764=""),"",IF($F764="","No date",IF($G764&lt;0,"Overdue",IF($G764&lt;=30,"Due &lt;=30",IF($G764&lt;=60,"Due 31-60","OK")))))</f>
        <v/>
      </c>
      <c r="I764" s="54"/>
      <c r="J764" s="54"/>
      <c r="K764" s="54"/>
      <c r="L764" s="54"/>
      <c r="M764" s="105">
        <f>IF($F764="","",$F764+ROW()/100000)</f>
        <v/>
      </c>
    </row>
    <row r="765" spans="1:13">
      <c r="A765" s="54"/>
      <c r="B765" s="54"/>
      <c r="C765" s="52"/>
      <c r="D765" s="83">
        <f>IF($B765="","",IFERROR(IF(VLOOKUP($B765,Reference!$A$6:$C$27,3,FALSE)&gt;0,VLOOKUP($B765,Reference!$A$6:$C$27,3,FALSE),""),""))</f>
        <v/>
      </c>
      <c r="E765" s="53"/>
      <c r="F765" s="82">
        <f>IF(OR($A765="",$B765="",NOT(ISNUMBER($C765))),"",IF(ISNUMBER($E765),IF($E765&gt;0,EDATE($C765,$E765),""),IF(ISNUMBER($D765),EDATE($C765,$D765),"")))</f>
        <v/>
      </c>
      <c r="G765" s="83">
        <f>IF($F765="","",$F765-TODAY())</f>
        <v/>
      </c>
      <c r="H765" s="85">
        <f>IF(OR($A765="",$B765=""),"",IF($F765="","No date",IF($G765&lt;0,"Overdue",IF($G765&lt;=30,"Due &lt;=30",IF($G765&lt;=60,"Due 31-60","OK")))))</f>
        <v/>
      </c>
      <c r="I765" s="54"/>
      <c r="J765" s="54"/>
      <c r="K765" s="54"/>
      <c r="L765" s="54"/>
      <c r="M765" s="105">
        <f>IF($F765="","",$F765+ROW()/100000)</f>
        <v/>
      </c>
    </row>
    <row r="766" spans="1:13">
      <c r="A766" s="54"/>
      <c r="B766" s="54"/>
      <c r="C766" s="52"/>
      <c r="D766" s="83">
        <f>IF($B766="","",IFERROR(IF(VLOOKUP($B766,Reference!$A$6:$C$27,3,FALSE)&gt;0,VLOOKUP($B766,Reference!$A$6:$C$27,3,FALSE),""),""))</f>
        <v/>
      </c>
      <c r="E766" s="53"/>
      <c r="F766" s="82">
        <f>IF(OR($A766="",$B766="",NOT(ISNUMBER($C766))),"",IF(ISNUMBER($E766),IF($E766&gt;0,EDATE($C766,$E766),""),IF(ISNUMBER($D766),EDATE($C766,$D766),"")))</f>
        <v/>
      </c>
      <c r="G766" s="83">
        <f>IF($F766="","",$F766-TODAY())</f>
        <v/>
      </c>
      <c r="H766" s="85">
        <f>IF(OR($A766="",$B766=""),"",IF($F766="","No date",IF($G766&lt;0,"Overdue",IF($G766&lt;=30,"Due &lt;=30",IF($G766&lt;=60,"Due 31-60","OK")))))</f>
        <v/>
      </c>
      <c r="I766" s="54"/>
      <c r="J766" s="54"/>
      <c r="K766" s="54"/>
      <c r="L766" s="54"/>
      <c r="M766" s="105">
        <f>IF($F766="","",$F766+ROW()/100000)</f>
        <v/>
      </c>
    </row>
    <row r="767" spans="1:13">
      <c r="A767" s="54"/>
      <c r="B767" s="54"/>
      <c r="C767" s="52"/>
      <c r="D767" s="83">
        <f>IF($B767="","",IFERROR(IF(VLOOKUP($B767,Reference!$A$6:$C$27,3,FALSE)&gt;0,VLOOKUP($B767,Reference!$A$6:$C$27,3,FALSE),""),""))</f>
        <v/>
      </c>
      <c r="E767" s="53"/>
      <c r="F767" s="82">
        <f>IF(OR($A767="",$B767="",NOT(ISNUMBER($C767))),"",IF(ISNUMBER($E767),IF($E767&gt;0,EDATE($C767,$E767),""),IF(ISNUMBER($D767),EDATE($C767,$D767),"")))</f>
        <v/>
      </c>
      <c r="G767" s="83">
        <f>IF($F767="","",$F767-TODAY())</f>
        <v/>
      </c>
      <c r="H767" s="85">
        <f>IF(OR($A767="",$B767=""),"",IF($F767="","No date",IF($G767&lt;0,"Overdue",IF($G767&lt;=30,"Due &lt;=30",IF($G767&lt;=60,"Due 31-60","OK")))))</f>
        <v/>
      </c>
      <c r="I767" s="54"/>
      <c r="J767" s="54"/>
      <c r="K767" s="54"/>
      <c r="L767" s="54"/>
      <c r="M767" s="105">
        <f>IF($F767="","",$F767+ROW()/100000)</f>
        <v/>
      </c>
    </row>
    <row r="768" spans="1:13">
      <c r="A768" s="54"/>
      <c r="B768" s="54"/>
      <c r="C768" s="52"/>
      <c r="D768" s="83">
        <f>IF($B768="","",IFERROR(IF(VLOOKUP($B768,Reference!$A$6:$C$27,3,FALSE)&gt;0,VLOOKUP($B768,Reference!$A$6:$C$27,3,FALSE),""),""))</f>
        <v/>
      </c>
      <c r="E768" s="53"/>
      <c r="F768" s="82">
        <f>IF(OR($A768="",$B768="",NOT(ISNUMBER($C768))),"",IF(ISNUMBER($E768),IF($E768&gt;0,EDATE($C768,$E768),""),IF(ISNUMBER($D768),EDATE($C768,$D768),"")))</f>
        <v/>
      </c>
      <c r="G768" s="83">
        <f>IF($F768="","",$F768-TODAY())</f>
        <v/>
      </c>
      <c r="H768" s="85">
        <f>IF(OR($A768="",$B768=""),"",IF($F768="","No date",IF($G768&lt;0,"Overdue",IF($G768&lt;=30,"Due &lt;=30",IF($G768&lt;=60,"Due 31-60","OK")))))</f>
        <v/>
      </c>
      <c r="I768" s="54"/>
      <c r="J768" s="54"/>
      <c r="K768" s="54"/>
      <c r="L768" s="54"/>
      <c r="M768" s="105">
        <f>IF($F768="","",$F768+ROW()/100000)</f>
        <v/>
      </c>
    </row>
    <row r="769" spans="1:13">
      <c r="A769" s="54"/>
      <c r="B769" s="54"/>
      <c r="C769" s="52"/>
      <c r="D769" s="83">
        <f>IF($B769="","",IFERROR(IF(VLOOKUP($B769,Reference!$A$6:$C$27,3,FALSE)&gt;0,VLOOKUP($B769,Reference!$A$6:$C$27,3,FALSE),""),""))</f>
        <v/>
      </c>
      <c r="E769" s="53"/>
      <c r="F769" s="82">
        <f>IF(OR($A769="",$B769="",NOT(ISNUMBER($C769))),"",IF(ISNUMBER($E769),IF($E769&gt;0,EDATE($C769,$E769),""),IF(ISNUMBER($D769),EDATE($C769,$D769),"")))</f>
        <v/>
      </c>
      <c r="G769" s="83">
        <f>IF($F769="","",$F769-TODAY())</f>
        <v/>
      </c>
      <c r="H769" s="85">
        <f>IF(OR($A769="",$B769=""),"",IF($F769="","No date",IF($G769&lt;0,"Overdue",IF($G769&lt;=30,"Due &lt;=30",IF($G769&lt;=60,"Due 31-60","OK")))))</f>
        <v/>
      </c>
      <c r="I769" s="54"/>
      <c r="J769" s="54"/>
      <c r="K769" s="54"/>
      <c r="L769" s="54"/>
      <c r="M769" s="105">
        <f>IF($F769="","",$F769+ROW()/100000)</f>
        <v/>
      </c>
    </row>
    <row r="770" spans="1:13">
      <c r="A770" s="54"/>
      <c r="B770" s="54"/>
      <c r="C770" s="52"/>
      <c r="D770" s="83">
        <f>IF($B770="","",IFERROR(IF(VLOOKUP($B770,Reference!$A$6:$C$27,3,FALSE)&gt;0,VLOOKUP($B770,Reference!$A$6:$C$27,3,FALSE),""),""))</f>
        <v/>
      </c>
      <c r="E770" s="53"/>
      <c r="F770" s="82">
        <f>IF(OR($A770="",$B770="",NOT(ISNUMBER($C770))),"",IF(ISNUMBER($E770),IF($E770&gt;0,EDATE($C770,$E770),""),IF(ISNUMBER($D770),EDATE($C770,$D770),"")))</f>
        <v/>
      </c>
      <c r="G770" s="83">
        <f>IF($F770="","",$F770-TODAY())</f>
        <v/>
      </c>
      <c r="H770" s="85">
        <f>IF(OR($A770="",$B770=""),"",IF($F770="","No date",IF($G770&lt;0,"Overdue",IF($G770&lt;=30,"Due &lt;=30",IF($G770&lt;=60,"Due 31-60","OK")))))</f>
        <v/>
      </c>
      <c r="I770" s="54"/>
      <c r="J770" s="54"/>
      <c r="K770" s="54"/>
      <c r="L770" s="54"/>
      <c r="M770" s="105">
        <f>IF($F770="","",$F770+ROW()/100000)</f>
        <v/>
      </c>
    </row>
    <row r="771" spans="1:13">
      <c r="A771" s="54"/>
      <c r="B771" s="54"/>
      <c r="C771" s="52"/>
      <c r="D771" s="83">
        <f>IF($B771="","",IFERROR(IF(VLOOKUP($B771,Reference!$A$6:$C$27,3,FALSE)&gt;0,VLOOKUP($B771,Reference!$A$6:$C$27,3,FALSE),""),""))</f>
        <v/>
      </c>
      <c r="E771" s="53"/>
      <c r="F771" s="82">
        <f>IF(OR($A771="",$B771="",NOT(ISNUMBER($C771))),"",IF(ISNUMBER($E771),IF($E771&gt;0,EDATE($C771,$E771),""),IF(ISNUMBER($D771),EDATE($C771,$D771),"")))</f>
        <v/>
      </c>
      <c r="G771" s="83">
        <f>IF($F771="","",$F771-TODAY())</f>
        <v/>
      </c>
      <c r="H771" s="85">
        <f>IF(OR($A771="",$B771=""),"",IF($F771="","No date",IF($G771&lt;0,"Overdue",IF($G771&lt;=30,"Due &lt;=30",IF($G771&lt;=60,"Due 31-60","OK")))))</f>
        <v/>
      </c>
      <c r="I771" s="54"/>
      <c r="J771" s="54"/>
      <c r="K771" s="54"/>
      <c r="L771" s="54"/>
      <c r="M771" s="105">
        <f>IF($F771="","",$F771+ROW()/100000)</f>
        <v/>
      </c>
    </row>
    <row r="772" spans="1:13">
      <c r="A772" s="54"/>
      <c r="B772" s="54"/>
      <c r="C772" s="52"/>
      <c r="D772" s="83">
        <f>IF($B772="","",IFERROR(IF(VLOOKUP($B772,Reference!$A$6:$C$27,3,FALSE)&gt;0,VLOOKUP($B772,Reference!$A$6:$C$27,3,FALSE),""),""))</f>
        <v/>
      </c>
      <c r="E772" s="53"/>
      <c r="F772" s="82">
        <f>IF(OR($A772="",$B772="",NOT(ISNUMBER($C772))),"",IF(ISNUMBER($E772),IF($E772&gt;0,EDATE($C772,$E772),""),IF(ISNUMBER($D772),EDATE($C772,$D772),"")))</f>
        <v/>
      </c>
      <c r="G772" s="83">
        <f>IF($F772="","",$F772-TODAY())</f>
        <v/>
      </c>
      <c r="H772" s="85">
        <f>IF(OR($A772="",$B772=""),"",IF($F772="","No date",IF($G772&lt;0,"Overdue",IF($G772&lt;=30,"Due &lt;=30",IF($G772&lt;=60,"Due 31-60","OK")))))</f>
        <v/>
      </c>
      <c r="I772" s="54"/>
      <c r="J772" s="54"/>
      <c r="K772" s="54"/>
      <c r="L772" s="54"/>
      <c r="M772" s="105">
        <f>IF($F772="","",$F772+ROW()/100000)</f>
        <v/>
      </c>
    </row>
    <row r="773" spans="1:13">
      <c r="A773" s="54"/>
      <c r="B773" s="54"/>
      <c r="C773" s="52"/>
      <c r="D773" s="83">
        <f>IF($B773="","",IFERROR(IF(VLOOKUP($B773,Reference!$A$6:$C$27,3,FALSE)&gt;0,VLOOKUP($B773,Reference!$A$6:$C$27,3,FALSE),""),""))</f>
        <v/>
      </c>
      <c r="E773" s="53"/>
      <c r="F773" s="82">
        <f>IF(OR($A773="",$B773="",NOT(ISNUMBER($C773))),"",IF(ISNUMBER($E773),IF($E773&gt;0,EDATE($C773,$E773),""),IF(ISNUMBER($D773),EDATE($C773,$D773),"")))</f>
        <v/>
      </c>
      <c r="G773" s="83">
        <f>IF($F773="","",$F773-TODAY())</f>
        <v/>
      </c>
      <c r="H773" s="85">
        <f>IF(OR($A773="",$B773=""),"",IF($F773="","No date",IF($G773&lt;0,"Overdue",IF($G773&lt;=30,"Due &lt;=30",IF($G773&lt;=60,"Due 31-60","OK")))))</f>
        <v/>
      </c>
      <c r="I773" s="54"/>
      <c r="J773" s="54"/>
      <c r="K773" s="54"/>
      <c r="L773" s="54"/>
      <c r="M773" s="105">
        <f>IF($F773="","",$F773+ROW()/100000)</f>
        <v/>
      </c>
    </row>
    <row r="774" spans="1:13">
      <c r="A774" s="54"/>
      <c r="B774" s="54"/>
      <c r="C774" s="52"/>
      <c r="D774" s="83">
        <f>IF($B774="","",IFERROR(IF(VLOOKUP($B774,Reference!$A$6:$C$27,3,FALSE)&gt;0,VLOOKUP($B774,Reference!$A$6:$C$27,3,FALSE),""),""))</f>
        <v/>
      </c>
      <c r="E774" s="53"/>
      <c r="F774" s="82">
        <f>IF(OR($A774="",$B774="",NOT(ISNUMBER($C774))),"",IF(ISNUMBER($E774),IF($E774&gt;0,EDATE($C774,$E774),""),IF(ISNUMBER($D774),EDATE($C774,$D774),"")))</f>
        <v/>
      </c>
      <c r="G774" s="83">
        <f>IF($F774="","",$F774-TODAY())</f>
        <v/>
      </c>
      <c r="H774" s="85">
        <f>IF(OR($A774="",$B774=""),"",IF($F774="","No date",IF($G774&lt;0,"Overdue",IF($G774&lt;=30,"Due &lt;=30",IF($G774&lt;=60,"Due 31-60","OK")))))</f>
        <v/>
      </c>
      <c r="I774" s="54"/>
      <c r="J774" s="54"/>
      <c r="K774" s="54"/>
      <c r="L774" s="54"/>
      <c r="M774" s="105">
        <f>IF($F774="","",$F774+ROW()/100000)</f>
        <v/>
      </c>
    </row>
    <row r="775" spans="1:13">
      <c r="A775" s="54"/>
      <c r="B775" s="54"/>
      <c r="C775" s="52"/>
      <c r="D775" s="83">
        <f>IF($B775="","",IFERROR(IF(VLOOKUP($B775,Reference!$A$6:$C$27,3,FALSE)&gt;0,VLOOKUP($B775,Reference!$A$6:$C$27,3,FALSE),""),""))</f>
        <v/>
      </c>
      <c r="E775" s="53"/>
      <c r="F775" s="82">
        <f>IF(OR($A775="",$B775="",NOT(ISNUMBER($C775))),"",IF(ISNUMBER($E775),IF($E775&gt;0,EDATE($C775,$E775),""),IF(ISNUMBER($D775),EDATE($C775,$D775),"")))</f>
        <v/>
      </c>
      <c r="G775" s="83">
        <f>IF($F775="","",$F775-TODAY())</f>
        <v/>
      </c>
      <c r="H775" s="85">
        <f>IF(OR($A775="",$B775=""),"",IF($F775="","No date",IF($G775&lt;0,"Overdue",IF($G775&lt;=30,"Due &lt;=30",IF($G775&lt;=60,"Due 31-60","OK")))))</f>
        <v/>
      </c>
      <c r="I775" s="54"/>
      <c r="J775" s="54"/>
      <c r="K775" s="54"/>
      <c r="L775" s="54"/>
      <c r="M775" s="105">
        <f>IF($F775="","",$F775+ROW()/100000)</f>
        <v/>
      </c>
    </row>
    <row r="776" spans="1:13">
      <c r="A776" s="54"/>
      <c r="B776" s="54"/>
      <c r="C776" s="52"/>
      <c r="D776" s="83">
        <f>IF($B776="","",IFERROR(IF(VLOOKUP($B776,Reference!$A$6:$C$27,3,FALSE)&gt;0,VLOOKUP($B776,Reference!$A$6:$C$27,3,FALSE),""),""))</f>
        <v/>
      </c>
      <c r="E776" s="53"/>
      <c r="F776" s="82">
        <f>IF(OR($A776="",$B776="",NOT(ISNUMBER($C776))),"",IF(ISNUMBER($E776),IF($E776&gt;0,EDATE($C776,$E776),""),IF(ISNUMBER($D776),EDATE($C776,$D776),"")))</f>
        <v/>
      </c>
      <c r="G776" s="83">
        <f>IF($F776="","",$F776-TODAY())</f>
        <v/>
      </c>
      <c r="H776" s="85">
        <f>IF(OR($A776="",$B776=""),"",IF($F776="","No date",IF($G776&lt;0,"Overdue",IF($G776&lt;=30,"Due &lt;=30",IF($G776&lt;=60,"Due 31-60","OK")))))</f>
        <v/>
      </c>
      <c r="I776" s="54"/>
      <c r="J776" s="54"/>
      <c r="K776" s="54"/>
      <c r="L776" s="54"/>
      <c r="M776" s="105">
        <f>IF($F776="","",$F776+ROW()/100000)</f>
        <v/>
      </c>
    </row>
    <row r="777" spans="1:13">
      <c r="A777" s="54"/>
      <c r="B777" s="54"/>
      <c r="C777" s="52"/>
      <c r="D777" s="83">
        <f>IF($B777="","",IFERROR(IF(VLOOKUP($B777,Reference!$A$6:$C$27,3,FALSE)&gt;0,VLOOKUP($B777,Reference!$A$6:$C$27,3,FALSE),""),""))</f>
        <v/>
      </c>
      <c r="E777" s="53"/>
      <c r="F777" s="82">
        <f>IF(OR($A777="",$B777="",NOT(ISNUMBER($C777))),"",IF(ISNUMBER($E777),IF($E777&gt;0,EDATE($C777,$E777),""),IF(ISNUMBER($D777),EDATE($C777,$D777),"")))</f>
        <v/>
      </c>
      <c r="G777" s="83">
        <f>IF($F777="","",$F777-TODAY())</f>
        <v/>
      </c>
      <c r="H777" s="85">
        <f>IF(OR($A777="",$B777=""),"",IF($F777="","No date",IF($G777&lt;0,"Overdue",IF($G777&lt;=30,"Due &lt;=30",IF($G777&lt;=60,"Due 31-60","OK")))))</f>
        <v/>
      </c>
      <c r="I777" s="54"/>
      <c r="J777" s="54"/>
      <c r="K777" s="54"/>
      <c r="L777" s="54"/>
      <c r="M777" s="105">
        <f>IF($F777="","",$F777+ROW()/100000)</f>
        <v/>
      </c>
    </row>
    <row r="778" spans="1:13">
      <c r="A778" s="54"/>
      <c r="B778" s="54"/>
      <c r="C778" s="52"/>
      <c r="D778" s="83">
        <f>IF($B778="","",IFERROR(IF(VLOOKUP($B778,Reference!$A$6:$C$27,3,FALSE)&gt;0,VLOOKUP($B778,Reference!$A$6:$C$27,3,FALSE),""),""))</f>
        <v/>
      </c>
      <c r="E778" s="53"/>
      <c r="F778" s="82">
        <f>IF(OR($A778="",$B778="",NOT(ISNUMBER($C778))),"",IF(ISNUMBER($E778),IF($E778&gt;0,EDATE($C778,$E778),""),IF(ISNUMBER($D778),EDATE($C778,$D778),"")))</f>
        <v/>
      </c>
      <c r="G778" s="83">
        <f>IF($F778="","",$F778-TODAY())</f>
        <v/>
      </c>
      <c r="H778" s="85">
        <f>IF(OR($A778="",$B778=""),"",IF($F778="","No date",IF($G778&lt;0,"Overdue",IF($G778&lt;=30,"Due &lt;=30",IF($G778&lt;=60,"Due 31-60","OK")))))</f>
        <v/>
      </c>
      <c r="I778" s="54"/>
      <c r="J778" s="54"/>
      <c r="K778" s="54"/>
      <c r="L778" s="54"/>
      <c r="M778" s="105">
        <f>IF($F778="","",$F778+ROW()/100000)</f>
        <v/>
      </c>
    </row>
    <row r="779" spans="1:13">
      <c r="A779" s="54"/>
      <c r="B779" s="54"/>
      <c r="C779" s="52"/>
      <c r="D779" s="83">
        <f>IF($B779="","",IFERROR(IF(VLOOKUP($B779,Reference!$A$6:$C$27,3,FALSE)&gt;0,VLOOKUP($B779,Reference!$A$6:$C$27,3,FALSE),""),""))</f>
        <v/>
      </c>
      <c r="E779" s="53"/>
      <c r="F779" s="82">
        <f>IF(OR($A779="",$B779="",NOT(ISNUMBER($C779))),"",IF(ISNUMBER($E779),IF($E779&gt;0,EDATE($C779,$E779),""),IF(ISNUMBER($D779),EDATE($C779,$D779),"")))</f>
        <v/>
      </c>
      <c r="G779" s="83">
        <f>IF($F779="","",$F779-TODAY())</f>
        <v/>
      </c>
      <c r="H779" s="85">
        <f>IF(OR($A779="",$B779=""),"",IF($F779="","No date",IF($G779&lt;0,"Overdue",IF($G779&lt;=30,"Due &lt;=30",IF($G779&lt;=60,"Due 31-60","OK")))))</f>
        <v/>
      </c>
      <c r="I779" s="54"/>
      <c r="J779" s="54"/>
      <c r="K779" s="54"/>
      <c r="L779" s="54"/>
      <c r="M779" s="105">
        <f>IF($F779="","",$F779+ROW()/100000)</f>
        <v/>
      </c>
    </row>
    <row r="780" spans="1:13">
      <c r="A780" s="54"/>
      <c r="B780" s="54"/>
      <c r="C780" s="52"/>
      <c r="D780" s="83">
        <f>IF($B780="","",IFERROR(IF(VLOOKUP($B780,Reference!$A$6:$C$27,3,FALSE)&gt;0,VLOOKUP($B780,Reference!$A$6:$C$27,3,FALSE),""),""))</f>
        <v/>
      </c>
      <c r="E780" s="53"/>
      <c r="F780" s="82">
        <f>IF(OR($A780="",$B780="",NOT(ISNUMBER($C780))),"",IF(ISNUMBER($E780),IF($E780&gt;0,EDATE($C780,$E780),""),IF(ISNUMBER($D780),EDATE($C780,$D780),"")))</f>
        <v/>
      </c>
      <c r="G780" s="83">
        <f>IF($F780="","",$F780-TODAY())</f>
        <v/>
      </c>
      <c r="H780" s="85">
        <f>IF(OR($A780="",$B780=""),"",IF($F780="","No date",IF($G780&lt;0,"Overdue",IF($G780&lt;=30,"Due &lt;=30",IF($G780&lt;=60,"Due 31-60","OK")))))</f>
        <v/>
      </c>
      <c r="I780" s="54"/>
      <c r="J780" s="54"/>
      <c r="K780" s="54"/>
      <c r="L780" s="54"/>
      <c r="M780" s="105">
        <f>IF($F780="","",$F780+ROW()/100000)</f>
        <v/>
      </c>
    </row>
    <row r="781" spans="1:13">
      <c r="A781" s="54"/>
      <c r="B781" s="54"/>
      <c r="C781" s="52"/>
      <c r="D781" s="83">
        <f>IF($B781="","",IFERROR(IF(VLOOKUP($B781,Reference!$A$6:$C$27,3,FALSE)&gt;0,VLOOKUP($B781,Reference!$A$6:$C$27,3,FALSE),""),""))</f>
        <v/>
      </c>
      <c r="E781" s="53"/>
      <c r="F781" s="82">
        <f>IF(OR($A781="",$B781="",NOT(ISNUMBER($C781))),"",IF(ISNUMBER($E781),IF($E781&gt;0,EDATE($C781,$E781),""),IF(ISNUMBER($D781),EDATE($C781,$D781),"")))</f>
        <v/>
      </c>
      <c r="G781" s="83">
        <f>IF($F781="","",$F781-TODAY())</f>
        <v/>
      </c>
      <c r="H781" s="85">
        <f>IF(OR($A781="",$B781=""),"",IF($F781="","No date",IF($G781&lt;0,"Overdue",IF($G781&lt;=30,"Due &lt;=30",IF($G781&lt;=60,"Due 31-60","OK")))))</f>
        <v/>
      </c>
      <c r="I781" s="54"/>
      <c r="J781" s="54"/>
      <c r="K781" s="54"/>
      <c r="L781" s="54"/>
      <c r="M781" s="105">
        <f>IF($F781="","",$F781+ROW()/100000)</f>
        <v/>
      </c>
    </row>
    <row r="782" spans="1:13">
      <c r="A782" s="54"/>
      <c r="B782" s="54"/>
      <c r="C782" s="52"/>
      <c r="D782" s="83">
        <f>IF($B782="","",IFERROR(IF(VLOOKUP($B782,Reference!$A$6:$C$27,3,FALSE)&gt;0,VLOOKUP($B782,Reference!$A$6:$C$27,3,FALSE),""),""))</f>
        <v/>
      </c>
      <c r="E782" s="53"/>
      <c r="F782" s="82">
        <f>IF(OR($A782="",$B782="",NOT(ISNUMBER($C782))),"",IF(ISNUMBER($E782),IF($E782&gt;0,EDATE($C782,$E782),""),IF(ISNUMBER($D782),EDATE($C782,$D782),"")))</f>
        <v/>
      </c>
      <c r="G782" s="83">
        <f>IF($F782="","",$F782-TODAY())</f>
        <v/>
      </c>
      <c r="H782" s="85">
        <f>IF(OR($A782="",$B782=""),"",IF($F782="","No date",IF($G782&lt;0,"Overdue",IF($G782&lt;=30,"Due &lt;=30",IF($G782&lt;=60,"Due 31-60","OK")))))</f>
        <v/>
      </c>
      <c r="I782" s="54"/>
      <c r="J782" s="54"/>
      <c r="K782" s="54"/>
      <c r="L782" s="54"/>
      <c r="M782" s="105">
        <f>IF($F782="","",$F782+ROW()/100000)</f>
        <v/>
      </c>
    </row>
    <row r="783" spans="1:13">
      <c r="A783" s="54"/>
      <c r="B783" s="54"/>
      <c r="C783" s="52"/>
      <c r="D783" s="83">
        <f>IF($B783="","",IFERROR(IF(VLOOKUP($B783,Reference!$A$6:$C$27,3,FALSE)&gt;0,VLOOKUP($B783,Reference!$A$6:$C$27,3,FALSE),""),""))</f>
        <v/>
      </c>
      <c r="E783" s="53"/>
      <c r="F783" s="82">
        <f>IF(OR($A783="",$B783="",NOT(ISNUMBER($C783))),"",IF(ISNUMBER($E783),IF($E783&gt;0,EDATE($C783,$E783),""),IF(ISNUMBER($D783),EDATE($C783,$D783),"")))</f>
        <v/>
      </c>
      <c r="G783" s="83">
        <f>IF($F783="","",$F783-TODAY())</f>
        <v/>
      </c>
      <c r="H783" s="85">
        <f>IF(OR($A783="",$B783=""),"",IF($F783="","No date",IF($G783&lt;0,"Overdue",IF($G783&lt;=30,"Due &lt;=30",IF($G783&lt;=60,"Due 31-60","OK")))))</f>
        <v/>
      </c>
      <c r="I783" s="54"/>
      <c r="J783" s="54"/>
      <c r="K783" s="54"/>
      <c r="L783" s="54"/>
      <c r="M783" s="105">
        <f>IF($F783="","",$F783+ROW()/100000)</f>
        <v/>
      </c>
    </row>
    <row r="784" spans="1:13">
      <c r="A784" s="54"/>
      <c r="B784" s="54"/>
      <c r="C784" s="52"/>
      <c r="D784" s="83">
        <f>IF($B784="","",IFERROR(IF(VLOOKUP($B784,Reference!$A$6:$C$27,3,FALSE)&gt;0,VLOOKUP($B784,Reference!$A$6:$C$27,3,FALSE),""),""))</f>
        <v/>
      </c>
      <c r="E784" s="53"/>
      <c r="F784" s="82">
        <f>IF(OR($A784="",$B784="",NOT(ISNUMBER($C784))),"",IF(ISNUMBER($E784),IF($E784&gt;0,EDATE($C784,$E784),""),IF(ISNUMBER($D784),EDATE($C784,$D784),"")))</f>
        <v/>
      </c>
      <c r="G784" s="83">
        <f>IF($F784="","",$F784-TODAY())</f>
        <v/>
      </c>
      <c r="H784" s="85">
        <f>IF(OR($A784="",$B784=""),"",IF($F784="","No date",IF($G784&lt;0,"Overdue",IF($G784&lt;=30,"Due &lt;=30",IF($G784&lt;=60,"Due 31-60","OK")))))</f>
        <v/>
      </c>
      <c r="I784" s="54"/>
      <c r="J784" s="54"/>
      <c r="K784" s="54"/>
      <c r="L784" s="54"/>
      <c r="M784" s="105">
        <f>IF($F784="","",$F784+ROW()/100000)</f>
        <v/>
      </c>
    </row>
    <row r="785" spans="1:13">
      <c r="A785" s="54"/>
      <c r="B785" s="54"/>
      <c r="C785" s="52"/>
      <c r="D785" s="83">
        <f>IF($B785="","",IFERROR(IF(VLOOKUP($B785,Reference!$A$6:$C$27,3,FALSE)&gt;0,VLOOKUP($B785,Reference!$A$6:$C$27,3,FALSE),""),""))</f>
        <v/>
      </c>
      <c r="E785" s="53"/>
      <c r="F785" s="82">
        <f>IF(OR($A785="",$B785="",NOT(ISNUMBER($C785))),"",IF(ISNUMBER($E785),IF($E785&gt;0,EDATE($C785,$E785),""),IF(ISNUMBER($D785),EDATE($C785,$D785),"")))</f>
        <v/>
      </c>
      <c r="G785" s="83">
        <f>IF($F785="","",$F785-TODAY())</f>
        <v/>
      </c>
      <c r="H785" s="85">
        <f>IF(OR($A785="",$B785=""),"",IF($F785="","No date",IF($G785&lt;0,"Overdue",IF($G785&lt;=30,"Due &lt;=30",IF($G785&lt;=60,"Due 31-60","OK")))))</f>
        <v/>
      </c>
      <c r="I785" s="54"/>
      <c r="J785" s="54"/>
      <c r="K785" s="54"/>
      <c r="L785" s="54"/>
      <c r="M785" s="105">
        <f>IF($F785="","",$F785+ROW()/100000)</f>
        <v/>
      </c>
    </row>
    <row r="786" spans="1:13">
      <c r="A786" s="54"/>
      <c r="B786" s="54"/>
      <c r="C786" s="52"/>
      <c r="D786" s="83">
        <f>IF($B786="","",IFERROR(IF(VLOOKUP($B786,Reference!$A$6:$C$27,3,FALSE)&gt;0,VLOOKUP($B786,Reference!$A$6:$C$27,3,FALSE),""),""))</f>
        <v/>
      </c>
      <c r="E786" s="53"/>
      <c r="F786" s="82">
        <f>IF(OR($A786="",$B786="",NOT(ISNUMBER($C786))),"",IF(ISNUMBER($E786),IF($E786&gt;0,EDATE($C786,$E786),""),IF(ISNUMBER($D786),EDATE($C786,$D786),"")))</f>
        <v/>
      </c>
      <c r="G786" s="83">
        <f>IF($F786="","",$F786-TODAY())</f>
        <v/>
      </c>
      <c r="H786" s="85">
        <f>IF(OR($A786="",$B786=""),"",IF($F786="","No date",IF($G786&lt;0,"Overdue",IF($G786&lt;=30,"Due &lt;=30",IF($G786&lt;=60,"Due 31-60","OK")))))</f>
        <v/>
      </c>
      <c r="I786" s="54"/>
      <c r="J786" s="54"/>
      <c r="K786" s="54"/>
      <c r="L786" s="54"/>
      <c r="M786" s="105">
        <f>IF($F786="","",$F786+ROW()/100000)</f>
        <v/>
      </c>
    </row>
    <row r="787" spans="1:13">
      <c r="A787" s="54"/>
      <c r="B787" s="54"/>
      <c r="C787" s="52"/>
      <c r="D787" s="83">
        <f>IF($B787="","",IFERROR(IF(VLOOKUP($B787,Reference!$A$6:$C$27,3,FALSE)&gt;0,VLOOKUP($B787,Reference!$A$6:$C$27,3,FALSE),""),""))</f>
        <v/>
      </c>
      <c r="E787" s="53"/>
      <c r="F787" s="82">
        <f>IF(OR($A787="",$B787="",NOT(ISNUMBER($C787))),"",IF(ISNUMBER($E787),IF($E787&gt;0,EDATE($C787,$E787),""),IF(ISNUMBER($D787),EDATE($C787,$D787),"")))</f>
        <v/>
      </c>
      <c r="G787" s="83">
        <f>IF($F787="","",$F787-TODAY())</f>
        <v/>
      </c>
      <c r="H787" s="85">
        <f>IF(OR($A787="",$B787=""),"",IF($F787="","No date",IF($G787&lt;0,"Overdue",IF($G787&lt;=30,"Due &lt;=30",IF($G787&lt;=60,"Due 31-60","OK")))))</f>
        <v/>
      </c>
      <c r="I787" s="54"/>
      <c r="J787" s="54"/>
      <c r="K787" s="54"/>
      <c r="L787" s="54"/>
      <c r="M787" s="105">
        <f>IF($F787="","",$F787+ROW()/100000)</f>
        <v/>
      </c>
    </row>
    <row r="788" spans="1:13">
      <c r="A788" s="54"/>
      <c r="B788" s="54"/>
      <c r="C788" s="52"/>
      <c r="D788" s="83">
        <f>IF($B788="","",IFERROR(IF(VLOOKUP($B788,Reference!$A$6:$C$27,3,FALSE)&gt;0,VLOOKUP($B788,Reference!$A$6:$C$27,3,FALSE),""),""))</f>
        <v/>
      </c>
      <c r="E788" s="53"/>
      <c r="F788" s="82">
        <f>IF(OR($A788="",$B788="",NOT(ISNUMBER($C788))),"",IF(ISNUMBER($E788),IF($E788&gt;0,EDATE($C788,$E788),""),IF(ISNUMBER($D788),EDATE($C788,$D788),"")))</f>
        <v/>
      </c>
      <c r="G788" s="83">
        <f>IF($F788="","",$F788-TODAY())</f>
        <v/>
      </c>
      <c r="H788" s="85">
        <f>IF(OR($A788="",$B788=""),"",IF($F788="","No date",IF($G788&lt;0,"Overdue",IF($G788&lt;=30,"Due &lt;=30",IF($G788&lt;=60,"Due 31-60","OK")))))</f>
        <v/>
      </c>
      <c r="I788" s="54"/>
      <c r="J788" s="54"/>
      <c r="K788" s="54"/>
      <c r="L788" s="54"/>
      <c r="M788" s="105">
        <f>IF($F788="","",$F788+ROW()/100000)</f>
        <v/>
      </c>
    </row>
    <row r="789" spans="1:13">
      <c r="A789" s="54"/>
      <c r="B789" s="54"/>
      <c r="C789" s="52"/>
      <c r="D789" s="83">
        <f>IF($B789="","",IFERROR(IF(VLOOKUP($B789,Reference!$A$6:$C$27,3,FALSE)&gt;0,VLOOKUP($B789,Reference!$A$6:$C$27,3,FALSE),""),""))</f>
        <v/>
      </c>
      <c r="E789" s="53"/>
      <c r="F789" s="82">
        <f>IF(OR($A789="",$B789="",NOT(ISNUMBER($C789))),"",IF(ISNUMBER($E789),IF($E789&gt;0,EDATE($C789,$E789),""),IF(ISNUMBER($D789),EDATE($C789,$D789),"")))</f>
        <v/>
      </c>
      <c r="G789" s="83">
        <f>IF($F789="","",$F789-TODAY())</f>
        <v/>
      </c>
      <c r="H789" s="85">
        <f>IF(OR($A789="",$B789=""),"",IF($F789="","No date",IF($G789&lt;0,"Overdue",IF($G789&lt;=30,"Due &lt;=30",IF($G789&lt;=60,"Due 31-60","OK")))))</f>
        <v/>
      </c>
      <c r="I789" s="54"/>
      <c r="J789" s="54"/>
      <c r="K789" s="54"/>
      <c r="L789" s="54"/>
      <c r="M789" s="105">
        <f>IF($F789="","",$F789+ROW()/100000)</f>
        <v/>
      </c>
    </row>
    <row r="790" spans="1:13">
      <c r="A790" s="54"/>
      <c r="B790" s="54"/>
      <c r="C790" s="52"/>
      <c r="D790" s="83">
        <f>IF($B790="","",IFERROR(IF(VLOOKUP($B790,Reference!$A$6:$C$27,3,FALSE)&gt;0,VLOOKUP($B790,Reference!$A$6:$C$27,3,FALSE),""),""))</f>
        <v/>
      </c>
      <c r="E790" s="53"/>
      <c r="F790" s="82">
        <f>IF(OR($A790="",$B790="",NOT(ISNUMBER($C790))),"",IF(ISNUMBER($E790),IF($E790&gt;0,EDATE($C790,$E790),""),IF(ISNUMBER($D790),EDATE($C790,$D790),"")))</f>
        <v/>
      </c>
      <c r="G790" s="83">
        <f>IF($F790="","",$F790-TODAY())</f>
        <v/>
      </c>
      <c r="H790" s="85">
        <f>IF(OR($A790="",$B790=""),"",IF($F790="","No date",IF($G790&lt;0,"Overdue",IF($G790&lt;=30,"Due &lt;=30",IF($G790&lt;=60,"Due 31-60","OK")))))</f>
        <v/>
      </c>
      <c r="I790" s="54"/>
      <c r="J790" s="54"/>
      <c r="K790" s="54"/>
      <c r="L790" s="54"/>
      <c r="M790" s="105">
        <f>IF($F790="","",$F790+ROW()/100000)</f>
        <v/>
      </c>
    </row>
    <row r="791" spans="1:13">
      <c r="A791" s="54"/>
      <c r="B791" s="54"/>
      <c r="C791" s="52"/>
      <c r="D791" s="83">
        <f>IF($B791="","",IFERROR(IF(VLOOKUP($B791,Reference!$A$6:$C$27,3,FALSE)&gt;0,VLOOKUP($B791,Reference!$A$6:$C$27,3,FALSE),""),""))</f>
        <v/>
      </c>
      <c r="E791" s="53"/>
      <c r="F791" s="82">
        <f>IF(OR($A791="",$B791="",NOT(ISNUMBER($C791))),"",IF(ISNUMBER($E791),IF($E791&gt;0,EDATE($C791,$E791),""),IF(ISNUMBER($D791),EDATE($C791,$D791),"")))</f>
        <v/>
      </c>
      <c r="G791" s="83">
        <f>IF($F791="","",$F791-TODAY())</f>
        <v/>
      </c>
      <c r="H791" s="85">
        <f>IF(OR($A791="",$B791=""),"",IF($F791="","No date",IF($G791&lt;0,"Overdue",IF($G791&lt;=30,"Due &lt;=30",IF($G791&lt;=60,"Due 31-60","OK")))))</f>
        <v/>
      </c>
      <c r="I791" s="54"/>
      <c r="J791" s="54"/>
      <c r="K791" s="54"/>
      <c r="L791" s="54"/>
      <c r="M791" s="105">
        <f>IF($F791="","",$F791+ROW()/100000)</f>
        <v/>
      </c>
    </row>
    <row r="792" spans="1:13">
      <c r="A792" s="54"/>
      <c r="B792" s="54"/>
      <c r="C792" s="52"/>
      <c r="D792" s="83">
        <f>IF($B792="","",IFERROR(IF(VLOOKUP($B792,Reference!$A$6:$C$27,3,FALSE)&gt;0,VLOOKUP($B792,Reference!$A$6:$C$27,3,FALSE),""),""))</f>
        <v/>
      </c>
      <c r="E792" s="53"/>
      <c r="F792" s="82">
        <f>IF(OR($A792="",$B792="",NOT(ISNUMBER($C792))),"",IF(ISNUMBER($E792),IF($E792&gt;0,EDATE($C792,$E792),""),IF(ISNUMBER($D792),EDATE($C792,$D792),"")))</f>
        <v/>
      </c>
      <c r="G792" s="83">
        <f>IF($F792="","",$F792-TODAY())</f>
        <v/>
      </c>
      <c r="H792" s="85">
        <f>IF(OR($A792="",$B792=""),"",IF($F792="","No date",IF($G792&lt;0,"Overdue",IF($G792&lt;=30,"Due &lt;=30",IF($G792&lt;=60,"Due 31-60","OK")))))</f>
        <v/>
      </c>
      <c r="I792" s="54"/>
      <c r="J792" s="54"/>
      <c r="K792" s="54"/>
      <c r="L792" s="54"/>
      <c r="M792" s="105">
        <f>IF($F792="","",$F792+ROW()/100000)</f>
        <v/>
      </c>
    </row>
    <row r="793" spans="1:13">
      <c r="A793" s="54"/>
      <c r="B793" s="54"/>
      <c r="C793" s="52"/>
      <c r="D793" s="83">
        <f>IF($B793="","",IFERROR(IF(VLOOKUP($B793,Reference!$A$6:$C$27,3,FALSE)&gt;0,VLOOKUP($B793,Reference!$A$6:$C$27,3,FALSE),""),""))</f>
        <v/>
      </c>
      <c r="E793" s="53"/>
      <c r="F793" s="82">
        <f>IF(OR($A793="",$B793="",NOT(ISNUMBER($C793))),"",IF(ISNUMBER($E793),IF($E793&gt;0,EDATE($C793,$E793),""),IF(ISNUMBER($D793),EDATE($C793,$D793),"")))</f>
        <v/>
      </c>
      <c r="G793" s="83">
        <f>IF($F793="","",$F793-TODAY())</f>
        <v/>
      </c>
      <c r="H793" s="85">
        <f>IF(OR($A793="",$B793=""),"",IF($F793="","No date",IF($G793&lt;0,"Overdue",IF($G793&lt;=30,"Due &lt;=30",IF($G793&lt;=60,"Due 31-60","OK")))))</f>
        <v/>
      </c>
      <c r="I793" s="54"/>
      <c r="J793" s="54"/>
      <c r="K793" s="54"/>
      <c r="L793" s="54"/>
      <c r="M793" s="105">
        <f>IF($F793="","",$F793+ROW()/100000)</f>
        <v/>
      </c>
    </row>
    <row r="794" spans="1:13">
      <c r="A794" s="54"/>
      <c r="B794" s="54"/>
      <c r="C794" s="52"/>
      <c r="D794" s="83">
        <f>IF($B794="","",IFERROR(IF(VLOOKUP($B794,Reference!$A$6:$C$27,3,FALSE)&gt;0,VLOOKUP($B794,Reference!$A$6:$C$27,3,FALSE),""),""))</f>
        <v/>
      </c>
      <c r="E794" s="53"/>
      <c r="F794" s="82">
        <f>IF(OR($A794="",$B794="",NOT(ISNUMBER($C794))),"",IF(ISNUMBER($E794),IF($E794&gt;0,EDATE($C794,$E794),""),IF(ISNUMBER($D794),EDATE($C794,$D794),"")))</f>
        <v/>
      </c>
      <c r="G794" s="83">
        <f>IF($F794="","",$F794-TODAY())</f>
        <v/>
      </c>
      <c r="H794" s="85">
        <f>IF(OR($A794="",$B794=""),"",IF($F794="","No date",IF($G794&lt;0,"Overdue",IF($G794&lt;=30,"Due &lt;=30",IF($G794&lt;=60,"Due 31-60","OK")))))</f>
        <v/>
      </c>
      <c r="I794" s="54"/>
      <c r="J794" s="54"/>
      <c r="K794" s="54"/>
      <c r="L794" s="54"/>
      <c r="M794" s="105">
        <f>IF($F794="","",$F794+ROW()/100000)</f>
        <v/>
      </c>
    </row>
    <row r="795" spans="1:13">
      <c r="A795" s="54"/>
      <c r="B795" s="54"/>
      <c r="C795" s="52"/>
      <c r="D795" s="83">
        <f>IF($B795="","",IFERROR(IF(VLOOKUP($B795,Reference!$A$6:$C$27,3,FALSE)&gt;0,VLOOKUP($B795,Reference!$A$6:$C$27,3,FALSE),""),""))</f>
        <v/>
      </c>
      <c r="E795" s="53"/>
      <c r="F795" s="82">
        <f>IF(OR($A795="",$B795="",NOT(ISNUMBER($C795))),"",IF(ISNUMBER($E795),IF($E795&gt;0,EDATE($C795,$E795),""),IF(ISNUMBER($D795),EDATE($C795,$D795),"")))</f>
        <v/>
      </c>
      <c r="G795" s="83">
        <f>IF($F795="","",$F795-TODAY())</f>
        <v/>
      </c>
      <c r="H795" s="85">
        <f>IF(OR($A795="",$B795=""),"",IF($F795="","No date",IF($G795&lt;0,"Overdue",IF($G795&lt;=30,"Due &lt;=30",IF($G795&lt;=60,"Due 31-60","OK")))))</f>
        <v/>
      </c>
      <c r="I795" s="54"/>
      <c r="J795" s="54"/>
      <c r="K795" s="54"/>
      <c r="L795" s="54"/>
      <c r="M795" s="105">
        <f>IF($F795="","",$F795+ROW()/100000)</f>
        <v/>
      </c>
    </row>
    <row r="796" spans="1:13">
      <c r="A796" s="54"/>
      <c r="B796" s="54"/>
      <c r="C796" s="52"/>
      <c r="D796" s="83">
        <f>IF($B796="","",IFERROR(IF(VLOOKUP($B796,Reference!$A$6:$C$27,3,FALSE)&gt;0,VLOOKUP($B796,Reference!$A$6:$C$27,3,FALSE),""),""))</f>
        <v/>
      </c>
      <c r="E796" s="53"/>
      <c r="F796" s="82">
        <f>IF(OR($A796="",$B796="",NOT(ISNUMBER($C796))),"",IF(ISNUMBER($E796),IF($E796&gt;0,EDATE($C796,$E796),""),IF(ISNUMBER($D796),EDATE($C796,$D796),"")))</f>
        <v/>
      </c>
      <c r="G796" s="83">
        <f>IF($F796="","",$F796-TODAY())</f>
        <v/>
      </c>
      <c r="H796" s="85">
        <f>IF(OR($A796="",$B796=""),"",IF($F796="","No date",IF($G796&lt;0,"Overdue",IF($G796&lt;=30,"Due &lt;=30",IF($G796&lt;=60,"Due 31-60","OK")))))</f>
        <v/>
      </c>
      <c r="I796" s="54"/>
      <c r="J796" s="54"/>
      <c r="K796" s="54"/>
      <c r="L796" s="54"/>
      <c r="M796" s="105">
        <f>IF($F796="","",$F796+ROW()/100000)</f>
        <v/>
      </c>
    </row>
    <row r="797" spans="1:13">
      <c r="A797" s="54"/>
      <c r="B797" s="54"/>
      <c r="C797" s="52"/>
      <c r="D797" s="83">
        <f>IF($B797="","",IFERROR(IF(VLOOKUP($B797,Reference!$A$6:$C$27,3,FALSE)&gt;0,VLOOKUP($B797,Reference!$A$6:$C$27,3,FALSE),""),""))</f>
        <v/>
      </c>
      <c r="E797" s="53"/>
      <c r="F797" s="82">
        <f>IF(OR($A797="",$B797="",NOT(ISNUMBER($C797))),"",IF(ISNUMBER($E797),IF($E797&gt;0,EDATE($C797,$E797),""),IF(ISNUMBER($D797),EDATE($C797,$D797),"")))</f>
        <v/>
      </c>
      <c r="G797" s="83">
        <f>IF($F797="","",$F797-TODAY())</f>
        <v/>
      </c>
      <c r="H797" s="85">
        <f>IF(OR($A797="",$B797=""),"",IF($F797="","No date",IF($G797&lt;0,"Overdue",IF($G797&lt;=30,"Due &lt;=30",IF($G797&lt;=60,"Due 31-60","OK")))))</f>
        <v/>
      </c>
      <c r="I797" s="54"/>
      <c r="J797" s="54"/>
      <c r="K797" s="54"/>
      <c r="L797" s="54"/>
      <c r="M797" s="105">
        <f>IF($F797="","",$F797+ROW()/100000)</f>
        <v/>
      </c>
    </row>
    <row r="798" spans="1:13">
      <c r="A798" s="54"/>
      <c r="B798" s="54"/>
      <c r="C798" s="52"/>
      <c r="D798" s="83">
        <f>IF($B798="","",IFERROR(IF(VLOOKUP($B798,Reference!$A$6:$C$27,3,FALSE)&gt;0,VLOOKUP($B798,Reference!$A$6:$C$27,3,FALSE),""),""))</f>
        <v/>
      </c>
      <c r="E798" s="53"/>
      <c r="F798" s="82">
        <f>IF(OR($A798="",$B798="",NOT(ISNUMBER($C798))),"",IF(ISNUMBER($E798),IF($E798&gt;0,EDATE($C798,$E798),""),IF(ISNUMBER($D798),EDATE($C798,$D798),"")))</f>
        <v/>
      </c>
      <c r="G798" s="83">
        <f>IF($F798="","",$F798-TODAY())</f>
        <v/>
      </c>
      <c r="H798" s="85">
        <f>IF(OR($A798="",$B798=""),"",IF($F798="","No date",IF($G798&lt;0,"Overdue",IF($G798&lt;=30,"Due &lt;=30",IF($G798&lt;=60,"Due 31-60","OK")))))</f>
        <v/>
      </c>
      <c r="I798" s="54"/>
      <c r="J798" s="54"/>
      <c r="K798" s="54"/>
      <c r="L798" s="54"/>
      <c r="M798" s="105">
        <f>IF($F798="","",$F798+ROW()/100000)</f>
        <v/>
      </c>
    </row>
    <row r="799" spans="1:13">
      <c r="A799" s="54"/>
      <c r="B799" s="54"/>
      <c r="C799" s="52"/>
      <c r="D799" s="83">
        <f>IF($B799="","",IFERROR(IF(VLOOKUP($B799,Reference!$A$6:$C$27,3,FALSE)&gt;0,VLOOKUP($B799,Reference!$A$6:$C$27,3,FALSE),""),""))</f>
        <v/>
      </c>
      <c r="E799" s="53"/>
      <c r="F799" s="82">
        <f>IF(OR($A799="",$B799="",NOT(ISNUMBER($C799))),"",IF(ISNUMBER($E799),IF($E799&gt;0,EDATE($C799,$E799),""),IF(ISNUMBER($D799),EDATE($C799,$D799),"")))</f>
        <v/>
      </c>
      <c r="G799" s="83">
        <f>IF($F799="","",$F799-TODAY())</f>
        <v/>
      </c>
      <c r="H799" s="85">
        <f>IF(OR($A799="",$B799=""),"",IF($F799="","No date",IF($G799&lt;0,"Overdue",IF($G799&lt;=30,"Due &lt;=30",IF($G799&lt;=60,"Due 31-60","OK")))))</f>
        <v/>
      </c>
      <c r="I799" s="54"/>
      <c r="J799" s="54"/>
      <c r="K799" s="54"/>
      <c r="L799" s="54"/>
      <c r="M799" s="105">
        <f>IF($F799="","",$F799+ROW()/100000)</f>
        <v/>
      </c>
    </row>
    <row r="800" spans="1:13">
      <c r="A800" s="54"/>
      <c r="B800" s="54"/>
      <c r="C800" s="52"/>
      <c r="D800" s="83">
        <f>IF($B800="","",IFERROR(IF(VLOOKUP($B800,Reference!$A$6:$C$27,3,FALSE)&gt;0,VLOOKUP($B800,Reference!$A$6:$C$27,3,FALSE),""),""))</f>
        <v/>
      </c>
      <c r="E800" s="53"/>
      <c r="F800" s="82">
        <f>IF(OR($A800="",$B800="",NOT(ISNUMBER($C800))),"",IF(ISNUMBER($E800),IF($E800&gt;0,EDATE($C800,$E800),""),IF(ISNUMBER($D800),EDATE($C800,$D800),"")))</f>
        <v/>
      </c>
      <c r="G800" s="83">
        <f>IF($F800="","",$F800-TODAY())</f>
        <v/>
      </c>
      <c r="H800" s="85">
        <f>IF(OR($A800="",$B800=""),"",IF($F800="","No date",IF($G800&lt;0,"Overdue",IF($G800&lt;=30,"Due &lt;=30",IF($G800&lt;=60,"Due 31-60","OK")))))</f>
        <v/>
      </c>
      <c r="I800" s="54"/>
      <c r="J800" s="54"/>
      <c r="K800" s="54"/>
      <c r="L800" s="54"/>
      <c r="M800" s="105">
        <f>IF($F800="","",$F800+ROW()/100000)</f>
        <v/>
      </c>
    </row>
    <row r="801" spans="1:13">
      <c r="A801" s="54"/>
      <c r="B801" s="54"/>
      <c r="C801" s="52"/>
      <c r="D801" s="83">
        <f>IF($B801="","",IFERROR(IF(VLOOKUP($B801,Reference!$A$6:$C$27,3,FALSE)&gt;0,VLOOKUP($B801,Reference!$A$6:$C$27,3,FALSE),""),""))</f>
        <v/>
      </c>
      <c r="E801" s="53"/>
      <c r="F801" s="82">
        <f>IF(OR($A801="",$B801="",NOT(ISNUMBER($C801))),"",IF(ISNUMBER($E801),IF($E801&gt;0,EDATE($C801,$E801),""),IF(ISNUMBER($D801),EDATE($C801,$D801),"")))</f>
        <v/>
      </c>
      <c r="G801" s="83">
        <f>IF($F801="","",$F801-TODAY())</f>
        <v/>
      </c>
      <c r="H801" s="85">
        <f>IF(OR($A801="",$B801=""),"",IF($F801="","No date",IF($G801&lt;0,"Overdue",IF($G801&lt;=30,"Due &lt;=30",IF($G801&lt;=60,"Due 31-60","OK")))))</f>
        <v/>
      </c>
      <c r="I801" s="54"/>
      <c r="J801" s="54"/>
      <c r="K801" s="54"/>
      <c r="L801" s="54"/>
      <c r="M801" s="105">
        <f>IF($F801="","",$F801+ROW()/100000)</f>
        <v/>
      </c>
    </row>
    <row r="802" spans="1:13">
      <c r="A802" s="54"/>
      <c r="B802" s="54"/>
      <c r="C802" s="52"/>
      <c r="D802" s="83">
        <f>IF($B802="","",IFERROR(IF(VLOOKUP($B802,Reference!$A$6:$C$27,3,FALSE)&gt;0,VLOOKUP($B802,Reference!$A$6:$C$27,3,FALSE),""),""))</f>
        <v/>
      </c>
      <c r="E802" s="53"/>
      <c r="F802" s="82">
        <f>IF(OR($A802="",$B802="",NOT(ISNUMBER($C802))),"",IF(ISNUMBER($E802),IF($E802&gt;0,EDATE($C802,$E802),""),IF(ISNUMBER($D802),EDATE($C802,$D802),"")))</f>
        <v/>
      </c>
      <c r="G802" s="83">
        <f>IF($F802="","",$F802-TODAY())</f>
        <v/>
      </c>
      <c r="H802" s="85">
        <f>IF(OR($A802="",$B802=""),"",IF($F802="","No date",IF($G802&lt;0,"Overdue",IF($G802&lt;=30,"Due &lt;=30",IF($G802&lt;=60,"Due 31-60","OK")))))</f>
        <v/>
      </c>
      <c r="I802" s="54"/>
      <c r="J802" s="54"/>
      <c r="K802" s="54"/>
      <c r="L802" s="54"/>
      <c r="M802" s="105">
        <f>IF($F802="","",$F802+ROW()/100000)</f>
        <v/>
      </c>
    </row>
    <row r="803" spans="1:13">
      <c r="A803" s="54"/>
      <c r="B803" s="54"/>
      <c r="C803" s="52"/>
      <c r="D803" s="83">
        <f>IF($B803="","",IFERROR(IF(VLOOKUP($B803,Reference!$A$6:$C$27,3,FALSE)&gt;0,VLOOKUP($B803,Reference!$A$6:$C$27,3,FALSE),""),""))</f>
        <v/>
      </c>
      <c r="E803" s="53"/>
      <c r="F803" s="82">
        <f>IF(OR($A803="",$B803="",NOT(ISNUMBER($C803))),"",IF(ISNUMBER($E803),IF($E803&gt;0,EDATE($C803,$E803),""),IF(ISNUMBER($D803),EDATE($C803,$D803),"")))</f>
        <v/>
      </c>
      <c r="G803" s="83">
        <f>IF($F803="","",$F803-TODAY())</f>
        <v/>
      </c>
      <c r="H803" s="85">
        <f>IF(OR($A803="",$B803=""),"",IF($F803="","No date",IF($G803&lt;0,"Overdue",IF($G803&lt;=30,"Due &lt;=30",IF($G803&lt;=60,"Due 31-60","OK")))))</f>
        <v/>
      </c>
      <c r="I803" s="54"/>
      <c r="J803" s="54"/>
      <c r="K803" s="54"/>
      <c r="L803" s="54"/>
      <c r="M803" s="105">
        <f>IF($F803="","",$F803+ROW()/100000)</f>
        <v/>
      </c>
    </row>
    <row r="804" spans="1:13">
      <c r="A804" s="54"/>
      <c r="B804" s="54"/>
      <c r="C804" s="52"/>
      <c r="D804" s="83">
        <f>IF($B804="","",IFERROR(IF(VLOOKUP($B804,Reference!$A$6:$C$27,3,FALSE)&gt;0,VLOOKUP($B804,Reference!$A$6:$C$27,3,FALSE),""),""))</f>
        <v/>
      </c>
      <c r="E804" s="53"/>
      <c r="F804" s="82">
        <f>IF(OR($A804="",$B804="",NOT(ISNUMBER($C804))),"",IF(ISNUMBER($E804),IF($E804&gt;0,EDATE($C804,$E804),""),IF(ISNUMBER($D804),EDATE($C804,$D804),"")))</f>
        <v/>
      </c>
      <c r="G804" s="83">
        <f>IF($F804="","",$F804-TODAY())</f>
        <v/>
      </c>
      <c r="H804" s="85">
        <f>IF(OR($A804="",$B804=""),"",IF($F804="","No date",IF($G804&lt;0,"Overdue",IF($G804&lt;=30,"Due &lt;=30",IF($G804&lt;=60,"Due 31-60","OK")))))</f>
        <v/>
      </c>
      <c r="I804" s="54"/>
      <c r="J804" s="54"/>
      <c r="K804" s="54"/>
      <c r="L804" s="54"/>
      <c r="M804" s="105">
        <f>IF($F804="","",$F804+ROW()/100000)</f>
        <v/>
      </c>
    </row>
    <row r="805" spans="1:13">
      <c r="A805" s="54"/>
      <c r="B805" s="54"/>
      <c r="C805" s="52"/>
      <c r="D805" s="83">
        <f>IF($B805="","",IFERROR(IF(VLOOKUP($B805,Reference!$A$6:$C$27,3,FALSE)&gt;0,VLOOKUP($B805,Reference!$A$6:$C$27,3,FALSE),""),""))</f>
        <v/>
      </c>
      <c r="E805" s="53"/>
      <c r="F805" s="82">
        <f>IF(OR($A805="",$B805="",NOT(ISNUMBER($C805))),"",IF(ISNUMBER($E805),IF($E805&gt;0,EDATE($C805,$E805),""),IF(ISNUMBER($D805),EDATE($C805,$D805),"")))</f>
        <v/>
      </c>
      <c r="G805" s="83">
        <f>IF($F805="","",$F805-TODAY())</f>
        <v/>
      </c>
      <c r="H805" s="85">
        <f>IF(OR($A805="",$B805=""),"",IF($F805="","No date",IF($G805&lt;0,"Overdue",IF($G805&lt;=30,"Due &lt;=30",IF($G805&lt;=60,"Due 31-60","OK")))))</f>
        <v/>
      </c>
      <c r="I805" s="54"/>
      <c r="J805" s="54"/>
      <c r="K805" s="54"/>
      <c r="L805" s="54"/>
      <c r="M805" s="105">
        <f>IF($F805="","",$F805+ROW()/100000)</f>
        <v/>
      </c>
    </row>
    <row r="806" spans="1:13">
      <c r="A806" s="54"/>
      <c r="B806" s="54"/>
      <c r="C806" s="52"/>
      <c r="D806" s="83">
        <f>IF($B806="","",IFERROR(IF(VLOOKUP($B806,Reference!$A$6:$C$27,3,FALSE)&gt;0,VLOOKUP($B806,Reference!$A$6:$C$27,3,FALSE),""),""))</f>
        <v/>
      </c>
      <c r="E806" s="53"/>
      <c r="F806" s="82">
        <f>IF(OR($A806="",$B806="",NOT(ISNUMBER($C806))),"",IF(ISNUMBER($E806),IF($E806&gt;0,EDATE($C806,$E806),""),IF(ISNUMBER($D806),EDATE($C806,$D806),"")))</f>
        <v/>
      </c>
      <c r="G806" s="83">
        <f>IF($F806="","",$F806-TODAY())</f>
        <v/>
      </c>
      <c r="H806" s="85">
        <f>IF(OR($A806="",$B806=""),"",IF($F806="","No date",IF($G806&lt;0,"Overdue",IF($G806&lt;=30,"Due &lt;=30",IF($G806&lt;=60,"Due 31-60","OK")))))</f>
        <v/>
      </c>
      <c r="I806" s="54"/>
      <c r="J806" s="54"/>
      <c r="K806" s="54"/>
      <c r="L806" s="54"/>
      <c r="M806" s="105">
        <f>IF($F806="","",$F806+ROW()/100000)</f>
        <v/>
      </c>
    </row>
    <row r="807" spans="1:13">
      <c r="A807" s="54"/>
      <c r="B807" s="54"/>
      <c r="C807" s="52"/>
      <c r="D807" s="83">
        <f>IF($B807="","",IFERROR(IF(VLOOKUP($B807,Reference!$A$6:$C$27,3,FALSE)&gt;0,VLOOKUP($B807,Reference!$A$6:$C$27,3,FALSE),""),""))</f>
        <v/>
      </c>
      <c r="E807" s="53"/>
      <c r="F807" s="82">
        <f>IF(OR($A807="",$B807="",NOT(ISNUMBER($C807))),"",IF(ISNUMBER($E807),IF($E807&gt;0,EDATE($C807,$E807),""),IF(ISNUMBER($D807),EDATE($C807,$D807),"")))</f>
        <v/>
      </c>
      <c r="G807" s="83">
        <f>IF($F807="","",$F807-TODAY())</f>
        <v/>
      </c>
      <c r="H807" s="85">
        <f>IF(OR($A807="",$B807=""),"",IF($F807="","No date",IF($G807&lt;0,"Overdue",IF($G807&lt;=30,"Due &lt;=30",IF($G807&lt;=60,"Due 31-60","OK")))))</f>
        <v/>
      </c>
      <c r="I807" s="54"/>
      <c r="J807" s="54"/>
      <c r="K807" s="54"/>
      <c r="L807" s="54"/>
      <c r="M807" s="105">
        <f>IF($F807="","",$F807+ROW()/100000)</f>
        <v/>
      </c>
    </row>
    <row r="808" spans="1:13">
      <c r="A808" s="54"/>
      <c r="B808" s="54"/>
      <c r="C808" s="52"/>
      <c r="D808" s="83">
        <f>IF($B808="","",IFERROR(IF(VLOOKUP($B808,Reference!$A$6:$C$27,3,FALSE)&gt;0,VLOOKUP($B808,Reference!$A$6:$C$27,3,FALSE),""),""))</f>
        <v/>
      </c>
      <c r="E808" s="53"/>
      <c r="F808" s="82">
        <f>IF(OR($A808="",$B808="",NOT(ISNUMBER($C808))),"",IF(ISNUMBER($E808),IF($E808&gt;0,EDATE($C808,$E808),""),IF(ISNUMBER($D808),EDATE($C808,$D808),"")))</f>
        <v/>
      </c>
      <c r="G808" s="83">
        <f>IF($F808="","",$F808-TODAY())</f>
        <v/>
      </c>
      <c r="H808" s="85">
        <f>IF(OR($A808="",$B808=""),"",IF($F808="","No date",IF($G808&lt;0,"Overdue",IF($G808&lt;=30,"Due &lt;=30",IF($G808&lt;=60,"Due 31-60","OK")))))</f>
        <v/>
      </c>
      <c r="I808" s="54"/>
      <c r="J808" s="54"/>
      <c r="K808" s="54"/>
      <c r="L808" s="54"/>
      <c r="M808" s="105">
        <f>IF($F808="","",$F808+ROW()/100000)</f>
        <v/>
      </c>
    </row>
    <row r="809" spans="1:13">
      <c r="A809" s="54"/>
      <c r="B809" s="54"/>
      <c r="C809" s="52"/>
      <c r="D809" s="83">
        <f>IF($B809="","",IFERROR(IF(VLOOKUP($B809,Reference!$A$6:$C$27,3,FALSE)&gt;0,VLOOKUP($B809,Reference!$A$6:$C$27,3,FALSE),""),""))</f>
        <v/>
      </c>
      <c r="E809" s="53"/>
      <c r="F809" s="82">
        <f>IF(OR($A809="",$B809="",NOT(ISNUMBER($C809))),"",IF(ISNUMBER($E809),IF($E809&gt;0,EDATE($C809,$E809),""),IF(ISNUMBER($D809),EDATE($C809,$D809),"")))</f>
        <v/>
      </c>
      <c r="G809" s="83">
        <f>IF($F809="","",$F809-TODAY())</f>
        <v/>
      </c>
      <c r="H809" s="85">
        <f>IF(OR($A809="",$B809=""),"",IF($F809="","No date",IF($G809&lt;0,"Overdue",IF($G809&lt;=30,"Due &lt;=30",IF($G809&lt;=60,"Due 31-60","OK")))))</f>
        <v/>
      </c>
      <c r="I809" s="54"/>
      <c r="J809" s="54"/>
      <c r="K809" s="54"/>
      <c r="L809" s="54"/>
      <c r="M809" s="105">
        <f>IF($F809="","",$F809+ROW()/100000)</f>
        <v/>
      </c>
    </row>
    <row r="810" spans="1:13">
      <c r="A810" s="54"/>
      <c r="B810" s="54"/>
      <c r="C810" s="52"/>
      <c r="D810" s="83">
        <f>IF($B810="","",IFERROR(IF(VLOOKUP($B810,Reference!$A$6:$C$27,3,FALSE)&gt;0,VLOOKUP($B810,Reference!$A$6:$C$27,3,FALSE),""),""))</f>
        <v/>
      </c>
      <c r="E810" s="53"/>
      <c r="F810" s="82">
        <f>IF(OR($A810="",$B810="",NOT(ISNUMBER($C810))),"",IF(ISNUMBER($E810),IF($E810&gt;0,EDATE($C810,$E810),""),IF(ISNUMBER($D810),EDATE($C810,$D810),"")))</f>
        <v/>
      </c>
      <c r="G810" s="83">
        <f>IF($F810="","",$F810-TODAY())</f>
        <v/>
      </c>
      <c r="H810" s="85">
        <f>IF(OR($A810="",$B810=""),"",IF($F810="","No date",IF($G810&lt;0,"Overdue",IF($G810&lt;=30,"Due &lt;=30",IF($G810&lt;=60,"Due 31-60","OK")))))</f>
        <v/>
      </c>
      <c r="I810" s="54"/>
      <c r="J810" s="54"/>
      <c r="K810" s="54"/>
      <c r="L810" s="54"/>
      <c r="M810" s="105">
        <f>IF($F810="","",$F810+ROW()/100000)</f>
        <v/>
      </c>
    </row>
    <row r="811" spans="1:13">
      <c r="A811" s="54"/>
      <c r="B811" s="54"/>
      <c r="C811" s="52"/>
      <c r="D811" s="83">
        <f>IF($B811="","",IFERROR(IF(VLOOKUP($B811,Reference!$A$6:$C$27,3,FALSE)&gt;0,VLOOKUP($B811,Reference!$A$6:$C$27,3,FALSE),""),""))</f>
        <v/>
      </c>
      <c r="E811" s="53"/>
      <c r="F811" s="82">
        <f>IF(OR($A811="",$B811="",NOT(ISNUMBER($C811))),"",IF(ISNUMBER($E811),IF($E811&gt;0,EDATE($C811,$E811),""),IF(ISNUMBER($D811),EDATE($C811,$D811),"")))</f>
        <v/>
      </c>
      <c r="G811" s="83">
        <f>IF($F811="","",$F811-TODAY())</f>
        <v/>
      </c>
      <c r="H811" s="85">
        <f>IF(OR($A811="",$B811=""),"",IF($F811="","No date",IF($G811&lt;0,"Overdue",IF($G811&lt;=30,"Due &lt;=30",IF($G811&lt;=60,"Due 31-60","OK")))))</f>
        <v/>
      </c>
      <c r="I811" s="54"/>
      <c r="J811" s="54"/>
      <c r="K811" s="54"/>
      <c r="L811" s="54"/>
      <c r="M811" s="105">
        <f>IF($F811="","",$F811+ROW()/100000)</f>
        <v/>
      </c>
    </row>
    <row r="812" spans="1:13">
      <c r="A812" s="54"/>
      <c r="B812" s="54"/>
      <c r="C812" s="52"/>
      <c r="D812" s="83">
        <f>IF($B812="","",IFERROR(IF(VLOOKUP($B812,Reference!$A$6:$C$27,3,FALSE)&gt;0,VLOOKUP($B812,Reference!$A$6:$C$27,3,FALSE),""),""))</f>
        <v/>
      </c>
      <c r="E812" s="53"/>
      <c r="F812" s="82">
        <f>IF(OR($A812="",$B812="",NOT(ISNUMBER($C812))),"",IF(ISNUMBER($E812),IF($E812&gt;0,EDATE($C812,$E812),""),IF(ISNUMBER($D812),EDATE($C812,$D812),"")))</f>
        <v/>
      </c>
      <c r="G812" s="83">
        <f>IF($F812="","",$F812-TODAY())</f>
        <v/>
      </c>
      <c r="H812" s="85">
        <f>IF(OR($A812="",$B812=""),"",IF($F812="","No date",IF($G812&lt;0,"Overdue",IF($G812&lt;=30,"Due &lt;=30",IF($G812&lt;=60,"Due 31-60","OK")))))</f>
        <v/>
      </c>
      <c r="I812" s="54"/>
      <c r="J812" s="54"/>
      <c r="K812" s="54"/>
      <c r="L812" s="54"/>
      <c r="M812" s="105">
        <f>IF($F812="","",$F812+ROW()/100000)</f>
        <v/>
      </c>
    </row>
    <row r="813" spans="1:13">
      <c r="A813" s="54"/>
      <c r="B813" s="54"/>
      <c r="C813" s="52"/>
      <c r="D813" s="83">
        <f>IF($B813="","",IFERROR(IF(VLOOKUP($B813,Reference!$A$6:$C$27,3,FALSE)&gt;0,VLOOKUP($B813,Reference!$A$6:$C$27,3,FALSE),""),""))</f>
        <v/>
      </c>
      <c r="E813" s="53"/>
      <c r="F813" s="82">
        <f>IF(OR($A813="",$B813="",NOT(ISNUMBER($C813))),"",IF(ISNUMBER($E813),IF($E813&gt;0,EDATE($C813,$E813),""),IF(ISNUMBER($D813),EDATE($C813,$D813),"")))</f>
        <v/>
      </c>
      <c r="G813" s="83">
        <f>IF($F813="","",$F813-TODAY())</f>
        <v/>
      </c>
      <c r="H813" s="85">
        <f>IF(OR($A813="",$B813=""),"",IF($F813="","No date",IF($G813&lt;0,"Overdue",IF($G813&lt;=30,"Due &lt;=30",IF($G813&lt;=60,"Due 31-60","OK")))))</f>
        <v/>
      </c>
      <c r="I813" s="54"/>
      <c r="J813" s="54"/>
      <c r="K813" s="54"/>
      <c r="L813" s="54"/>
      <c r="M813" s="105">
        <f>IF($F813="","",$F813+ROW()/100000)</f>
        <v/>
      </c>
    </row>
    <row r="814" spans="1:13">
      <c r="A814" s="54"/>
      <c r="B814" s="54"/>
      <c r="C814" s="52"/>
      <c r="D814" s="83">
        <f>IF($B814="","",IFERROR(IF(VLOOKUP($B814,Reference!$A$6:$C$27,3,FALSE)&gt;0,VLOOKUP($B814,Reference!$A$6:$C$27,3,FALSE),""),""))</f>
        <v/>
      </c>
      <c r="E814" s="53"/>
      <c r="F814" s="82">
        <f>IF(OR($A814="",$B814="",NOT(ISNUMBER($C814))),"",IF(ISNUMBER($E814),IF($E814&gt;0,EDATE($C814,$E814),""),IF(ISNUMBER($D814),EDATE($C814,$D814),"")))</f>
        <v/>
      </c>
      <c r="G814" s="83">
        <f>IF($F814="","",$F814-TODAY())</f>
        <v/>
      </c>
      <c r="H814" s="85">
        <f>IF(OR($A814="",$B814=""),"",IF($F814="","No date",IF($G814&lt;0,"Overdue",IF($G814&lt;=30,"Due &lt;=30",IF($G814&lt;=60,"Due 31-60","OK")))))</f>
        <v/>
      </c>
      <c r="I814" s="54"/>
      <c r="J814" s="54"/>
      <c r="K814" s="54"/>
      <c r="L814" s="54"/>
      <c r="M814" s="105">
        <f>IF($F814="","",$F814+ROW()/100000)</f>
        <v/>
      </c>
    </row>
    <row r="815" spans="1:13">
      <c r="A815" s="54"/>
      <c r="B815" s="54"/>
      <c r="C815" s="52"/>
      <c r="D815" s="83">
        <f>IF($B815="","",IFERROR(IF(VLOOKUP($B815,Reference!$A$6:$C$27,3,FALSE)&gt;0,VLOOKUP($B815,Reference!$A$6:$C$27,3,FALSE),""),""))</f>
        <v/>
      </c>
      <c r="E815" s="53"/>
      <c r="F815" s="82">
        <f>IF(OR($A815="",$B815="",NOT(ISNUMBER($C815))),"",IF(ISNUMBER($E815),IF($E815&gt;0,EDATE($C815,$E815),""),IF(ISNUMBER($D815),EDATE($C815,$D815),"")))</f>
        <v/>
      </c>
      <c r="G815" s="83">
        <f>IF($F815="","",$F815-TODAY())</f>
        <v/>
      </c>
      <c r="H815" s="85">
        <f>IF(OR($A815="",$B815=""),"",IF($F815="","No date",IF($G815&lt;0,"Overdue",IF($G815&lt;=30,"Due &lt;=30",IF($G815&lt;=60,"Due 31-60","OK")))))</f>
        <v/>
      </c>
      <c r="I815" s="54"/>
      <c r="J815" s="54"/>
      <c r="K815" s="54"/>
      <c r="L815" s="54"/>
      <c r="M815" s="105">
        <f>IF($F815="","",$F815+ROW()/100000)</f>
        <v/>
      </c>
    </row>
    <row r="816" spans="1:13">
      <c r="A816" s="54"/>
      <c r="B816" s="54"/>
      <c r="C816" s="52"/>
      <c r="D816" s="83">
        <f>IF($B816="","",IFERROR(IF(VLOOKUP($B816,Reference!$A$6:$C$27,3,FALSE)&gt;0,VLOOKUP($B816,Reference!$A$6:$C$27,3,FALSE),""),""))</f>
        <v/>
      </c>
      <c r="E816" s="53"/>
      <c r="F816" s="82">
        <f>IF(OR($A816="",$B816="",NOT(ISNUMBER($C816))),"",IF(ISNUMBER($E816),IF($E816&gt;0,EDATE($C816,$E816),""),IF(ISNUMBER($D816),EDATE($C816,$D816),"")))</f>
        <v/>
      </c>
      <c r="G816" s="83">
        <f>IF($F816="","",$F816-TODAY())</f>
        <v/>
      </c>
      <c r="H816" s="85">
        <f>IF(OR($A816="",$B816=""),"",IF($F816="","No date",IF($G816&lt;0,"Overdue",IF($G816&lt;=30,"Due &lt;=30",IF($G816&lt;=60,"Due 31-60","OK")))))</f>
        <v/>
      </c>
      <c r="I816" s="54"/>
      <c r="J816" s="54"/>
      <c r="K816" s="54"/>
      <c r="L816" s="54"/>
      <c r="M816" s="105">
        <f>IF($F816="","",$F816+ROW()/100000)</f>
        <v/>
      </c>
    </row>
    <row r="817" spans="1:13">
      <c r="A817" s="54"/>
      <c r="B817" s="54"/>
      <c r="C817" s="52"/>
      <c r="D817" s="83">
        <f>IF($B817="","",IFERROR(IF(VLOOKUP($B817,Reference!$A$6:$C$27,3,FALSE)&gt;0,VLOOKUP($B817,Reference!$A$6:$C$27,3,FALSE),""),""))</f>
        <v/>
      </c>
      <c r="E817" s="53"/>
      <c r="F817" s="82">
        <f>IF(OR($A817="",$B817="",NOT(ISNUMBER($C817))),"",IF(ISNUMBER($E817),IF($E817&gt;0,EDATE($C817,$E817),""),IF(ISNUMBER($D817),EDATE($C817,$D817),"")))</f>
        <v/>
      </c>
      <c r="G817" s="83">
        <f>IF($F817="","",$F817-TODAY())</f>
        <v/>
      </c>
      <c r="H817" s="85">
        <f>IF(OR($A817="",$B817=""),"",IF($F817="","No date",IF($G817&lt;0,"Overdue",IF($G817&lt;=30,"Due &lt;=30",IF($G817&lt;=60,"Due 31-60","OK")))))</f>
        <v/>
      </c>
      <c r="I817" s="54"/>
      <c r="J817" s="54"/>
      <c r="K817" s="54"/>
      <c r="L817" s="54"/>
      <c r="M817" s="105">
        <f>IF($F817="","",$F817+ROW()/100000)</f>
        <v/>
      </c>
    </row>
    <row r="818" spans="1:13">
      <c r="A818" s="54"/>
      <c r="B818" s="54"/>
      <c r="C818" s="52"/>
      <c r="D818" s="83">
        <f>IF($B818="","",IFERROR(IF(VLOOKUP($B818,Reference!$A$6:$C$27,3,FALSE)&gt;0,VLOOKUP($B818,Reference!$A$6:$C$27,3,FALSE),""),""))</f>
        <v/>
      </c>
      <c r="E818" s="53"/>
      <c r="F818" s="82">
        <f>IF(OR($A818="",$B818="",NOT(ISNUMBER($C818))),"",IF(ISNUMBER($E818),IF($E818&gt;0,EDATE($C818,$E818),""),IF(ISNUMBER($D818),EDATE($C818,$D818),"")))</f>
        <v/>
      </c>
      <c r="G818" s="83">
        <f>IF($F818="","",$F818-TODAY())</f>
        <v/>
      </c>
      <c r="H818" s="85">
        <f>IF(OR($A818="",$B818=""),"",IF($F818="","No date",IF($G818&lt;0,"Overdue",IF($G818&lt;=30,"Due &lt;=30",IF($G818&lt;=60,"Due 31-60","OK")))))</f>
        <v/>
      </c>
      <c r="I818" s="54"/>
      <c r="J818" s="54"/>
      <c r="K818" s="54"/>
      <c r="L818" s="54"/>
      <c r="M818" s="105">
        <f>IF($F818="","",$F818+ROW()/100000)</f>
        <v/>
      </c>
    </row>
    <row r="819" spans="1:13">
      <c r="A819" s="54"/>
      <c r="B819" s="54"/>
      <c r="C819" s="52"/>
      <c r="D819" s="83">
        <f>IF($B819="","",IFERROR(IF(VLOOKUP($B819,Reference!$A$6:$C$27,3,FALSE)&gt;0,VLOOKUP($B819,Reference!$A$6:$C$27,3,FALSE),""),""))</f>
        <v/>
      </c>
      <c r="E819" s="53"/>
      <c r="F819" s="82">
        <f>IF(OR($A819="",$B819="",NOT(ISNUMBER($C819))),"",IF(ISNUMBER($E819),IF($E819&gt;0,EDATE($C819,$E819),""),IF(ISNUMBER($D819),EDATE($C819,$D819),"")))</f>
        <v/>
      </c>
      <c r="G819" s="83">
        <f>IF($F819="","",$F819-TODAY())</f>
        <v/>
      </c>
      <c r="H819" s="85">
        <f>IF(OR($A819="",$B819=""),"",IF($F819="","No date",IF($G819&lt;0,"Overdue",IF($G819&lt;=30,"Due &lt;=30",IF($G819&lt;=60,"Due 31-60","OK")))))</f>
        <v/>
      </c>
      <c r="I819" s="54"/>
      <c r="J819" s="54"/>
      <c r="K819" s="54"/>
      <c r="L819" s="54"/>
      <c r="M819" s="105">
        <f>IF($F819="","",$F819+ROW()/100000)</f>
        <v/>
      </c>
    </row>
    <row r="820" spans="1:13">
      <c r="A820" s="54"/>
      <c r="B820" s="54"/>
      <c r="C820" s="52"/>
      <c r="D820" s="83">
        <f>IF($B820="","",IFERROR(IF(VLOOKUP($B820,Reference!$A$6:$C$27,3,FALSE)&gt;0,VLOOKUP($B820,Reference!$A$6:$C$27,3,FALSE),""),""))</f>
        <v/>
      </c>
      <c r="E820" s="53"/>
      <c r="F820" s="82">
        <f>IF(OR($A820="",$B820="",NOT(ISNUMBER($C820))),"",IF(ISNUMBER($E820),IF($E820&gt;0,EDATE($C820,$E820),""),IF(ISNUMBER($D820),EDATE($C820,$D820),"")))</f>
        <v/>
      </c>
      <c r="G820" s="83">
        <f>IF($F820="","",$F820-TODAY())</f>
        <v/>
      </c>
      <c r="H820" s="85">
        <f>IF(OR($A820="",$B820=""),"",IF($F820="","No date",IF($G820&lt;0,"Overdue",IF($G820&lt;=30,"Due &lt;=30",IF($G820&lt;=60,"Due 31-60","OK")))))</f>
        <v/>
      </c>
      <c r="I820" s="54"/>
      <c r="J820" s="54"/>
      <c r="K820" s="54"/>
      <c r="L820" s="54"/>
      <c r="M820" s="105">
        <f>IF($F820="","",$F820+ROW()/100000)</f>
        <v/>
      </c>
    </row>
    <row r="821" spans="1:13">
      <c r="A821" s="54"/>
      <c r="B821" s="54"/>
      <c r="C821" s="52"/>
      <c r="D821" s="83">
        <f>IF($B821="","",IFERROR(IF(VLOOKUP($B821,Reference!$A$6:$C$27,3,FALSE)&gt;0,VLOOKUP($B821,Reference!$A$6:$C$27,3,FALSE),""),""))</f>
        <v/>
      </c>
      <c r="E821" s="53"/>
      <c r="F821" s="82">
        <f>IF(OR($A821="",$B821="",NOT(ISNUMBER($C821))),"",IF(ISNUMBER($E821),IF($E821&gt;0,EDATE($C821,$E821),""),IF(ISNUMBER($D821),EDATE($C821,$D821),"")))</f>
        <v/>
      </c>
      <c r="G821" s="83">
        <f>IF($F821="","",$F821-TODAY())</f>
        <v/>
      </c>
      <c r="H821" s="85">
        <f>IF(OR($A821="",$B821=""),"",IF($F821="","No date",IF($G821&lt;0,"Overdue",IF($G821&lt;=30,"Due &lt;=30",IF($G821&lt;=60,"Due 31-60","OK")))))</f>
        <v/>
      </c>
      <c r="I821" s="54"/>
      <c r="J821" s="54"/>
      <c r="K821" s="54"/>
      <c r="L821" s="54"/>
      <c r="M821" s="105">
        <f>IF($F821="","",$F821+ROW()/100000)</f>
        <v/>
      </c>
    </row>
    <row r="822" spans="1:13">
      <c r="A822" s="54"/>
      <c r="B822" s="54"/>
      <c r="C822" s="52"/>
      <c r="D822" s="83">
        <f>IF($B822="","",IFERROR(IF(VLOOKUP($B822,Reference!$A$6:$C$27,3,FALSE)&gt;0,VLOOKUP($B822,Reference!$A$6:$C$27,3,FALSE),""),""))</f>
        <v/>
      </c>
      <c r="E822" s="53"/>
      <c r="F822" s="82">
        <f>IF(OR($A822="",$B822="",NOT(ISNUMBER($C822))),"",IF(ISNUMBER($E822),IF($E822&gt;0,EDATE($C822,$E822),""),IF(ISNUMBER($D822),EDATE($C822,$D822),"")))</f>
        <v/>
      </c>
      <c r="G822" s="83">
        <f>IF($F822="","",$F822-TODAY())</f>
        <v/>
      </c>
      <c r="H822" s="85">
        <f>IF(OR($A822="",$B822=""),"",IF($F822="","No date",IF($G822&lt;0,"Overdue",IF($G822&lt;=30,"Due &lt;=30",IF($G822&lt;=60,"Due 31-60","OK")))))</f>
        <v/>
      </c>
      <c r="I822" s="54"/>
      <c r="J822" s="54"/>
      <c r="K822" s="54"/>
      <c r="L822" s="54"/>
      <c r="M822" s="105">
        <f>IF($F822="","",$F822+ROW()/100000)</f>
        <v/>
      </c>
    </row>
    <row r="823" spans="1:13">
      <c r="A823" s="54"/>
      <c r="B823" s="54"/>
      <c r="C823" s="52"/>
      <c r="D823" s="83">
        <f>IF($B823="","",IFERROR(IF(VLOOKUP($B823,Reference!$A$6:$C$27,3,FALSE)&gt;0,VLOOKUP($B823,Reference!$A$6:$C$27,3,FALSE),""),""))</f>
        <v/>
      </c>
      <c r="E823" s="53"/>
      <c r="F823" s="82">
        <f>IF(OR($A823="",$B823="",NOT(ISNUMBER($C823))),"",IF(ISNUMBER($E823),IF($E823&gt;0,EDATE($C823,$E823),""),IF(ISNUMBER($D823),EDATE($C823,$D823),"")))</f>
        <v/>
      </c>
      <c r="G823" s="83">
        <f>IF($F823="","",$F823-TODAY())</f>
        <v/>
      </c>
      <c r="H823" s="85">
        <f>IF(OR($A823="",$B823=""),"",IF($F823="","No date",IF($G823&lt;0,"Overdue",IF($G823&lt;=30,"Due &lt;=30",IF($G823&lt;=60,"Due 31-60","OK")))))</f>
        <v/>
      </c>
      <c r="I823" s="54"/>
      <c r="J823" s="54"/>
      <c r="K823" s="54"/>
      <c r="L823" s="54"/>
      <c r="M823" s="105">
        <f>IF($F823="","",$F823+ROW()/100000)</f>
        <v/>
      </c>
    </row>
    <row r="824" spans="1:13">
      <c r="A824" s="54"/>
      <c r="B824" s="54"/>
      <c r="C824" s="52"/>
      <c r="D824" s="83">
        <f>IF($B824="","",IFERROR(IF(VLOOKUP($B824,Reference!$A$6:$C$27,3,FALSE)&gt;0,VLOOKUP($B824,Reference!$A$6:$C$27,3,FALSE),""),""))</f>
        <v/>
      </c>
      <c r="E824" s="53"/>
      <c r="F824" s="82">
        <f>IF(OR($A824="",$B824="",NOT(ISNUMBER($C824))),"",IF(ISNUMBER($E824),IF($E824&gt;0,EDATE($C824,$E824),""),IF(ISNUMBER($D824),EDATE($C824,$D824),"")))</f>
        <v/>
      </c>
      <c r="G824" s="83">
        <f>IF($F824="","",$F824-TODAY())</f>
        <v/>
      </c>
      <c r="H824" s="85">
        <f>IF(OR($A824="",$B824=""),"",IF($F824="","No date",IF($G824&lt;0,"Overdue",IF($G824&lt;=30,"Due &lt;=30",IF($G824&lt;=60,"Due 31-60","OK")))))</f>
        <v/>
      </c>
      <c r="I824" s="54"/>
      <c r="J824" s="54"/>
      <c r="K824" s="54"/>
      <c r="L824" s="54"/>
      <c r="M824" s="105">
        <f>IF($F824="","",$F824+ROW()/100000)</f>
        <v/>
      </c>
    </row>
    <row r="825" spans="1:13">
      <c r="A825" s="54"/>
      <c r="B825" s="54"/>
      <c r="C825" s="52"/>
      <c r="D825" s="83">
        <f>IF($B825="","",IFERROR(IF(VLOOKUP($B825,Reference!$A$6:$C$27,3,FALSE)&gt;0,VLOOKUP($B825,Reference!$A$6:$C$27,3,FALSE),""),""))</f>
        <v/>
      </c>
      <c r="E825" s="53"/>
      <c r="F825" s="82">
        <f>IF(OR($A825="",$B825="",NOT(ISNUMBER($C825))),"",IF(ISNUMBER($E825),IF($E825&gt;0,EDATE($C825,$E825),""),IF(ISNUMBER($D825),EDATE($C825,$D825),"")))</f>
        <v/>
      </c>
      <c r="G825" s="83">
        <f>IF($F825="","",$F825-TODAY())</f>
        <v/>
      </c>
      <c r="H825" s="85">
        <f>IF(OR($A825="",$B825=""),"",IF($F825="","No date",IF($G825&lt;0,"Overdue",IF($G825&lt;=30,"Due &lt;=30",IF($G825&lt;=60,"Due 31-60","OK")))))</f>
        <v/>
      </c>
      <c r="I825" s="54"/>
      <c r="J825" s="54"/>
      <c r="K825" s="54"/>
      <c r="L825" s="54"/>
      <c r="M825" s="105">
        <f>IF($F825="","",$F825+ROW()/100000)</f>
        <v/>
      </c>
    </row>
    <row r="826" spans="1:13">
      <c r="A826" s="54"/>
      <c r="B826" s="54"/>
      <c r="C826" s="52"/>
      <c r="D826" s="83">
        <f>IF($B826="","",IFERROR(IF(VLOOKUP($B826,Reference!$A$6:$C$27,3,FALSE)&gt;0,VLOOKUP($B826,Reference!$A$6:$C$27,3,FALSE),""),""))</f>
        <v/>
      </c>
      <c r="E826" s="53"/>
      <c r="F826" s="82">
        <f>IF(OR($A826="",$B826="",NOT(ISNUMBER($C826))),"",IF(ISNUMBER($E826),IF($E826&gt;0,EDATE($C826,$E826),""),IF(ISNUMBER($D826),EDATE($C826,$D826),"")))</f>
        <v/>
      </c>
      <c r="G826" s="83">
        <f>IF($F826="","",$F826-TODAY())</f>
        <v/>
      </c>
      <c r="H826" s="85">
        <f>IF(OR($A826="",$B826=""),"",IF($F826="","No date",IF($G826&lt;0,"Overdue",IF($G826&lt;=30,"Due &lt;=30",IF($G826&lt;=60,"Due 31-60","OK")))))</f>
        <v/>
      </c>
      <c r="I826" s="54"/>
      <c r="J826" s="54"/>
      <c r="K826" s="54"/>
      <c r="L826" s="54"/>
      <c r="M826" s="105">
        <f>IF($F826="","",$F826+ROW()/100000)</f>
        <v/>
      </c>
    </row>
    <row r="827" spans="1:13">
      <c r="A827" s="54"/>
      <c r="B827" s="54"/>
      <c r="C827" s="52"/>
      <c r="D827" s="83">
        <f>IF($B827="","",IFERROR(IF(VLOOKUP($B827,Reference!$A$6:$C$27,3,FALSE)&gt;0,VLOOKUP($B827,Reference!$A$6:$C$27,3,FALSE),""),""))</f>
        <v/>
      </c>
      <c r="E827" s="53"/>
      <c r="F827" s="82">
        <f>IF(OR($A827="",$B827="",NOT(ISNUMBER($C827))),"",IF(ISNUMBER($E827),IF($E827&gt;0,EDATE($C827,$E827),""),IF(ISNUMBER($D827),EDATE($C827,$D827),"")))</f>
        <v/>
      </c>
      <c r="G827" s="83">
        <f>IF($F827="","",$F827-TODAY())</f>
        <v/>
      </c>
      <c r="H827" s="85">
        <f>IF(OR($A827="",$B827=""),"",IF($F827="","No date",IF($G827&lt;0,"Overdue",IF($G827&lt;=30,"Due &lt;=30",IF($G827&lt;=60,"Due 31-60","OK")))))</f>
        <v/>
      </c>
      <c r="I827" s="54"/>
      <c r="J827" s="54"/>
      <c r="K827" s="54"/>
      <c r="L827" s="54"/>
      <c r="M827" s="105">
        <f>IF($F827="","",$F827+ROW()/100000)</f>
        <v/>
      </c>
    </row>
    <row r="828" spans="1:13">
      <c r="A828" s="54"/>
      <c r="B828" s="54"/>
      <c r="C828" s="52"/>
      <c r="D828" s="83">
        <f>IF($B828="","",IFERROR(IF(VLOOKUP($B828,Reference!$A$6:$C$27,3,FALSE)&gt;0,VLOOKUP($B828,Reference!$A$6:$C$27,3,FALSE),""),""))</f>
        <v/>
      </c>
      <c r="E828" s="53"/>
      <c r="F828" s="82">
        <f>IF(OR($A828="",$B828="",NOT(ISNUMBER($C828))),"",IF(ISNUMBER($E828),IF($E828&gt;0,EDATE($C828,$E828),""),IF(ISNUMBER($D828),EDATE($C828,$D828),"")))</f>
        <v/>
      </c>
      <c r="G828" s="83">
        <f>IF($F828="","",$F828-TODAY())</f>
        <v/>
      </c>
      <c r="H828" s="85">
        <f>IF(OR($A828="",$B828=""),"",IF($F828="","No date",IF($G828&lt;0,"Overdue",IF($G828&lt;=30,"Due &lt;=30",IF($G828&lt;=60,"Due 31-60","OK")))))</f>
        <v/>
      </c>
      <c r="I828" s="54"/>
      <c r="J828" s="54"/>
      <c r="K828" s="54"/>
      <c r="L828" s="54"/>
      <c r="M828" s="105">
        <f>IF($F828="","",$F828+ROW()/100000)</f>
        <v/>
      </c>
    </row>
    <row r="829" spans="1:13">
      <c r="A829" s="54"/>
      <c r="B829" s="54"/>
      <c r="C829" s="52"/>
      <c r="D829" s="83">
        <f>IF($B829="","",IFERROR(IF(VLOOKUP($B829,Reference!$A$6:$C$27,3,FALSE)&gt;0,VLOOKUP($B829,Reference!$A$6:$C$27,3,FALSE),""),""))</f>
        <v/>
      </c>
      <c r="E829" s="53"/>
      <c r="F829" s="82">
        <f>IF(OR($A829="",$B829="",NOT(ISNUMBER($C829))),"",IF(ISNUMBER($E829),IF($E829&gt;0,EDATE($C829,$E829),""),IF(ISNUMBER($D829),EDATE($C829,$D829),"")))</f>
        <v/>
      </c>
      <c r="G829" s="83">
        <f>IF($F829="","",$F829-TODAY())</f>
        <v/>
      </c>
      <c r="H829" s="85">
        <f>IF(OR($A829="",$B829=""),"",IF($F829="","No date",IF($G829&lt;0,"Overdue",IF($G829&lt;=30,"Due &lt;=30",IF($G829&lt;=60,"Due 31-60","OK")))))</f>
        <v/>
      </c>
      <c r="I829" s="54"/>
      <c r="J829" s="54"/>
      <c r="K829" s="54"/>
      <c r="L829" s="54"/>
      <c r="M829" s="105">
        <f>IF($F829="","",$F829+ROW()/100000)</f>
        <v/>
      </c>
    </row>
    <row r="830" spans="1:13">
      <c r="A830" s="54"/>
      <c r="B830" s="54"/>
      <c r="C830" s="52"/>
      <c r="D830" s="83">
        <f>IF($B830="","",IFERROR(IF(VLOOKUP($B830,Reference!$A$6:$C$27,3,FALSE)&gt;0,VLOOKUP($B830,Reference!$A$6:$C$27,3,FALSE),""),""))</f>
        <v/>
      </c>
      <c r="E830" s="53"/>
      <c r="F830" s="82">
        <f>IF(OR($A830="",$B830="",NOT(ISNUMBER($C830))),"",IF(ISNUMBER($E830),IF($E830&gt;0,EDATE($C830,$E830),""),IF(ISNUMBER($D830),EDATE($C830,$D830),"")))</f>
        <v/>
      </c>
      <c r="G830" s="83">
        <f>IF($F830="","",$F830-TODAY())</f>
        <v/>
      </c>
      <c r="H830" s="85">
        <f>IF(OR($A830="",$B830=""),"",IF($F830="","No date",IF($G830&lt;0,"Overdue",IF($G830&lt;=30,"Due &lt;=30",IF($G830&lt;=60,"Due 31-60","OK")))))</f>
        <v/>
      </c>
      <c r="I830" s="54"/>
      <c r="J830" s="54"/>
      <c r="K830" s="54"/>
      <c r="L830" s="54"/>
      <c r="M830" s="105">
        <f>IF($F830="","",$F830+ROW()/100000)</f>
        <v/>
      </c>
    </row>
    <row r="831" spans="1:13">
      <c r="A831" s="54"/>
      <c r="B831" s="54"/>
      <c r="C831" s="52"/>
      <c r="D831" s="83">
        <f>IF($B831="","",IFERROR(IF(VLOOKUP($B831,Reference!$A$6:$C$27,3,FALSE)&gt;0,VLOOKUP($B831,Reference!$A$6:$C$27,3,FALSE),""),""))</f>
        <v/>
      </c>
      <c r="E831" s="53"/>
      <c r="F831" s="82">
        <f>IF(OR($A831="",$B831="",NOT(ISNUMBER($C831))),"",IF(ISNUMBER($E831),IF($E831&gt;0,EDATE($C831,$E831),""),IF(ISNUMBER($D831),EDATE($C831,$D831),"")))</f>
        <v/>
      </c>
      <c r="G831" s="83">
        <f>IF($F831="","",$F831-TODAY())</f>
        <v/>
      </c>
      <c r="H831" s="85">
        <f>IF(OR($A831="",$B831=""),"",IF($F831="","No date",IF($G831&lt;0,"Overdue",IF($G831&lt;=30,"Due &lt;=30",IF($G831&lt;=60,"Due 31-60","OK")))))</f>
        <v/>
      </c>
      <c r="I831" s="54"/>
      <c r="J831" s="54"/>
      <c r="K831" s="54"/>
      <c r="L831" s="54"/>
      <c r="M831" s="105">
        <f>IF($F831="","",$F831+ROW()/100000)</f>
        <v/>
      </c>
    </row>
    <row r="832" spans="1:13">
      <c r="A832" s="54"/>
      <c r="B832" s="54"/>
      <c r="C832" s="52"/>
      <c r="D832" s="83">
        <f>IF($B832="","",IFERROR(IF(VLOOKUP($B832,Reference!$A$6:$C$27,3,FALSE)&gt;0,VLOOKUP($B832,Reference!$A$6:$C$27,3,FALSE),""),""))</f>
        <v/>
      </c>
      <c r="E832" s="53"/>
      <c r="F832" s="82">
        <f>IF(OR($A832="",$B832="",NOT(ISNUMBER($C832))),"",IF(ISNUMBER($E832),IF($E832&gt;0,EDATE($C832,$E832),""),IF(ISNUMBER($D832),EDATE($C832,$D832),"")))</f>
        <v/>
      </c>
      <c r="G832" s="83">
        <f>IF($F832="","",$F832-TODAY())</f>
        <v/>
      </c>
      <c r="H832" s="85">
        <f>IF(OR($A832="",$B832=""),"",IF($F832="","No date",IF($G832&lt;0,"Overdue",IF($G832&lt;=30,"Due &lt;=30",IF($G832&lt;=60,"Due 31-60","OK")))))</f>
        <v/>
      </c>
      <c r="I832" s="54"/>
      <c r="J832" s="54"/>
      <c r="K832" s="54"/>
      <c r="L832" s="54"/>
      <c r="M832" s="105">
        <f>IF($F832="","",$F832+ROW()/100000)</f>
        <v/>
      </c>
    </row>
    <row r="833" spans="1:13">
      <c r="A833" s="54"/>
      <c r="B833" s="54"/>
      <c r="C833" s="52"/>
      <c r="D833" s="83">
        <f>IF($B833="","",IFERROR(IF(VLOOKUP($B833,Reference!$A$6:$C$27,3,FALSE)&gt;0,VLOOKUP($B833,Reference!$A$6:$C$27,3,FALSE),""),""))</f>
        <v/>
      </c>
      <c r="E833" s="53"/>
      <c r="F833" s="82">
        <f>IF(OR($A833="",$B833="",NOT(ISNUMBER($C833))),"",IF(ISNUMBER($E833),IF($E833&gt;0,EDATE($C833,$E833),""),IF(ISNUMBER($D833),EDATE($C833,$D833),"")))</f>
        <v/>
      </c>
      <c r="G833" s="83">
        <f>IF($F833="","",$F833-TODAY())</f>
        <v/>
      </c>
      <c r="H833" s="85">
        <f>IF(OR($A833="",$B833=""),"",IF($F833="","No date",IF($G833&lt;0,"Overdue",IF($G833&lt;=30,"Due &lt;=30",IF($G833&lt;=60,"Due 31-60","OK")))))</f>
        <v/>
      </c>
      <c r="I833" s="54"/>
      <c r="J833" s="54"/>
      <c r="K833" s="54"/>
      <c r="L833" s="54"/>
      <c r="M833" s="105">
        <f>IF($F833="","",$F833+ROW()/100000)</f>
        <v/>
      </c>
    </row>
    <row r="834" spans="1:13">
      <c r="A834" s="54"/>
      <c r="B834" s="54"/>
      <c r="C834" s="52"/>
      <c r="D834" s="83">
        <f>IF($B834="","",IFERROR(IF(VLOOKUP($B834,Reference!$A$6:$C$27,3,FALSE)&gt;0,VLOOKUP($B834,Reference!$A$6:$C$27,3,FALSE),""),""))</f>
        <v/>
      </c>
      <c r="E834" s="53"/>
      <c r="F834" s="82">
        <f>IF(OR($A834="",$B834="",NOT(ISNUMBER($C834))),"",IF(ISNUMBER($E834),IF($E834&gt;0,EDATE($C834,$E834),""),IF(ISNUMBER($D834),EDATE($C834,$D834),"")))</f>
        <v/>
      </c>
      <c r="G834" s="83">
        <f>IF($F834="","",$F834-TODAY())</f>
        <v/>
      </c>
      <c r="H834" s="85">
        <f>IF(OR($A834="",$B834=""),"",IF($F834="","No date",IF($G834&lt;0,"Overdue",IF($G834&lt;=30,"Due &lt;=30",IF($G834&lt;=60,"Due 31-60","OK")))))</f>
        <v/>
      </c>
      <c r="I834" s="54"/>
      <c r="J834" s="54"/>
      <c r="K834" s="54"/>
      <c r="L834" s="54"/>
      <c r="M834" s="105">
        <f>IF($F834="","",$F834+ROW()/100000)</f>
        <v/>
      </c>
    </row>
    <row r="835" spans="1:13">
      <c r="A835" s="54"/>
      <c r="B835" s="54"/>
      <c r="C835" s="52"/>
      <c r="D835" s="83">
        <f>IF($B835="","",IFERROR(IF(VLOOKUP($B835,Reference!$A$6:$C$27,3,FALSE)&gt;0,VLOOKUP($B835,Reference!$A$6:$C$27,3,FALSE),""),""))</f>
        <v/>
      </c>
      <c r="E835" s="53"/>
      <c r="F835" s="82">
        <f>IF(OR($A835="",$B835="",NOT(ISNUMBER($C835))),"",IF(ISNUMBER($E835),IF($E835&gt;0,EDATE($C835,$E835),""),IF(ISNUMBER($D835),EDATE($C835,$D835),"")))</f>
        <v/>
      </c>
      <c r="G835" s="83">
        <f>IF($F835="","",$F835-TODAY())</f>
        <v/>
      </c>
      <c r="H835" s="85">
        <f>IF(OR($A835="",$B835=""),"",IF($F835="","No date",IF($G835&lt;0,"Overdue",IF($G835&lt;=30,"Due &lt;=30",IF($G835&lt;=60,"Due 31-60","OK")))))</f>
        <v/>
      </c>
      <c r="I835" s="54"/>
      <c r="J835" s="54"/>
      <c r="K835" s="54"/>
      <c r="L835" s="54"/>
      <c r="M835" s="105">
        <f>IF($F835="","",$F835+ROW()/100000)</f>
        <v/>
      </c>
    </row>
    <row r="836" spans="1:13">
      <c r="A836" s="54"/>
      <c r="B836" s="54"/>
      <c r="C836" s="52"/>
      <c r="D836" s="83">
        <f>IF($B836="","",IFERROR(IF(VLOOKUP($B836,Reference!$A$6:$C$27,3,FALSE)&gt;0,VLOOKUP($B836,Reference!$A$6:$C$27,3,FALSE),""),""))</f>
        <v/>
      </c>
      <c r="E836" s="53"/>
      <c r="F836" s="82">
        <f>IF(OR($A836="",$B836="",NOT(ISNUMBER($C836))),"",IF(ISNUMBER($E836),IF($E836&gt;0,EDATE($C836,$E836),""),IF(ISNUMBER($D836),EDATE($C836,$D836),"")))</f>
        <v/>
      </c>
      <c r="G836" s="83">
        <f>IF($F836="","",$F836-TODAY())</f>
        <v/>
      </c>
      <c r="H836" s="85">
        <f>IF(OR($A836="",$B836=""),"",IF($F836="","No date",IF($G836&lt;0,"Overdue",IF($G836&lt;=30,"Due &lt;=30",IF($G836&lt;=60,"Due 31-60","OK")))))</f>
        <v/>
      </c>
      <c r="I836" s="54"/>
      <c r="J836" s="54"/>
      <c r="K836" s="54"/>
      <c r="L836" s="54"/>
      <c r="M836" s="105">
        <f>IF($F836="","",$F836+ROW()/100000)</f>
        <v/>
      </c>
    </row>
    <row r="837" spans="1:13">
      <c r="A837" s="54"/>
      <c r="B837" s="54"/>
      <c r="C837" s="52"/>
      <c r="D837" s="83">
        <f>IF($B837="","",IFERROR(IF(VLOOKUP($B837,Reference!$A$6:$C$27,3,FALSE)&gt;0,VLOOKUP($B837,Reference!$A$6:$C$27,3,FALSE),""),""))</f>
        <v/>
      </c>
      <c r="E837" s="53"/>
      <c r="F837" s="82">
        <f>IF(OR($A837="",$B837="",NOT(ISNUMBER($C837))),"",IF(ISNUMBER($E837),IF($E837&gt;0,EDATE($C837,$E837),""),IF(ISNUMBER($D837),EDATE($C837,$D837),"")))</f>
        <v/>
      </c>
      <c r="G837" s="83">
        <f>IF($F837="","",$F837-TODAY())</f>
        <v/>
      </c>
      <c r="H837" s="85">
        <f>IF(OR($A837="",$B837=""),"",IF($F837="","No date",IF($G837&lt;0,"Overdue",IF($G837&lt;=30,"Due &lt;=30",IF($G837&lt;=60,"Due 31-60","OK")))))</f>
        <v/>
      </c>
      <c r="I837" s="54"/>
      <c r="J837" s="54"/>
      <c r="K837" s="54"/>
      <c r="L837" s="54"/>
      <c r="M837" s="105">
        <f>IF($F837="","",$F837+ROW()/100000)</f>
        <v/>
      </c>
    </row>
    <row r="838" spans="1:13">
      <c r="A838" s="54"/>
      <c r="B838" s="54"/>
      <c r="C838" s="52"/>
      <c r="D838" s="83">
        <f>IF($B838="","",IFERROR(IF(VLOOKUP($B838,Reference!$A$6:$C$27,3,FALSE)&gt;0,VLOOKUP($B838,Reference!$A$6:$C$27,3,FALSE),""),""))</f>
        <v/>
      </c>
      <c r="E838" s="53"/>
      <c r="F838" s="82">
        <f>IF(OR($A838="",$B838="",NOT(ISNUMBER($C838))),"",IF(ISNUMBER($E838),IF($E838&gt;0,EDATE($C838,$E838),""),IF(ISNUMBER($D838),EDATE($C838,$D838),"")))</f>
        <v/>
      </c>
      <c r="G838" s="83">
        <f>IF($F838="","",$F838-TODAY())</f>
        <v/>
      </c>
      <c r="H838" s="85">
        <f>IF(OR($A838="",$B838=""),"",IF($F838="","No date",IF($G838&lt;0,"Overdue",IF($G838&lt;=30,"Due &lt;=30",IF($G838&lt;=60,"Due 31-60","OK")))))</f>
        <v/>
      </c>
      <c r="I838" s="54"/>
      <c r="J838" s="54"/>
      <c r="K838" s="54"/>
      <c r="L838" s="54"/>
      <c r="M838" s="105">
        <f>IF($F838="","",$F838+ROW()/100000)</f>
        <v/>
      </c>
    </row>
    <row r="839" spans="1:13">
      <c r="A839" s="54"/>
      <c r="B839" s="54"/>
      <c r="C839" s="52"/>
      <c r="D839" s="83">
        <f>IF($B839="","",IFERROR(IF(VLOOKUP($B839,Reference!$A$6:$C$27,3,FALSE)&gt;0,VLOOKUP($B839,Reference!$A$6:$C$27,3,FALSE),""),""))</f>
        <v/>
      </c>
      <c r="E839" s="53"/>
      <c r="F839" s="82">
        <f>IF(OR($A839="",$B839="",NOT(ISNUMBER($C839))),"",IF(ISNUMBER($E839),IF($E839&gt;0,EDATE($C839,$E839),""),IF(ISNUMBER($D839),EDATE($C839,$D839),"")))</f>
        <v/>
      </c>
      <c r="G839" s="83">
        <f>IF($F839="","",$F839-TODAY())</f>
        <v/>
      </c>
      <c r="H839" s="85">
        <f>IF(OR($A839="",$B839=""),"",IF($F839="","No date",IF($G839&lt;0,"Overdue",IF($G839&lt;=30,"Due &lt;=30",IF($G839&lt;=60,"Due 31-60","OK")))))</f>
        <v/>
      </c>
      <c r="I839" s="54"/>
      <c r="J839" s="54"/>
      <c r="K839" s="54"/>
      <c r="L839" s="54"/>
      <c r="M839" s="105">
        <f>IF($F839="","",$F839+ROW()/100000)</f>
        <v/>
      </c>
    </row>
    <row r="840" spans="1:13">
      <c r="A840" s="54"/>
      <c r="B840" s="54"/>
      <c r="C840" s="52"/>
      <c r="D840" s="83">
        <f>IF($B840="","",IFERROR(IF(VLOOKUP($B840,Reference!$A$6:$C$27,3,FALSE)&gt;0,VLOOKUP($B840,Reference!$A$6:$C$27,3,FALSE),""),""))</f>
        <v/>
      </c>
      <c r="E840" s="53"/>
      <c r="F840" s="82">
        <f>IF(OR($A840="",$B840="",NOT(ISNUMBER($C840))),"",IF(ISNUMBER($E840),IF($E840&gt;0,EDATE($C840,$E840),""),IF(ISNUMBER($D840),EDATE($C840,$D840),"")))</f>
        <v/>
      </c>
      <c r="G840" s="83">
        <f>IF($F840="","",$F840-TODAY())</f>
        <v/>
      </c>
      <c r="H840" s="85">
        <f>IF(OR($A840="",$B840=""),"",IF($F840="","No date",IF($G840&lt;0,"Overdue",IF($G840&lt;=30,"Due &lt;=30",IF($G840&lt;=60,"Due 31-60","OK")))))</f>
        <v/>
      </c>
      <c r="I840" s="54"/>
      <c r="J840" s="54"/>
      <c r="K840" s="54"/>
      <c r="L840" s="54"/>
      <c r="M840" s="105">
        <f>IF($F840="","",$F840+ROW()/100000)</f>
        <v/>
      </c>
    </row>
    <row r="841" spans="1:13">
      <c r="A841" s="54"/>
      <c r="B841" s="54"/>
      <c r="C841" s="52"/>
      <c r="D841" s="83">
        <f>IF($B841="","",IFERROR(IF(VLOOKUP($B841,Reference!$A$6:$C$27,3,FALSE)&gt;0,VLOOKUP($B841,Reference!$A$6:$C$27,3,FALSE),""),""))</f>
        <v/>
      </c>
      <c r="E841" s="53"/>
      <c r="F841" s="82">
        <f>IF(OR($A841="",$B841="",NOT(ISNUMBER($C841))),"",IF(ISNUMBER($E841),IF($E841&gt;0,EDATE($C841,$E841),""),IF(ISNUMBER($D841),EDATE($C841,$D841),"")))</f>
        <v/>
      </c>
      <c r="G841" s="83">
        <f>IF($F841="","",$F841-TODAY())</f>
        <v/>
      </c>
      <c r="H841" s="85">
        <f>IF(OR($A841="",$B841=""),"",IF($F841="","No date",IF($G841&lt;0,"Overdue",IF($G841&lt;=30,"Due &lt;=30",IF($G841&lt;=60,"Due 31-60","OK")))))</f>
        <v/>
      </c>
      <c r="I841" s="54"/>
      <c r="J841" s="54"/>
      <c r="K841" s="54"/>
      <c r="L841" s="54"/>
      <c r="M841" s="105">
        <f>IF($F841="","",$F841+ROW()/100000)</f>
        <v/>
      </c>
    </row>
    <row r="842" spans="1:13">
      <c r="A842" s="54"/>
      <c r="B842" s="54"/>
      <c r="C842" s="52"/>
      <c r="D842" s="83">
        <f>IF($B842="","",IFERROR(IF(VLOOKUP($B842,Reference!$A$6:$C$27,3,FALSE)&gt;0,VLOOKUP($B842,Reference!$A$6:$C$27,3,FALSE),""),""))</f>
        <v/>
      </c>
      <c r="E842" s="53"/>
      <c r="F842" s="82">
        <f>IF(OR($A842="",$B842="",NOT(ISNUMBER($C842))),"",IF(ISNUMBER($E842),IF($E842&gt;0,EDATE($C842,$E842),""),IF(ISNUMBER($D842),EDATE($C842,$D842),"")))</f>
        <v/>
      </c>
      <c r="G842" s="83">
        <f>IF($F842="","",$F842-TODAY())</f>
        <v/>
      </c>
      <c r="H842" s="85">
        <f>IF(OR($A842="",$B842=""),"",IF($F842="","No date",IF($G842&lt;0,"Overdue",IF($G842&lt;=30,"Due &lt;=30",IF($G842&lt;=60,"Due 31-60","OK")))))</f>
        <v/>
      </c>
      <c r="I842" s="54"/>
      <c r="J842" s="54"/>
      <c r="K842" s="54"/>
      <c r="L842" s="54"/>
      <c r="M842" s="105">
        <f>IF($F842="","",$F842+ROW()/100000)</f>
        <v/>
      </c>
    </row>
    <row r="843" spans="1:13">
      <c r="A843" s="54"/>
      <c r="B843" s="54"/>
      <c r="C843" s="52"/>
      <c r="D843" s="83">
        <f>IF($B843="","",IFERROR(IF(VLOOKUP($B843,Reference!$A$6:$C$27,3,FALSE)&gt;0,VLOOKUP($B843,Reference!$A$6:$C$27,3,FALSE),""),""))</f>
        <v/>
      </c>
      <c r="E843" s="53"/>
      <c r="F843" s="82">
        <f>IF(OR($A843="",$B843="",NOT(ISNUMBER($C843))),"",IF(ISNUMBER($E843),IF($E843&gt;0,EDATE($C843,$E843),""),IF(ISNUMBER($D843),EDATE($C843,$D843),"")))</f>
        <v/>
      </c>
      <c r="G843" s="83">
        <f>IF($F843="","",$F843-TODAY())</f>
        <v/>
      </c>
      <c r="H843" s="85">
        <f>IF(OR($A843="",$B843=""),"",IF($F843="","No date",IF($G843&lt;0,"Overdue",IF($G843&lt;=30,"Due &lt;=30",IF($G843&lt;=60,"Due 31-60","OK")))))</f>
        <v/>
      </c>
      <c r="I843" s="54"/>
      <c r="J843" s="54"/>
      <c r="K843" s="54"/>
      <c r="L843" s="54"/>
      <c r="M843" s="105">
        <f>IF($F843="","",$F843+ROW()/100000)</f>
        <v/>
      </c>
    </row>
    <row r="844" spans="1:13">
      <c r="A844" s="54"/>
      <c r="B844" s="54"/>
      <c r="C844" s="52"/>
      <c r="D844" s="83">
        <f>IF($B844="","",IFERROR(IF(VLOOKUP($B844,Reference!$A$6:$C$27,3,FALSE)&gt;0,VLOOKUP($B844,Reference!$A$6:$C$27,3,FALSE),""),""))</f>
        <v/>
      </c>
      <c r="E844" s="53"/>
      <c r="F844" s="82">
        <f>IF(OR($A844="",$B844="",NOT(ISNUMBER($C844))),"",IF(ISNUMBER($E844),IF($E844&gt;0,EDATE($C844,$E844),""),IF(ISNUMBER($D844),EDATE($C844,$D844),"")))</f>
        <v/>
      </c>
      <c r="G844" s="83">
        <f>IF($F844="","",$F844-TODAY())</f>
        <v/>
      </c>
      <c r="H844" s="85">
        <f>IF(OR($A844="",$B844=""),"",IF($F844="","No date",IF($G844&lt;0,"Overdue",IF($G844&lt;=30,"Due &lt;=30",IF($G844&lt;=60,"Due 31-60","OK")))))</f>
        <v/>
      </c>
      <c r="I844" s="54"/>
      <c r="J844" s="54"/>
      <c r="K844" s="54"/>
      <c r="L844" s="54"/>
      <c r="M844" s="105">
        <f>IF($F844="","",$F844+ROW()/100000)</f>
        <v/>
      </c>
    </row>
    <row r="845" spans="1:13">
      <c r="A845" s="54"/>
      <c r="B845" s="54"/>
      <c r="C845" s="52"/>
      <c r="D845" s="83">
        <f>IF($B845="","",IFERROR(IF(VLOOKUP($B845,Reference!$A$6:$C$27,3,FALSE)&gt;0,VLOOKUP($B845,Reference!$A$6:$C$27,3,FALSE),""),""))</f>
        <v/>
      </c>
      <c r="E845" s="53"/>
      <c r="F845" s="82">
        <f>IF(OR($A845="",$B845="",NOT(ISNUMBER($C845))),"",IF(ISNUMBER($E845),IF($E845&gt;0,EDATE($C845,$E845),""),IF(ISNUMBER($D845),EDATE($C845,$D845),"")))</f>
        <v/>
      </c>
      <c r="G845" s="83">
        <f>IF($F845="","",$F845-TODAY())</f>
        <v/>
      </c>
      <c r="H845" s="85">
        <f>IF(OR($A845="",$B845=""),"",IF($F845="","No date",IF($G845&lt;0,"Overdue",IF($G845&lt;=30,"Due &lt;=30",IF($G845&lt;=60,"Due 31-60","OK")))))</f>
        <v/>
      </c>
      <c r="I845" s="54"/>
      <c r="J845" s="54"/>
      <c r="K845" s="54"/>
      <c r="L845" s="54"/>
      <c r="M845" s="105">
        <f>IF($F845="","",$F845+ROW()/100000)</f>
        <v/>
      </c>
    </row>
    <row r="846" spans="1:13">
      <c r="A846" s="54"/>
      <c r="B846" s="54"/>
      <c r="C846" s="52"/>
      <c r="D846" s="83">
        <f>IF($B846="","",IFERROR(IF(VLOOKUP($B846,Reference!$A$6:$C$27,3,FALSE)&gt;0,VLOOKUP($B846,Reference!$A$6:$C$27,3,FALSE),""),""))</f>
        <v/>
      </c>
      <c r="E846" s="53"/>
      <c r="F846" s="82">
        <f>IF(OR($A846="",$B846="",NOT(ISNUMBER($C846))),"",IF(ISNUMBER($E846),IF($E846&gt;0,EDATE($C846,$E846),""),IF(ISNUMBER($D846),EDATE($C846,$D846),"")))</f>
        <v/>
      </c>
      <c r="G846" s="83">
        <f>IF($F846="","",$F846-TODAY())</f>
        <v/>
      </c>
      <c r="H846" s="85">
        <f>IF(OR($A846="",$B846=""),"",IF($F846="","No date",IF($G846&lt;0,"Overdue",IF($G846&lt;=30,"Due &lt;=30",IF($G846&lt;=60,"Due 31-60","OK")))))</f>
        <v/>
      </c>
      <c r="I846" s="54"/>
      <c r="J846" s="54"/>
      <c r="K846" s="54"/>
      <c r="L846" s="54"/>
      <c r="M846" s="105">
        <f>IF($F846="","",$F846+ROW()/100000)</f>
        <v/>
      </c>
    </row>
    <row r="847" spans="1:13">
      <c r="A847" s="54"/>
      <c r="B847" s="54"/>
      <c r="C847" s="52"/>
      <c r="D847" s="83">
        <f>IF($B847="","",IFERROR(IF(VLOOKUP($B847,Reference!$A$6:$C$27,3,FALSE)&gt;0,VLOOKUP($B847,Reference!$A$6:$C$27,3,FALSE),""),""))</f>
        <v/>
      </c>
      <c r="E847" s="53"/>
      <c r="F847" s="82">
        <f>IF(OR($A847="",$B847="",NOT(ISNUMBER($C847))),"",IF(ISNUMBER($E847),IF($E847&gt;0,EDATE($C847,$E847),""),IF(ISNUMBER($D847),EDATE($C847,$D847),"")))</f>
        <v/>
      </c>
      <c r="G847" s="83">
        <f>IF($F847="","",$F847-TODAY())</f>
        <v/>
      </c>
      <c r="H847" s="85">
        <f>IF(OR($A847="",$B847=""),"",IF($F847="","No date",IF($G847&lt;0,"Overdue",IF($G847&lt;=30,"Due &lt;=30",IF($G847&lt;=60,"Due 31-60","OK")))))</f>
        <v/>
      </c>
      <c r="I847" s="54"/>
      <c r="J847" s="54"/>
      <c r="K847" s="54"/>
      <c r="L847" s="54"/>
      <c r="M847" s="105">
        <f>IF($F847="","",$F847+ROW()/100000)</f>
        <v/>
      </c>
    </row>
    <row r="848" spans="1:13">
      <c r="A848" s="54"/>
      <c r="B848" s="54"/>
      <c r="C848" s="52"/>
      <c r="D848" s="83">
        <f>IF($B848="","",IFERROR(IF(VLOOKUP($B848,Reference!$A$6:$C$27,3,FALSE)&gt;0,VLOOKUP($B848,Reference!$A$6:$C$27,3,FALSE),""),""))</f>
        <v/>
      </c>
      <c r="E848" s="53"/>
      <c r="F848" s="82">
        <f>IF(OR($A848="",$B848="",NOT(ISNUMBER($C848))),"",IF(ISNUMBER($E848),IF($E848&gt;0,EDATE($C848,$E848),""),IF(ISNUMBER($D848),EDATE($C848,$D848),"")))</f>
        <v/>
      </c>
      <c r="G848" s="83">
        <f>IF($F848="","",$F848-TODAY())</f>
        <v/>
      </c>
      <c r="H848" s="85">
        <f>IF(OR($A848="",$B848=""),"",IF($F848="","No date",IF($G848&lt;0,"Overdue",IF($G848&lt;=30,"Due &lt;=30",IF($G848&lt;=60,"Due 31-60","OK")))))</f>
        <v/>
      </c>
      <c r="I848" s="54"/>
      <c r="J848" s="54"/>
      <c r="K848" s="54"/>
      <c r="L848" s="54"/>
      <c r="M848" s="105">
        <f>IF($F848="","",$F848+ROW()/100000)</f>
        <v/>
      </c>
    </row>
    <row r="849" spans="1:13">
      <c r="A849" s="54"/>
      <c r="B849" s="54"/>
      <c r="C849" s="52"/>
      <c r="D849" s="83">
        <f>IF($B849="","",IFERROR(IF(VLOOKUP($B849,Reference!$A$6:$C$27,3,FALSE)&gt;0,VLOOKUP($B849,Reference!$A$6:$C$27,3,FALSE),""),""))</f>
        <v/>
      </c>
      <c r="E849" s="53"/>
      <c r="F849" s="82">
        <f>IF(OR($A849="",$B849="",NOT(ISNUMBER($C849))),"",IF(ISNUMBER($E849),IF($E849&gt;0,EDATE($C849,$E849),""),IF(ISNUMBER($D849),EDATE($C849,$D849),"")))</f>
        <v/>
      </c>
      <c r="G849" s="83">
        <f>IF($F849="","",$F849-TODAY())</f>
        <v/>
      </c>
      <c r="H849" s="85">
        <f>IF(OR($A849="",$B849=""),"",IF($F849="","No date",IF($G849&lt;0,"Overdue",IF($G849&lt;=30,"Due &lt;=30",IF($G849&lt;=60,"Due 31-60","OK")))))</f>
        <v/>
      </c>
      <c r="I849" s="54"/>
      <c r="J849" s="54"/>
      <c r="K849" s="54"/>
      <c r="L849" s="54"/>
      <c r="M849" s="105">
        <f>IF($F849="","",$F849+ROW()/100000)</f>
        <v/>
      </c>
    </row>
    <row r="850" spans="1:13">
      <c r="A850" s="54"/>
      <c r="B850" s="54"/>
      <c r="C850" s="52"/>
      <c r="D850" s="83">
        <f>IF($B850="","",IFERROR(IF(VLOOKUP($B850,Reference!$A$6:$C$27,3,FALSE)&gt;0,VLOOKUP($B850,Reference!$A$6:$C$27,3,FALSE),""),""))</f>
        <v/>
      </c>
      <c r="E850" s="53"/>
      <c r="F850" s="82">
        <f>IF(OR($A850="",$B850="",NOT(ISNUMBER($C850))),"",IF(ISNUMBER($E850),IF($E850&gt;0,EDATE($C850,$E850),""),IF(ISNUMBER($D850),EDATE($C850,$D850),"")))</f>
        <v/>
      </c>
      <c r="G850" s="83">
        <f>IF($F850="","",$F850-TODAY())</f>
        <v/>
      </c>
      <c r="H850" s="85">
        <f>IF(OR($A850="",$B850=""),"",IF($F850="","No date",IF($G850&lt;0,"Overdue",IF($G850&lt;=30,"Due &lt;=30",IF($G850&lt;=60,"Due 31-60","OK")))))</f>
        <v/>
      </c>
      <c r="I850" s="54"/>
      <c r="J850" s="54"/>
      <c r="K850" s="54"/>
      <c r="L850" s="54"/>
      <c r="M850" s="105">
        <f>IF($F850="","",$F850+ROW()/100000)</f>
        <v/>
      </c>
    </row>
    <row r="851" spans="1:13">
      <c r="A851" s="54"/>
      <c r="B851" s="54"/>
      <c r="C851" s="52"/>
      <c r="D851" s="83">
        <f>IF($B851="","",IFERROR(IF(VLOOKUP($B851,Reference!$A$6:$C$27,3,FALSE)&gt;0,VLOOKUP($B851,Reference!$A$6:$C$27,3,FALSE),""),""))</f>
        <v/>
      </c>
      <c r="E851" s="53"/>
      <c r="F851" s="82">
        <f>IF(OR($A851="",$B851="",NOT(ISNUMBER($C851))),"",IF(ISNUMBER($E851),IF($E851&gt;0,EDATE($C851,$E851),""),IF(ISNUMBER($D851),EDATE($C851,$D851),"")))</f>
        <v/>
      </c>
      <c r="G851" s="83">
        <f>IF($F851="","",$F851-TODAY())</f>
        <v/>
      </c>
      <c r="H851" s="85">
        <f>IF(OR($A851="",$B851=""),"",IF($F851="","No date",IF($G851&lt;0,"Overdue",IF($G851&lt;=30,"Due &lt;=30",IF($G851&lt;=60,"Due 31-60","OK")))))</f>
        <v/>
      </c>
      <c r="I851" s="54"/>
      <c r="J851" s="54"/>
      <c r="K851" s="54"/>
      <c r="L851" s="54"/>
      <c r="M851" s="105">
        <f>IF($F851="","",$F851+ROW()/100000)</f>
        <v/>
      </c>
    </row>
    <row r="852" spans="1:13">
      <c r="A852" s="54"/>
      <c r="B852" s="54"/>
      <c r="C852" s="52"/>
      <c r="D852" s="83">
        <f>IF($B852="","",IFERROR(IF(VLOOKUP($B852,Reference!$A$6:$C$27,3,FALSE)&gt;0,VLOOKUP($B852,Reference!$A$6:$C$27,3,FALSE),""),""))</f>
        <v/>
      </c>
      <c r="E852" s="53"/>
      <c r="F852" s="82">
        <f>IF(OR($A852="",$B852="",NOT(ISNUMBER($C852))),"",IF(ISNUMBER($E852),IF($E852&gt;0,EDATE($C852,$E852),""),IF(ISNUMBER($D852),EDATE($C852,$D852),"")))</f>
        <v/>
      </c>
      <c r="G852" s="83">
        <f>IF($F852="","",$F852-TODAY())</f>
        <v/>
      </c>
      <c r="H852" s="85">
        <f>IF(OR($A852="",$B852=""),"",IF($F852="","No date",IF($G852&lt;0,"Overdue",IF($G852&lt;=30,"Due &lt;=30",IF($G852&lt;=60,"Due 31-60","OK")))))</f>
        <v/>
      </c>
      <c r="I852" s="54"/>
      <c r="J852" s="54"/>
      <c r="K852" s="54"/>
      <c r="L852" s="54"/>
      <c r="M852" s="105">
        <f>IF($F852="","",$F852+ROW()/100000)</f>
        <v/>
      </c>
    </row>
    <row r="853" spans="1:13">
      <c r="A853" s="54"/>
      <c r="B853" s="54"/>
      <c r="C853" s="52"/>
      <c r="D853" s="83">
        <f>IF($B853="","",IFERROR(IF(VLOOKUP($B853,Reference!$A$6:$C$27,3,FALSE)&gt;0,VLOOKUP($B853,Reference!$A$6:$C$27,3,FALSE),""),""))</f>
        <v/>
      </c>
      <c r="E853" s="53"/>
      <c r="F853" s="82">
        <f>IF(OR($A853="",$B853="",NOT(ISNUMBER($C853))),"",IF(ISNUMBER($E853),IF($E853&gt;0,EDATE($C853,$E853),""),IF(ISNUMBER($D853),EDATE($C853,$D853),"")))</f>
        <v/>
      </c>
      <c r="G853" s="83">
        <f>IF($F853="","",$F853-TODAY())</f>
        <v/>
      </c>
      <c r="H853" s="85">
        <f>IF(OR($A853="",$B853=""),"",IF($F853="","No date",IF($G853&lt;0,"Overdue",IF($G853&lt;=30,"Due &lt;=30",IF($G853&lt;=60,"Due 31-60","OK")))))</f>
        <v/>
      </c>
      <c r="I853" s="54"/>
      <c r="J853" s="54"/>
      <c r="K853" s="54"/>
      <c r="L853" s="54"/>
      <c r="M853" s="105">
        <f>IF($F853="","",$F853+ROW()/100000)</f>
        <v/>
      </c>
    </row>
    <row r="854" spans="1:13">
      <c r="A854" s="54"/>
      <c r="B854" s="54"/>
      <c r="C854" s="52"/>
      <c r="D854" s="83">
        <f>IF($B854="","",IFERROR(IF(VLOOKUP($B854,Reference!$A$6:$C$27,3,FALSE)&gt;0,VLOOKUP($B854,Reference!$A$6:$C$27,3,FALSE),""),""))</f>
        <v/>
      </c>
      <c r="E854" s="53"/>
      <c r="F854" s="82">
        <f>IF(OR($A854="",$B854="",NOT(ISNUMBER($C854))),"",IF(ISNUMBER($E854),IF($E854&gt;0,EDATE($C854,$E854),""),IF(ISNUMBER($D854),EDATE($C854,$D854),"")))</f>
        <v/>
      </c>
      <c r="G854" s="83">
        <f>IF($F854="","",$F854-TODAY())</f>
        <v/>
      </c>
      <c r="H854" s="85">
        <f>IF(OR($A854="",$B854=""),"",IF($F854="","No date",IF($G854&lt;0,"Overdue",IF($G854&lt;=30,"Due &lt;=30",IF($G854&lt;=60,"Due 31-60","OK")))))</f>
        <v/>
      </c>
      <c r="I854" s="54"/>
      <c r="J854" s="54"/>
      <c r="K854" s="54"/>
      <c r="L854" s="54"/>
      <c r="M854" s="105">
        <f>IF($F854="","",$F854+ROW()/100000)</f>
        <v/>
      </c>
    </row>
    <row r="855" spans="1:13">
      <c r="A855" s="54"/>
      <c r="B855" s="54"/>
      <c r="C855" s="52"/>
      <c r="D855" s="83">
        <f>IF($B855="","",IFERROR(IF(VLOOKUP($B855,Reference!$A$6:$C$27,3,FALSE)&gt;0,VLOOKUP($B855,Reference!$A$6:$C$27,3,FALSE),""),""))</f>
        <v/>
      </c>
      <c r="E855" s="53"/>
      <c r="F855" s="82">
        <f>IF(OR($A855="",$B855="",NOT(ISNUMBER($C855))),"",IF(ISNUMBER($E855),IF($E855&gt;0,EDATE($C855,$E855),""),IF(ISNUMBER($D855),EDATE($C855,$D855),"")))</f>
        <v/>
      </c>
      <c r="G855" s="83">
        <f>IF($F855="","",$F855-TODAY())</f>
        <v/>
      </c>
      <c r="H855" s="85">
        <f>IF(OR($A855="",$B855=""),"",IF($F855="","No date",IF($G855&lt;0,"Overdue",IF($G855&lt;=30,"Due &lt;=30",IF($G855&lt;=60,"Due 31-60","OK")))))</f>
        <v/>
      </c>
      <c r="I855" s="54"/>
      <c r="J855" s="54"/>
      <c r="K855" s="54"/>
      <c r="L855" s="54"/>
      <c r="M855" s="105">
        <f>IF($F855="","",$F855+ROW()/100000)</f>
        <v/>
      </c>
    </row>
    <row r="856" spans="1:13">
      <c r="A856" s="54"/>
      <c r="B856" s="54"/>
      <c r="C856" s="52"/>
      <c r="D856" s="83">
        <f>IF($B856="","",IFERROR(IF(VLOOKUP($B856,Reference!$A$6:$C$27,3,FALSE)&gt;0,VLOOKUP($B856,Reference!$A$6:$C$27,3,FALSE),""),""))</f>
        <v/>
      </c>
      <c r="E856" s="53"/>
      <c r="F856" s="82">
        <f>IF(OR($A856="",$B856="",NOT(ISNUMBER($C856))),"",IF(ISNUMBER($E856),IF($E856&gt;0,EDATE($C856,$E856),""),IF(ISNUMBER($D856),EDATE($C856,$D856),"")))</f>
        <v/>
      </c>
      <c r="G856" s="83">
        <f>IF($F856="","",$F856-TODAY())</f>
        <v/>
      </c>
      <c r="H856" s="85">
        <f>IF(OR($A856="",$B856=""),"",IF($F856="","No date",IF($G856&lt;0,"Overdue",IF($G856&lt;=30,"Due &lt;=30",IF($G856&lt;=60,"Due 31-60","OK")))))</f>
        <v/>
      </c>
      <c r="I856" s="54"/>
      <c r="J856" s="54"/>
      <c r="K856" s="54"/>
      <c r="L856" s="54"/>
      <c r="M856" s="105">
        <f>IF($F856="","",$F856+ROW()/100000)</f>
        <v/>
      </c>
    </row>
    <row r="857" spans="1:13">
      <c r="A857" s="54"/>
      <c r="B857" s="54"/>
      <c r="C857" s="52"/>
      <c r="D857" s="83">
        <f>IF($B857="","",IFERROR(IF(VLOOKUP($B857,Reference!$A$6:$C$27,3,FALSE)&gt;0,VLOOKUP($B857,Reference!$A$6:$C$27,3,FALSE),""),""))</f>
        <v/>
      </c>
      <c r="E857" s="53"/>
      <c r="F857" s="82">
        <f>IF(OR($A857="",$B857="",NOT(ISNUMBER($C857))),"",IF(ISNUMBER($E857),IF($E857&gt;0,EDATE($C857,$E857),""),IF(ISNUMBER($D857),EDATE($C857,$D857),"")))</f>
        <v/>
      </c>
      <c r="G857" s="83">
        <f>IF($F857="","",$F857-TODAY())</f>
        <v/>
      </c>
      <c r="H857" s="85">
        <f>IF(OR($A857="",$B857=""),"",IF($F857="","No date",IF($G857&lt;0,"Overdue",IF($G857&lt;=30,"Due &lt;=30",IF($G857&lt;=60,"Due 31-60","OK")))))</f>
        <v/>
      </c>
      <c r="I857" s="54"/>
      <c r="J857" s="54"/>
      <c r="K857" s="54"/>
      <c r="L857" s="54"/>
      <c r="M857" s="105">
        <f>IF($F857="","",$F857+ROW()/100000)</f>
        <v/>
      </c>
    </row>
    <row r="858" spans="1:13">
      <c r="A858" s="54"/>
      <c r="B858" s="54"/>
      <c r="C858" s="52"/>
      <c r="D858" s="83">
        <f>IF($B858="","",IFERROR(IF(VLOOKUP($B858,Reference!$A$6:$C$27,3,FALSE)&gt;0,VLOOKUP($B858,Reference!$A$6:$C$27,3,FALSE),""),""))</f>
        <v/>
      </c>
      <c r="E858" s="53"/>
      <c r="F858" s="82">
        <f>IF(OR($A858="",$B858="",NOT(ISNUMBER($C858))),"",IF(ISNUMBER($E858),IF($E858&gt;0,EDATE($C858,$E858),""),IF(ISNUMBER($D858),EDATE($C858,$D858),"")))</f>
        <v/>
      </c>
      <c r="G858" s="83">
        <f>IF($F858="","",$F858-TODAY())</f>
        <v/>
      </c>
      <c r="H858" s="85">
        <f>IF(OR($A858="",$B858=""),"",IF($F858="","No date",IF($G858&lt;0,"Overdue",IF($G858&lt;=30,"Due &lt;=30",IF($G858&lt;=60,"Due 31-60","OK")))))</f>
        <v/>
      </c>
      <c r="I858" s="54"/>
      <c r="J858" s="54"/>
      <c r="K858" s="54"/>
      <c r="L858" s="54"/>
      <c r="M858" s="105">
        <f>IF($F858="","",$F858+ROW()/100000)</f>
        <v/>
      </c>
    </row>
    <row r="859" spans="1:13">
      <c r="A859" s="54"/>
      <c r="B859" s="54"/>
      <c r="C859" s="52"/>
      <c r="D859" s="83">
        <f>IF($B859="","",IFERROR(IF(VLOOKUP($B859,Reference!$A$6:$C$27,3,FALSE)&gt;0,VLOOKUP($B859,Reference!$A$6:$C$27,3,FALSE),""),""))</f>
        <v/>
      </c>
      <c r="E859" s="53"/>
      <c r="F859" s="82">
        <f>IF(OR($A859="",$B859="",NOT(ISNUMBER($C859))),"",IF(ISNUMBER($E859),IF($E859&gt;0,EDATE($C859,$E859),""),IF(ISNUMBER($D859),EDATE($C859,$D859),"")))</f>
        <v/>
      </c>
      <c r="G859" s="83">
        <f>IF($F859="","",$F859-TODAY())</f>
        <v/>
      </c>
      <c r="H859" s="85">
        <f>IF(OR($A859="",$B859=""),"",IF($F859="","No date",IF($G859&lt;0,"Overdue",IF($G859&lt;=30,"Due &lt;=30",IF($G859&lt;=60,"Due 31-60","OK")))))</f>
        <v/>
      </c>
      <c r="I859" s="54"/>
      <c r="J859" s="54"/>
      <c r="K859" s="54"/>
      <c r="L859" s="54"/>
      <c r="M859" s="105">
        <f>IF($F859="","",$F859+ROW()/100000)</f>
        <v/>
      </c>
    </row>
    <row r="860" spans="1:13">
      <c r="A860" s="54"/>
      <c r="B860" s="54"/>
      <c r="C860" s="52"/>
      <c r="D860" s="83">
        <f>IF($B860="","",IFERROR(IF(VLOOKUP($B860,Reference!$A$6:$C$27,3,FALSE)&gt;0,VLOOKUP($B860,Reference!$A$6:$C$27,3,FALSE),""),""))</f>
        <v/>
      </c>
      <c r="E860" s="53"/>
      <c r="F860" s="82">
        <f>IF(OR($A860="",$B860="",NOT(ISNUMBER($C860))),"",IF(ISNUMBER($E860),IF($E860&gt;0,EDATE($C860,$E860),""),IF(ISNUMBER($D860),EDATE($C860,$D860),"")))</f>
        <v/>
      </c>
      <c r="G860" s="83">
        <f>IF($F860="","",$F860-TODAY())</f>
        <v/>
      </c>
      <c r="H860" s="85">
        <f>IF(OR($A860="",$B860=""),"",IF($F860="","No date",IF($G860&lt;0,"Overdue",IF($G860&lt;=30,"Due &lt;=30",IF($G860&lt;=60,"Due 31-60","OK")))))</f>
        <v/>
      </c>
      <c r="I860" s="54"/>
      <c r="J860" s="54"/>
      <c r="K860" s="54"/>
      <c r="L860" s="54"/>
      <c r="M860" s="105">
        <f>IF($F860="","",$F860+ROW()/100000)</f>
        <v/>
      </c>
    </row>
    <row r="861" spans="1:13">
      <c r="A861" s="54"/>
      <c r="B861" s="54"/>
      <c r="C861" s="52"/>
      <c r="D861" s="83">
        <f>IF($B861="","",IFERROR(IF(VLOOKUP($B861,Reference!$A$6:$C$27,3,FALSE)&gt;0,VLOOKUP($B861,Reference!$A$6:$C$27,3,FALSE),""),""))</f>
        <v/>
      </c>
      <c r="E861" s="53"/>
      <c r="F861" s="82">
        <f>IF(OR($A861="",$B861="",NOT(ISNUMBER($C861))),"",IF(ISNUMBER($E861),IF($E861&gt;0,EDATE($C861,$E861),""),IF(ISNUMBER($D861),EDATE($C861,$D861),"")))</f>
        <v/>
      </c>
      <c r="G861" s="83">
        <f>IF($F861="","",$F861-TODAY())</f>
        <v/>
      </c>
      <c r="H861" s="85">
        <f>IF(OR($A861="",$B861=""),"",IF($F861="","No date",IF($G861&lt;0,"Overdue",IF($G861&lt;=30,"Due &lt;=30",IF($G861&lt;=60,"Due 31-60","OK")))))</f>
        <v/>
      </c>
      <c r="I861" s="54"/>
      <c r="J861" s="54"/>
      <c r="K861" s="54"/>
      <c r="L861" s="54"/>
      <c r="M861" s="105">
        <f>IF($F861="","",$F861+ROW()/100000)</f>
        <v/>
      </c>
    </row>
    <row r="862" spans="1:13">
      <c r="A862" s="54"/>
      <c r="B862" s="54"/>
      <c r="C862" s="52"/>
      <c r="D862" s="83">
        <f>IF($B862="","",IFERROR(IF(VLOOKUP($B862,Reference!$A$6:$C$27,3,FALSE)&gt;0,VLOOKUP($B862,Reference!$A$6:$C$27,3,FALSE),""),""))</f>
        <v/>
      </c>
      <c r="E862" s="53"/>
      <c r="F862" s="82">
        <f>IF(OR($A862="",$B862="",NOT(ISNUMBER($C862))),"",IF(ISNUMBER($E862),IF($E862&gt;0,EDATE($C862,$E862),""),IF(ISNUMBER($D862),EDATE($C862,$D862),"")))</f>
        <v/>
      </c>
      <c r="G862" s="83">
        <f>IF($F862="","",$F862-TODAY())</f>
        <v/>
      </c>
      <c r="H862" s="85">
        <f>IF(OR($A862="",$B862=""),"",IF($F862="","No date",IF($G862&lt;0,"Overdue",IF($G862&lt;=30,"Due &lt;=30",IF($G862&lt;=60,"Due 31-60","OK")))))</f>
        <v/>
      </c>
      <c r="I862" s="54"/>
      <c r="J862" s="54"/>
      <c r="K862" s="54"/>
      <c r="L862" s="54"/>
      <c r="M862" s="105">
        <f>IF($F862="","",$F862+ROW()/100000)</f>
        <v/>
      </c>
    </row>
    <row r="863" spans="1:13">
      <c r="A863" s="54"/>
      <c r="B863" s="54"/>
      <c r="C863" s="52"/>
      <c r="D863" s="83">
        <f>IF($B863="","",IFERROR(IF(VLOOKUP($B863,Reference!$A$6:$C$27,3,FALSE)&gt;0,VLOOKUP($B863,Reference!$A$6:$C$27,3,FALSE),""),""))</f>
        <v/>
      </c>
      <c r="E863" s="53"/>
      <c r="F863" s="82">
        <f>IF(OR($A863="",$B863="",NOT(ISNUMBER($C863))),"",IF(ISNUMBER($E863),IF($E863&gt;0,EDATE($C863,$E863),""),IF(ISNUMBER($D863),EDATE($C863,$D863),"")))</f>
        <v/>
      </c>
      <c r="G863" s="83">
        <f>IF($F863="","",$F863-TODAY())</f>
        <v/>
      </c>
      <c r="H863" s="85">
        <f>IF(OR($A863="",$B863=""),"",IF($F863="","No date",IF($G863&lt;0,"Overdue",IF($G863&lt;=30,"Due &lt;=30",IF($G863&lt;=60,"Due 31-60","OK")))))</f>
        <v/>
      </c>
      <c r="I863" s="54"/>
      <c r="J863" s="54"/>
      <c r="K863" s="54"/>
      <c r="L863" s="54"/>
      <c r="M863" s="105">
        <f>IF($F863="","",$F863+ROW()/100000)</f>
        <v/>
      </c>
    </row>
    <row r="864" spans="1:13">
      <c r="A864" s="54"/>
      <c r="B864" s="54"/>
      <c r="C864" s="52"/>
      <c r="D864" s="83">
        <f>IF($B864="","",IFERROR(IF(VLOOKUP($B864,Reference!$A$6:$C$27,3,FALSE)&gt;0,VLOOKUP($B864,Reference!$A$6:$C$27,3,FALSE),""),""))</f>
        <v/>
      </c>
      <c r="E864" s="53"/>
      <c r="F864" s="82">
        <f>IF(OR($A864="",$B864="",NOT(ISNUMBER($C864))),"",IF(ISNUMBER($E864),IF($E864&gt;0,EDATE($C864,$E864),""),IF(ISNUMBER($D864),EDATE($C864,$D864),"")))</f>
        <v/>
      </c>
      <c r="G864" s="83">
        <f>IF($F864="","",$F864-TODAY())</f>
        <v/>
      </c>
      <c r="H864" s="85">
        <f>IF(OR($A864="",$B864=""),"",IF($F864="","No date",IF($G864&lt;0,"Overdue",IF($G864&lt;=30,"Due &lt;=30",IF($G864&lt;=60,"Due 31-60","OK")))))</f>
        <v/>
      </c>
      <c r="I864" s="54"/>
      <c r="J864" s="54"/>
      <c r="K864" s="54"/>
      <c r="L864" s="54"/>
      <c r="M864" s="105">
        <f>IF($F864="","",$F864+ROW()/100000)</f>
        <v/>
      </c>
    </row>
    <row r="865" spans="1:13">
      <c r="A865" s="54"/>
      <c r="B865" s="54"/>
      <c r="C865" s="52"/>
      <c r="D865" s="83">
        <f>IF($B865="","",IFERROR(IF(VLOOKUP($B865,Reference!$A$6:$C$27,3,FALSE)&gt;0,VLOOKUP($B865,Reference!$A$6:$C$27,3,FALSE),""),""))</f>
        <v/>
      </c>
      <c r="E865" s="53"/>
      <c r="F865" s="82">
        <f>IF(OR($A865="",$B865="",NOT(ISNUMBER($C865))),"",IF(ISNUMBER($E865),IF($E865&gt;0,EDATE($C865,$E865),""),IF(ISNUMBER($D865),EDATE($C865,$D865),"")))</f>
        <v/>
      </c>
      <c r="G865" s="83">
        <f>IF($F865="","",$F865-TODAY())</f>
        <v/>
      </c>
      <c r="H865" s="85">
        <f>IF(OR($A865="",$B865=""),"",IF($F865="","No date",IF($G865&lt;0,"Overdue",IF($G865&lt;=30,"Due &lt;=30",IF($G865&lt;=60,"Due 31-60","OK")))))</f>
        <v/>
      </c>
      <c r="I865" s="54"/>
      <c r="J865" s="54"/>
      <c r="K865" s="54"/>
      <c r="L865" s="54"/>
      <c r="M865" s="105">
        <f>IF($F865="","",$F865+ROW()/100000)</f>
        <v/>
      </c>
    </row>
    <row r="866" spans="1:13">
      <c r="A866" s="54"/>
      <c r="B866" s="54"/>
      <c r="C866" s="52"/>
      <c r="D866" s="83">
        <f>IF($B866="","",IFERROR(IF(VLOOKUP($B866,Reference!$A$6:$C$27,3,FALSE)&gt;0,VLOOKUP($B866,Reference!$A$6:$C$27,3,FALSE),""),""))</f>
        <v/>
      </c>
      <c r="E866" s="53"/>
      <c r="F866" s="82">
        <f>IF(OR($A866="",$B866="",NOT(ISNUMBER($C866))),"",IF(ISNUMBER($E866),IF($E866&gt;0,EDATE($C866,$E866),""),IF(ISNUMBER($D866),EDATE($C866,$D866),"")))</f>
        <v/>
      </c>
      <c r="G866" s="83">
        <f>IF($F866="","",$F866-TODAY())</f>
        <v/>
      </c>
      <c r="H866" s="85">
        <f>IF(OR($A866="",$B866=""),"",IF($F866="","No date",IF($G866&lt;0,"Overdue",IF($G866&lt;=30,"Due &lt;=30",IF($G866&lt;=60,"Due 31-60","OK")))))</f>
        <v/>
      </c>
      <c r="I866" s="54"/>
      <c r="J866" s="54"/>
      <c r="K866" s="54"/>
      <c r="L866" s="54"/>
      <c r="M866" s="105">
        <f>IF($F866="","",$F866+ROW()/100000)</f>
        <v/>
      </c>
    </row>
    <row r="867" spans="1:13">
      <c r="A867" s="54"/>
      <c r="B867" s="54"/>
      <c r="C867" s="52"/>
      <c r="D867" s="83">
        <f>IF($B867="","",IFERROR(IF(VLOOKUP($B867,Reference!$A$6:$C$27,3,FALSE)&gt;0,VLOOKUP($B867,Reference!$A$6:$C$27,3,FALSE),""),""))</f>
        <v/>
      </c>
      <c r="E867" s="53"/>
      <c r="F867" s="82">
        <f>IF(OR($A867="",$B867="",NOT(ISNUMBER($C867))),"",IF(ISNUMBER($E867),IF($E867&gt;0,EDATE($C867,$E867),""),IF(ISNUMBER($D867),EDATE($C867,$D867),"")))</f>
        <v/>
      </c>
      <c r="G867" s="83">
        <f>IF($F867="","",$F867-TODAY())</f>
        <v/>
      </c>
      <c r="H867" s="85">
        <f>IF(OR($A867="",$B867=""),"",IF($F867="","No date",IF($G867&lt;0,"Overdue",IF($G867&lt;=30,"Due &lt;=30",IF($G867&lt;=60,"Due 31-60","OK")))))</f>
        <v/>
      </c>
      <c r="I867" s="54"/>
      <c r="J867" s="54"/>
      <c r="K867" s="54"/>
      <c r="L867" s="54"/>
      <c r="M867" s="105">
        <f>IF($F867="","",$F867+ROW()/100000)</f>
        <v/>
      </c>
    </row>
    <row r="868" spans="1:13">
      <c r="A868" s="54"/>
      <c r="B868" s="54"/>
      <c r="C868" s="52"/>
      <c r="D868" s="83">
        <f>IF($B868="","",IFERROR(IF(VLOOKUP($B868,Reference!$A$6:$C$27,3,FALSE)&gt;0,VLOOKUP($B868,Reference!$A$6:$C$27,3,FALSE),""),""))</f>
        <v/>
      </c>
      <c r="E868" s="53"/>
      <c r="F868" s="82">
        <f>IF(OR($A868="",$B868="",NOT(ISNUMBER($C868))),"",IF(ISNUMBER($E868),IF($E868&gt;0,EDATE($C868,$E868),""),IF(ISNUMBER($D868),EDATE($C868,$D868),"")))</f>
        <v/>
      </c>
      <c r="G868" s="83">
        <f>IF($F868="","",$F868-TODAY())</f>
        <v/>
      </c>
      <c r="H868" s="85">
        <f>IF(OR($A868="",$B868=""),"",IF($F868="","No date",IF($G868&lt;0,"Overdue",IF($G868&lt;=30,"Due &lt;=30",IF($G868&lt;=60,"Due 31-60","OK")))))</f>
        <v/>
      </c>
      <c r="I868" s="54"/>
      <c r="J868" s="54"/>
      <c r="K868" s="54"/>
      <c r="L868" s="54"/>
      <c r="M868" s="105">
        <f>IF($F868="","",$F868+ROW()/100000)</f>
        <v/>
      </c>
    </row>
    <row r="869" spans="1:13">
      <c r="A869" s="54"/>
      <c r="B869" s="54"/>
      <c r="C869" s="52"/>
      <c r="D869" s="83">
        <f>IF($B869="","",IFERROR(IF(VLOOKUP($B869,Reference!$A$6:$C$27,3,FALSE)&gt;0,VLOOKUP($B869,Reference!$A$6:$C$27,3,FALSE),""),""))</f>
        <v/>
      </c>
      <c r="E869" s="53"/>
      <c r="F869" s="82">
        <f>IF(OR($A869="",$B869="",NOT(ISNUMBER($C869))),"",IF(ISNUMBER($E869),IF($E869&gt;0,EDATE($C869,$E869),""),IF(ISNUMBER($D869),EDATE($C869,$D869),"")))</f>
        <v/>
      </c>
      <c r="G869" s="83">
        <f>IF($F869="","",$F869-TODAY())</f>
        <v/>
      </c>
      <c r="H869" s="85">
        <f>IF(OR($A869="",$B869=""),"",IF($F869="","No date",IF($G869&lt;0,"Overdue",IF($G869&lt;=30,"Due &lt;=30",IF($G869&lt;=60,"Due 31-60","OK")))))</f>
        <v/>
      </c>
      <c r="I869" s="54"/>
      <c r="J869" s="54"/>
      <c r="K869" s="54"/>
      <c r="L869" s="54"/>
      <c r="M869" s="105">
        <f>IF($F869="","",$F869+ROW()/100000)</f>
        <v/>
      </c>
    </row>
    <row r="870" spans="1:13">
      <c r="A870" s="54"/>
      <c r="B870" s="54"/>
      <c r="C870" s="52"/>
      <c r="D870" s="83">
        <f>IF($B870="","",IFERROR(IF(VLOOKUP($B870,Reference!$A$6:$C$27,3,FALSE)&gt;0,VLOOKUP($B870,Reference!$A$6:$C$27,3,FALSE),""),""))</f>
        <v/>
      </c>
      <c r="E870" s="53"/>
      <c r="F870" s="82">
        <f>IF(OR($A870="",$B870="",NOT(ISNUMBER($C870))),"",IF(ISNUMBER($E870),IF($E870&gt;0,EDATE($C870,$E870),""),IF(ISNUMBER($D870),EDATE($C870,$D870),"")))</f>
        <v/>
      </c>
      <c r="G870" s="83">
        <f>IF($F870="","",$F870-TODAY())</f>
        <v/>
      </c>
      <c r="H870" s="85">
        <f>IF(OR($A870="",$B870=""),"",IF($F870="","No date",IF($G870&lt;0,"Overdue",IF($G870&lt;=30,"Due &lt;=30",IF($G870&lt;=60,"Due 31-60","OK")))))</f>
        <v/>
      </c>
      <c r="I870" s="54"/>
      <c r="J870" s="54"/>
      <c r="K870" s="54"/>
      <c r="L870" s="54"/>
      <c r="M870" s="105">
        <f>IF($F870="","",$F870+ROW()/100000)</f>
        <v/>
      </c>
    </row>
    <row r="871" spans="1:13">
      <c r="A871" s="54"/>
      <c r="B871" s="54"/>
      <c r="C871" s="52"/>
      <c r="D871" s="83">
        <f>IF($B871="","",IFERROR(IF(VLOOKUP($B871,Reference!$A$6:$C$27,3,FALSE)&gt;0,VLOOKUP($B871,Reference!$A$6:$C$27,3,FALSE),""),""))</f>
        <v/>
      </c>
      <c r="E871" s="53"/>
      <c r="F871" s="82">
        <f>IF(OR($A871="",$B871="",NOT(ISNUMBER($C871))),"",IF(ISNUMBER($E871),IF($E871&gt;0,EDATE($C871,$E871),""),IF(ISNUMBER($D871),EDATE($C871,$D871),"")))</f>
        <v/>
      </c>
      <c r="G871" s="83">
        <f>IF($F871="","",$F871-TODAY())</f>
        <v/>
      </c>
      <c r="H871" s="85">
        <f>IF(OR($A871="",$B871=""),"",IF($F871="","No date",IF($G871&lt;0,"Overdue",IF($G871&lt;=30,"Due &lt;=30",IF($G871&lt;=60,"Due 31-60","OK")))))</f>
        <v/>
      </c>
      <c r="I871" s="54"/>
      <c r="J871" s="54"/>
      <c r="K871" s="54"/>
      <c r="L871" s="54"/>
      <c r="M871" s="105">
        <f>IF($F871="","",$F871+ROW()/100000)</f>
        <v/>
      </c>
    </row>
    <row r="872" spans="1:13">
      <c r="A872" s="54"/>
      <c r="B872" s="54"/>
      <c r="C872" s="52"/>
      <c r="D872" s="83">
        <f>IF($B872="","",IFERROR(IF(VLOOKUP($B872,Reference!$A$6:$C$27,3,FALSE)&gt;0,VLOOKUP($B872,Reference!$A$6:$C$27,3,FALSE),""),""))</f>
        <v/>
      </c>
      <c r="E872" s="53"/>
      <c r="F872" s="82">
        <f>IF(OR($A872="",$B872="",NOT(ISNUMBER($C872))),"",IF(ISNUMBER($E872),IF($E872&gt;0,EDATE($C872,$E872),""),IF(ISNUMBER($D872),EDATE($C872,$D872),"")))</f>
        <v/>
      </c>
      <c r="G872" s="83">
        <f>IF($F872="","",$F872-TODAY())</f>
        <v/>
      </c>
      <c r="H872" s="85">
        <f>IF(OR($A872="",$B872=""),"",IF($F872="","No date",IF($G872&lt;0,"Overdue",IF($G872&lt;=30,"Due &lt;=30",IF($G872&lt;=60,"Due 31-60","OK")))))</f>
        <v/>
      </c>
      <c r="I872" s="54"/>
      <c r="J872" s="54"/>
      <c r="K872" s="54"/>
      <c r="L872" s="54"/>
      <c r="M872" s="105">
        <f>IF($F872="","",$F872+ROW()/100000)</f>
        <v/>
      </c>
    </row>
    <row r="873" spans="1:13">
      <c r="A873" s="54"/>
      <c r="B873" s="54"/>
      <c r="C873" s="52"/>
      <c r="D873" s="83">
        <f>IF($B873="","",IFERROR(IF(VLOOKUP($B873,Reference!$A$6:$C$27,3,FALSE)&gt;0,VLOOKUP($B873,Reference!$A$6:$C$27,3,FALSE),""),""))</f>
        <v/>
      </c>
      <c r="E873" s="53"/>
      <c r="F873" s="82">
        <f>IF(OR($A873="",$B873="",NOT(ISNUMBER($C873))),"",IF(ISNUMBER($E873),IF($E873&gt;0,EDATE($C873,$E873),""),IF(ISNUMBER($D873),EDATE($C873,$D873),"")))</f>
        <v/>
      </c>
      <c r="G873" s="83">
        <f>IF($F873="","",$F873-TODAY())</f>
        <v/>
      </c>
      <c r="H873" s="85">
        <f>IF(OR($A873="",$B873=""),"",IF($F873="","No date",IF($G873&lt;0,"Overdue",IF($G873&lt;=30,"Due &lt;=30",IF($G873&lt;=60,"Due 31-60","OK")))))</f>
        <v/>
      </c>
      <c r="I873" s="54"/>
      <c r="J873" s="54"/>
      <c r="K873" s="54"/>
      <c r="L873" s="54"/>
      <c r="M873" s="105">
        <f>IF($F873="","",$F873+ROW()/100000)</f>
        <v/>
      </c>
    </row>
    <row r="874" spans="1:13">
      <c r="A874" s="54"/>
      <c r="B874" s="54"/>
      <c r="C874" s="52"/>
      <c r="D874" s="83">
        <f>IF($B874="","",IFERROR(IF(VLOOKUP($B874,Reference!$A$6:$C$27,3,FALSE)&gt;0,VLOOKUP($B874,Reference!$A$6:$C$27,3,FALSE),""),""))</f>
        <v/>
      </c>
      <c r="E874" s="53"/>
      <c r="F874" s="82">
        <f>IF(OR($A874="",$B874="",NOT(ISNUMBER($C874))),"",IF(ISNUMBER($E874),IF($E874&gt;0,EDATE($C874,$E874),""),IF(ISNUMBER($D874),EDATE($C874,$D874),"")))</f>
        <v/>
      </c>
      <c r="G874" s="83">
        <f>IF($F874="","",$F874-TODAY())</f>
        <v/>
      </c>
      <c r="H874" s="85">
        <f>IF(OR($A874="",$B874=""),"",IF($F874="","No date",IF($G874&lt;0,"Overdue",IF($G874&lt;=30,"Due &lt;=30",IF($G874&lt;=60,"Due 31-60","OK")))))</f>
        <v/>
      </c>
      <c r="I874" s="54"/>
      <c r="J874" s="54"/>
      <c r="K874" s="54"/>
      <c r="L874" s="54"/>
      <c r="M874" s="105">
        <f>IF($F874="","",$F874+ROW()/100000)</f>
        <v/>
      </c>
    </row>
    <row r="875" spans="1:13">
      <c r="A875" s="54"/>
      <c r="B875" s="54"/>
      <c r="C875" s="52"/>
      <c r="D875" s="83">
        <f>IF($B875="","",IFERROR(IF(VLOOKUP($B875,Reference!$A$6:$C$27,3,FALSE)&gt;0,VLOOKUP($B875,Reference!$A$6:$C$27,3,FALSE),""),""))</f>
        <v/>
      </c>
      <c r="E875" s="53"/>
      <c r="F875" s="82">
        <f>IF(OR($A875="",$B875="",NOT(ISNUMBER($C875))),"",IF(ISNUMBER($E875),IF($E875&gt;0,EDATE($C875,$E875),""),IF(ISNUMBER($D875),EDATE($C875,$D875),"")))</f>
        <v/>
      </c>
      <c r="G875" s="83">
        <f>IF($F875="","",$F875-TODAY())</f>
        <v/>
      </c>
      <c r="H875" s="85">
        <f>IF(OR($A875="",$B875=""),"",IF($F875="","No date",IF($G875&lt;0,"Overdue",IF($G875&lt;=30,"Due &lt;=30",IF($G875&lt;=60,"Due 31-60","OK")))))</f>
        <v/>
      </c>
      <c r="I875" s="54"/>
      <c r="J875" s="54"/>
      <c r="K875" s="54"/>
      <c r="L875" s="54"/>
      <c r="M875" s="105">
        <f>IF($F875="","",$F875+ROW()/100000)</f>
        <v/>
      </c>
    </row>
    <row r="876" spans="1:13">
      <c r="A876" s="54"/>
      <c r="B876" s="54"/>
      <c r="C876" s="52"/>
      <c r="D876" s="83">
        <f>IF($B876="","",IFERROR(IF(VLOOKUP($B876,Reference!$A$6:$C$27,3,FALSE)&gt;0,VLOOKUP($B876,Reference!$A$6:$C$27,3,FALSE),""),""))</f>
        <v/>
      </c>
      <c r="E876" s="53"/>
      <c r="F876" s="82">
        <f>IF(OR($A876="",$B876="",NOT(ISNUMBER($C876))),"",IF(ISNUMBER($E876),IF($E876&gt;0,EDATE($C876,$E876),""),IF(ISNUMBER($D876),EDATE($C876,$D876),"")))</f>
        <v/>
      </c>
      <c r="G876" s="83">
        <f>IF($F876="","",$F876-TODAY())</f>
        <v/>
      </c>
      <c r="H876" s="85">
        <f>IF(OR($A876="",$B876=""),"",IF($F876="","No date",IF($G876&lt;0,"Overdue",IF($G876&lt;=30,"Due &lt;=30",IF($G876&lt;=60,"Due 31-60","OK")))))</f>
        <v/>
      </c>
      <c r="I876" s="54"/>
      <c r="J876" s="54"/>
      <c r="K876" s="54"/>
      <c r="L876" s="54"/>
      <c r="M876" s="105">
        <f>IF($F876="","",$F876+ROW()/100000)</f>
        <v/>
      </c>
    </row>
    <row r="877" spans="1:13">
      <c r="A877" s="54"/>
      <c r="B877" s="54"/>
      <c r="C877" s="52"/>
      <c r="D877" s="83">
        <f>IF($B877="","",IFERROR(IF(VLOOKUP($B877,Reference!$A$6:$C$27,3,FALSE)&gt;0,VLOOKUP($B877,Reference!$A$6:$C$27,3,FALSE),""),""))</f>
        <v/>
      </c>
      <c r="E877" s="53"/>
      <c r="F877" s="82">
        <f>IF(OR($A877="",$B877="",NOT(ISNUMBER($C877))),"",IF(ISNUMBER($E877),IF($E877&gt;0,EDATE($C877,$E877),""),IF(ISNUMBER($D877),EDATE($C877,$D877),"")))</f>
        <v/>
      </c>
      <c r="G877" s="83">
        <f>IF($F877="","",$F877-TODAY())</f>
        <v/>
      </c>
      <c r="H877" s="85">
        <f>IF(OR($A877="",$B877=""),"",IF($F877="","No date",IF($G877&lt;0,"Overdue",IF($G877&lt;=30,"Due &lt;=30",IF($G877&lt;=60,"Due 31-60","OK")))))</f>
        <v/>
      </c>
      <c r="I877" s="54"/>
      <c r="J877" s="54"/>
      <c r="K877" s="54"/>
      <c r="L877" s="54"/>
      <c r="M877" s="105">
        <f>IF($F877="","",$F877+ROW()/100000)</f>
        <v/>
      </c>
    </row>
    <row r="878" spans="1:13">
      <c r="A878" s="54"/>
      <c r="B878" s="54"/>
      <c r="C878" s="52"/>
      <c r="D878" s="83">
        <f>IF($B878="","",IFERROR(IF(VLOOKUP($B878,Reference!$A$6:$C$27,3,FALSE)&gt;0,VLOOKUP($B878,Reference!$A$6:$C$27,3,FALSE),""),""))</f>
        <v/>
      </c>
      <c r="E878" s="53"/>
      <c r="F878" s="82">
        <f>IF(OR($A878="",$B878="",NOT(ISNUMBER($C878))),"",IF(ISNUMBER($E878),IF($E878&gt;0,EDATE($C878,$E878),""),IF(ISNUMBER($D878),EDATE($C878,$D878),"")))</f>
        <v/>
      </c>
      <c r="G878" s="83">
        <f>IF($F878="","",$F878-TODAY())</f>
        <v/>
      </c>
      <c r="H878" s="85">
        <f>IF(OR($A878="",$B878=""),"",IF($F878="","No date",IF($G878&lt;0,"Overdue",IF($G878&lt;=30,"Due &lt;=30",IF($G878&lt;=60,"Due 31-60","OK")))))</f>
        <v/>
      </c>
      <c r="I878" s="54"/>
      <c r="J878" s="54"/>
      <c r="K878" s="54"/>
      <c r="L878" s="54"/>
      <c r="M878" s="105">
        <f>IF($F878="","",$F878+ROW()/100000)</f>
        <v/>
      </c>
    </row>
    <row r="879" spans="1:13">
      <c r="A879" s="54"/>
      <c r="B879" s="54"/>
      <c r="C879" s="52"/>
      <c r="D879" s="83">
        <f>IF($B879="","",IFERROR(IF(VLOOKUP($B879,Reference!$A$6:$C$27,3,FALSE)&gt;0,VLOOKUP($B879,Reference!$A$6:$C$27,3,FALSE),""),""))</f>
        <v/>
      </c>
      <c r="E879" s="53"/>
      <c r="F879" s="82">
        <f>IF(OR($A879="",$B879="",NOT(ISNUMBER($C879))),"",IF(ISNUMBER($E879),IF($E879&gt;0,EDATE($C879,$E879),""),IF(ISNUMBER($D879),EDATE($C879,$D879),"")))</f>
        <v/>
      </c>
      <c r="G879" s="83">
        <f>IF($F879="","",$F879-TODAY())</f>
        <v/>
      </c>
      <c r="H879" s="85">
        <f>IF(OR($A879="",$B879=""),"",IF($F879="","No date",IF($G879&lt;0,"Overdue",IF($G879&lt;=30,"Due &lt;=30",IF($G879&lt;=60,"Due 31-60","OK")))))</f>
        <v/>
      </c>
      <c r="I879" s="54"/>
      <c r="J879" s="54"/>
      <c r="K879" s="54"/>
      <c r="L879" s="54"/>
      <c r="M879" s="105">
        <f>IF($F879="","",$F879+ROW()/100000)</f>
        <v/>
      </c>
    </row>
    <row r="880" spans="1:13">
      <c r="A880" s="54"/>
      <c r="B880" s="54"/>
      <c r="C880" s="52"/>
      <c r="D880" s="83">
        <f>IF($B880="","",IFERROR(IF(VLOOKUP($B880,Reference!$A$6:$C$27,3,FALSE)&gt;0,VLOOKUP($B880,Reference!$A$6:$C$27,3,FALSE),""),""))</f>
        <v/>
      </c>
      <c r="E880" s="53"/>
      <c r="F880" s="82">
        <f>IF(OR($A880="",$B880="",NOT(ISNUMBER($C880))),"",IF(ISNUMBER($E880),IF($E880&gt;0,EDATE($C880,$E880),""),IF(ISNUMBER($D880),EDATE($C880,$D880),"")))</f>
        <v/>
      </c>
      <c r="G880" s="83">
        <f>IF($F880="","",$F880-TODAY())</f>
        <v/>
      </c>
      <c r="H880" s="85">
        <f>IF(OR($A880="",$B880=""),"",IF($F880="","No date",IF($G880&lt;0,"Overdue",IF($G880&lt;=30,"Due &lt;=30",IF($G880&lt;=60,"Due 31-60","OK")))))</f>
        <v/>
      </c>
      <c r="I880" s="54"/>
      <c r="J880" s="54"/>
      <c r="K880" s="54"/>
      <c r="L880" s="54"/>
      <c r="M880" s="105">
        <f>IF($F880="","",$F880+ROW()/100000)</f>
        <v/>
      </c>
    </row>
    <row r="881" spans="1:13">
      <c r="A881" s="54"/>
      <c r="B881" s="54"/>
      <c r="C881" s="52"/>
      <c r="D881" s="83">
        <f>IF($B881="","",IFERROR(IF(VLOOKUP($B881,Reference!$A$6:$C$27,3,FALSE)&gt;0,VLOOKUP($B881,Reference!$A$6:$C$27,3,FALSE),""),""))</f>
        <v/>
      </c>
      <c r="E881" s="53"/>
      <c r="F881" s="82">
        <f>IF(OR($A881="",$B881="",NOT(ISNUMBER($C881))),"",IF(ISNUMBER($E881),IF($E881&gt;0,EDATE($C881,$E881),""),IF(ISNUMBER($D881),EDATE($C881,$D881),"")))</f>
        <v/>
      </c>
      <c r="G881" s="83">
        <f>IF($F881="","",$F881-TODAY())</f>
        <v/>
      </c>
      <c r="H881" s="85">
        <f>IF(OR($A881="",$B881=""),"",IF($F881="","No date",IF($G881&lt;0,"Overdue",IF($G881&lt;=30,"Due &lt;=30",IF($G881&lt;=60,"Due 31-60","OK")))))</f>
        <v/>
      </c>
      <c r="I881" s="54"/>
      <c r="J881" s="54"/>
      <c r="K881" s="54"/>
      <c r="L881" s="54"/>
      <c r="M881" s="105">
        <f>IF($F881="","",$F881+ROW()/100000)</f>
        <v/>
      </c>
    </row>
    <row r="882" spans="1:13">
      <c r="A882" s="54"/>
      <c r="B882" s="54"/>
      <c r="C882" s="52"/>
      <c r="D882" s="83">
        <f>IF($B882="","",IFERROR(IF(VLOOKUP($B882,Reference!$A$6:$C$27,3,FALSE)&gt;0,VLOOKUP($B882,Reference!$A$6:$C$27,3,FALSE),""),""))</f>
        <v/>
      </c>
      <c r="E882" s="53"/>
      <c r="F882" s="82">
        <f>IF(OR($A882="",$B882="",NOT(ISNUMBER($C882))),"",IF(ISNUMBER($E882),IF($E882&gt;0,EDATE($C882,$E882),""),IF(ISNUMBER($D882),EDATE($C882,$D882),"")))</f>
        <v/>
      </c>
      <c r="G882" s="83">
        <f>IF($F882="","",$F882-TODAY())</f>
        <v/>
      </c>
      <c r="H882" s="85">
        <f>IF(OR($A882="",$B882=""),"",IF($F882="","No date",IF($G882&lt;0,"Overdue",IF($G882&lt;=30,"Due &lt;=30",IF($G882&lt;=60,"Due 31-60","OK")))))</f>
        <v/>
      </c>
      <c r="I882" s="54"/>
      <c r="J882" s="54"/>
      <c r="K882" s="54"/>
      <c r="L882" s="54"/>
      <c r="M882" s="105">
        <f>IF($F882="","",$F882+ROW()/100000)</f>
        <v/>
      </c>
    </row>
    <row r="883" spans="1:13">
      <c r="A883" s="54"/>
      <c r="B883" s="54"/>
      <c r="C883" s="52"/>
      <c r="D883" s="83">
        <f>IF($B883="","",IFERROR(IF(VLOOKUP($B883,Reference!$A$6:$C$27,3,FALSE)&gt;0,VLOOKUP($B883,Reference!$A$6:$C$27,3,FALSE),""),""))</f>
        <v/>
      </c>
      <c r="E883" s="53"/>
      <c r="F883" s="82">
        <f>IF(OR($A883="",$B883="",NOT(ISNUMBER($C883))),"",IF(ISNUMBER($E883),IF($E883&gt;0,EDATE($C883,$E883),""),IF(ISNUMBER($D883),EDATE($C883,$D883),"")))</f>
        <v/>
      </c>
      <c r="G883" s="83">
        <f>IF($F883="","",$F883-TODAY())</f>
        <v/>
      </c>
      <c r="H883" s="85">
        <f>IF(OR($A883="",$B883=""),"",IF($F883="","No date",IF($G883&lt;0,"Overdue",IF($G883&lt;=30,"Due &lt;=30",IF($G883&lt;=60,"Due 31-60","OK")))))</f>
        <v/>
      </c>
      <c r="I883" s="54"/>
      <c r="J883" s="54"/>
      <c r="K883" s="54"/>
      <c r="L883" s="54"/>
      <c r="M883" s="105">
        <f>IF($F883="","",$F883+ROW()/100000)</f>
        <v/>
      </c>
    </row>
    <row r="884" spans="1:13">
      <c r="A884" s="54"/>
      <c r="B884" s="54"/>
      <c r="C884" s="52"/>
      <c r="D884" s="83">
        <f>IF($B884="","",IFERROR(IF(VLOOKUP($B884,Reference!$A$6:$C$27,3,FALSE)&gt;0,VLOOKUP($B884,Reference!$A$6:$C$27,3,FALSE),""),""))</f>
        <v/>
      </c>
      <c r="E884" s="53"/>
      <c r="F884" s="82">
        <f>IF(OR($A884="",$B884="",NOT(ISNUMBER($C884))),"",IF(ISNUMBER($E884),IF($E884&gt;0,EDATE($C884,$E884),""),IF(ISNUMBER($D884),EDATE($C884,$D884),"")))</f>
        <v/>
      </c>
      <c r="G884" s="83">
        <f>IF($F884="","",$F884-TODAY())</f>
        <v/>
      </c>
      <c r="H884" s="85">
        <f>IF(OR($A884="",$B884=""),"",IF($F884="","No date",IF($G884&lt;0,"Overdue",IF($G884&lt;=30,"Due &lt;=30",IF($G884&lt;=60,"Due 31-60","OK")))))</f>
        <v/>
      </c>
      <c r="I884" s="54"/>
      <c r="J884" s="54"/>
      <c r="K884" s="54"/>
      <c r="L884" s="54"/>
      <c r="M884" s="105">
        <f>IF($F884="","",$F884+ROW()/100000)</f>
        <v/>
      </c>
    </row>
    <row r="885" spans="1:13">
      <c r="A885" s="54"/>
      <c r="B885" s="54"/>
      <c r="C885" s="52"/>
      <c r="D885" s="83">
        <f>IF($B885="","",IFERROR(IF(VLOOKUP($B885,Reference!$A$6:$C$27,3,FALSE)&gt;0,VLOOKUP($B885,Reference!$A$6:$C$27,3,FALSE),""),""))</f>
        <v/>
      </c>
      <c r="E885" s="53"/>
      <c r="F885" s="82">
        <f>IF(OR($A885="",$B885="",NOT(ISNUMBER($C885))),"",IF(ISNUMBER($E885),IF($E885&gt;0,EDATE($C885,$E885),""),IF(ISNUMBER($D885),EDATE($C885,$D885),"")))</f>
        <v/>
      </c>
      <c r="G885" s="83">
        <f>IF($F885="","",$F885-TODAY())</f>
        <v/>
      </c>
      <c r="H885" s="85">
        <f>IF(OR($A885="",$B885=""),"",IF($F885="","No date",IF($G885&lt;0,"Overdue",IF($G885&lt;=30,"Due &lt;=30",IF($G885&lt;=60,"Due 31-60","OK")))))</f>
        <v/>
      </c>
      <c r="I885" s="54"/>
      <c r="J885" s="54"/>
      <c r="K885" s="54"/>
      <c r="L885" s="54"/>
      <c r="M885" s="105">
        <f>IF($F885="","",$F885+ROW()/100000)</f>
        <v/>
      </c>
    </row>
    <row r="886" spans="1:13">
      <c r="A886" s="54"/>
      <c r="B886" s="54"/>
      <c r="C886" s="52"/>
      <c r="D886" s="83">
        <f>IF($B886="","",IFERROR(IF(VLOOKUP($B886,Reference!$A$6:$C$27,3,FALSE)&gt;0,VLOOKUP($B886,Reference!$A$6:$C$27,3,FALSE),""),""))</f>
        <v/>
      </c>
      <c r="E886" s="53"/>
      <c r="F886" s="82">
        <f>IF(OR($A886="",$B886="",NOT(ISNUMBER($C886))),"",IF(ISNUMBER($E886),IF($E886&gt;0,EDATE($C886,$E886),""),IF(ISNUMBER($D886),EDATE($C886,$D886),"")))</f>
        <v/>
      </c>
      <c r="G886" s="83">
        <f>IF($F886="","",$F886-TODAY())</f>
        <v/>
      </c>
      <c r="H886" s="85">
        <f>IF(OR($A886="",$B886=""),"",IF($F886="","No date",IF($G886&lt;0,"Overdue",IF($G886&lt;=30,"Due &lt;=30",IF($G886&lt;=60,"Due 31-60","OK")))))</f>
        <v/>
      </c>
      <c r="I886" s="54"/>
      <c r="J886" s="54"/>
      <c r="K886" s="54"/>
      <c r="L886" s="54"/>
      <c r="M886" s="105">
        <f>IF($F886="","",$F886+ROW()/100000)</f>
        <v/>
      </c>
    </row>
    <row r="887" spans="1:13">
      <c r="A887" s="54"/>
      <c r="B887" s="54"/>
      <c r="C887" s="52"/>
      <c r="D887" s="83">
        <f>IF($B887="","",IFERROR(IF(VLOOKUP($B887,Reference!$A$6:$C$27,3,FALSE)&gt;0,VLOOKUP($B887,Reference!$A$6:$C$27,3,FALSE),""),""))</f>
        <v/>
      </c>
      <c r="E887" s="53"/>
      <c r="F887" s="82">
        <f>IF(OR($A887="",$B887="",NOT(ISNUMBER($C887))),"",IF(ISNUMBER($E887),IF($E887&gt;0,EDATE($C887,$E887),""),IF(ISNUMBER($D887),EDATE($C887,$D887),"")))</f>
        <v/>
      </c>
      <c r="G887" s="83">
        <f>IF($F887="","",$F887-TODAY())</f>
        <v/>
      </c>
      <c r="H887" s="85">
        <f>IF(OR($A887="",$B887=""),"",IF($F887="","No date",IF($G887&lt;0,"Overdue",IF($G887&lt;=30,"Due &lt;=30",IF($G887&lt;=60,"Due 31-60","OK")))))</f>
        <v/>
      </c>
      <c r="I887" s="54"/>
      <c r="J887" s="54"/>
      <c r="K887" s="54"/>
      <c r="L887" s="54"/>
      <c r="M887" s="105">
        <f>IF($F887="","",$F887+ROW()/100000)</f>
        <v/>
      </c>
    </row>
    <row r="888" spans="1:13">
      <c r="A888" s="54"/>
      <c r="B888" s="54"/>
      <c r="C888" s="52"/>
      <c r="D888" s="83">
        <f>IF($B888="","",IFERROR(IF(VLOOKUP($B888,Reference!$A$6:$C$27,3,FALSE)&gt;0,VLOOKUP($B888,Reference!$A$6:$C$27,3,FALSE),""),""))</f>
        <v/>
      </c>
      <c r="E888" s="53"/>
      <c r="F888" s="82">
        <f>IF(OR($A888="",$B888="",NOT(ISNUMBER($C888))),"",IF(ISNUMBER($E888),IF($E888&gt;0,EDATE($C888,$E888),""),IF(ISNUMBER($D888),EDATE($C888,$D888),"")))</f>
        <v/>
      </c>
      <c r="G888" s="83">
        <f>IF($F888="","",$F888-TODAY())</f>
        <v/>
      </c>
      <c r="H888" s="85">
        <f>IF(OR($A888="",$B888=""),"",IF($F888="","No date",IF($G888&lt;0,"Overdue",IF($G888&lt;=30,"Due &lt;=30",IF($G888&lt;=60,"Due 31-60","OK")))))</f>
        <v/>
      </c>
      <c r="I888" s="54"/>
      <c r="J888" s="54"/>
      <c r="K888" s="54"/>
      <c r="L888" s="54"/>
      <c r="M888" s="105">
        <f>IF($F888="","",$F888+ROW()/100000)</f>
        <v/>
      </c>
    </row>
    <row r="889" spans="1:13">
      <c r="A889" s="54"/>
      <c r="B889" s="54"/>
      <c r="C889" s="52"/>
      <c r="D889" s="83">
        <f>IF($B889="","",IFERROR(IF(VLOOKUP($B889,Reference!$A$6:$C$27,3,FALSE)&gt;0,VLOOKUP($B889,Reference!$A$6:$C$27,3,FALSE),""),""))</f>
        <v/>
      </c>
      <c r="E889" s="53"/>
      <c r="F889" s="82">
        <f>IF(OR($A889="",$B889="",NOT(ISNUMBER($C889))),"",IF(ISNUMBER($E889),IF($E889&gt;0,EDATE($C889,$E889),""),IF(ISNUMBER($D889),EDATE($C889,$D889),"")))</f>
        <v/>
      </c>
      <c r="G889" s="83">
        <f>IF($F889="","",$F889-TODAY())</f>
        <v/>
      </c>
      <c r="H889" s="85">
        <f>IF(OR($A889="",$B889=""),"",IF($F889="","No date",IF($G889&lt;0,"Overdue",IF($G889&lt;=30,"Due &lt;=30",IF($G889&lt;=60,"Due 31-60","OK")))))</f>
        <v/>
      </c>
      <c r="I889" s="54"/>
      <c r="J889" s="54"/>
      <c r="K889" s="54"/>
      <c r="L889" s="54"/>
      <c r="M889" s="105">
        <f>IF($F889="","",$F889+ROW()/100000)</f>
        <v/>
      </c>
    </row>
    <row r="890" spans="1:13">
      <c r="A890" s="54"/>
      <c r="B890" s="54"/>
      <c r="C890" s="52"/>
      <c r="D890" s="83">
        <f>IF($B890="","",IFERROR(IF(VLOOKUP($B890,Reference!$A$6:$C$27,3,FALSE)&gt;0,VLOOKUP($B890,Reference!$A$6:$C$27,3,FALSE),""),""))</f>
        <v/>
      </c>
      <c r="E890" s="53"/>
      <c r="F890" s="82">
        <f>IF(OR($A890="",$B890="",NOT(ISNUMBER($C890))),"",IF(ISNUMBER($E890),IF($E890&gt;0,EDATE($C890,$E890),""),IF(ISNUMBER($D890),EDATE($C890,$D890),"")))</f>
        <v/>
      </c>
      <c r="G890" s="83">
        <f>IF($F890="","",$F890-TODAY())</f>
        <v/>
      </c>
      <c r="H890" s="85">
        <f>IF(OR($A890="",$B890=""),"",IF($F890="","No date",IF($G890&lt;0,"Overdue",IF($G890&lt;=30,"Due &lt;=30",IF($G890&lt;=60,"Due 31-60","OK")))))</f>
        <v/>
      </c>
      <c r="I890" s="54"/>
      <c r="J890" s="54"/>
      <c r="K890" s="54"/>
      <c r="L890" s="54"/>
      <c r="M890" s="105">
        <f>IF($F890="","",$F890+ROW()/100000)</f>
        <v/>
      </c>
    </row>
    <row r="891" spans="1:13">
      <c r="A891" s="54"/>
      <c r="B891" s="54"/>
      <c r="C891" s="52"/>
      <c r="D891" s="83">
        <f>IF($B891="","",IFERROR(IF(VLOOKUP($B891,Reference!$A$6:$C$27,3,FALSE)&gt;0,VLOOKUP($B891,Reference!$A$6:$C$27,3,FALSE),""),""))</f>
        <v/>
      </c>
      <c r="E891" s="53"/>
      <c r="F891" s="82">
        <f>IF(OR($A891="",$B891="",NOT(ISNUMBER($C891))),"",IF(ISNUMBER($E891),IF($E891&gt;0,EDATE($C891,$E891),""),IF(ISNUMBER($D891),EDATE($C891,$D891),"")))</f>
        <v/>
      </c>
      <c r="G891" s="83">
        <f>IF($F891="","",$F891-TODAY())</f>
        <v/>
      </c>
      <c r="H891" s="85">
        <f>IF(OR($A891="",$B891=""),"",IF($F891="","No date",IF($G891&lt;0,"Overdue",IF($G891&lt;=30,"Due &lt;=30",IF($G891&lt;=60,"Due 31-60","OK")))))</f>
        <v/>
      </c>
      <c r="I891" s="54"/>
      <c r="J891" s="54"/>
      <c r="K891" s="54"/>
      <c r="L891" s="54"/>
      <c r="M891" s="105">
        <f>IF($F891="","",$F891+ROW()/100000)</f>
        <v/>
      </c>
    </row>
    <row r="892" spans="1:13">
      <c r="A892" s="54"/>
      <c r="B892" s="54"/>
      <c r="C892" s="52"/>
      <c r="D892" s="83">
        <f>IF($B892="","",IFERROR(IF(VLOOKUP($B892,Reference!$A$6:$C$27,3,FALSE)&gt;0,VLOOKUP($B892,Reference!$A$6:$C$27,3,FALSE),""),""))</f>
        <v/>
      </c>
      <c r="E892" s="53"/>
      <c r="F892" s="82">
        <f>IF(OR($A892="",$B892="",NOT(ISNUMBER($C892))),"",IF(ISNUMBER($E892),IF($E892&gt;0,EDATE($C892,$E892),""),IF(ISNUMBER($D892),EDATE($C892,$D892),"")))</f>
        <v/>
      </c>
      <c r="G892" s="83">
        <f>IF($F892="","",$F892-TODAY())</f>
        <v/>
      </c>
      <c r="H892" s="85">
        <f>IF(OR($A892="",$B892=""),"",IF($F892="","No date",IF($G892&lt;0,"Overdue",IF($G892&lt;=30,"Due &lt;=30",IF($G892&lt;=60,"Due 31-60","OK")))))</f>
        <v/>
      </c>
      <c r="I892" s="54"/>
      <c r="J892" s="54"/>
      <c r="K892" s="54"/>
      <c r="L892" s="54"/>
      <c r="M892" s="105">
        <f>IF($F892="","",$F892+ROW()/100000)</f>
        <v/>
      </c>
    </row>
    <row r="893" spans="1:13">
      <c r="A893" s="54"/>
      <c r="B893" s="54"/>
      <c r="C893" s="52"/>
      <c r="D893" s="83">
        <f>IF($B893="","",IFERROR(IF(VLOOKUP($B893,Reference!$A$6:$C$27,3,FALSE)&gt;0,VLOOKUP($B893,Reference!$A$6:$C$27,3,FALSE),""),""))</f>
        <v/>
      </c>
      <c r="E893" s="53"/>
      <c r="F893" s="82">
        <f>IF(OR($A893="",$B893="",NOT(ISNUMBER($C893))),"",IF(ISNUMBER($E893),IF($E893&gt;0,EDATE($C893,$E893),""),IF(ISNUMBER($D893),EDATE($C893,$D893),"")))</f>
        <v/>
      </c>
      <c r="G893" s="83">
        <f>IF($F893="","",$F893-TODAY())</f>
        <v/>
      </c>
      <c r="H893" s="85">
        <f>IF(OR($A893="",$B893=""),"",IF($F893="","No date",IF($G893&lt;0,"Overdue",IF($G893&lt;=30,"Due &lt;=30",IF($G893&lt;=60,"Due 31-60","OK")))))</f>
        <v/>
      </c>
      <c r="I893" s="54"/>
      <c r="J893" s="54"/>
      <c r="K893" s="54"/>
      <c r="L893" s="54"/>
      <c r="M893" s="105">
        <f>IF($F893="","",$F893+ROW()/100000)</f>
        <v/>
      </c>
    </row>
    <row r="894" spans="1:13">
      <c r="A894" s="54"/>
      <c r="B894" s="54"/>
      <c r="C894" s="52"/>
      <c r="D894" s="83">
        <f>IF($B894="","",IFERROR(IF(VLOOKUP($B894,Reference!$A$6:$C$27,3,FALSE)&gt;0,VLOOKUP($B894,Reference!$A$6:$C$27,3,FALSE),""),""))</f>
        <v/>
      </c>
      <c r="E894" s="53"/>
      <c r="F894" s="82">
        <f>IF(OR($A894="",$B894="",NOT(ISNUMBER($C894))),"",IF(ISNUMBER($E894),IF($E894&gt;0,EDATE($C894,$E894),""),IF(ISNUMBER($D894),EDATE($C894,$D894),"")))</f>
        <v/>
      </c>
      <c r="G894" s="83">
        <f>IF($F894="","",$F894-TODAY())</f>
        <v/>
      </c>
      <c r="H894" s="85">
        <f>IF(OR($A894="",$B894=""),"",IF($F894="","No date",IF($G894&lt;0,"Overdue",IF($G894&lt;=30,"Due &lt;=30",IF($G894&lt;=60,"Due 31-60","OK")))))</f>
        <v/>
      </c>
      <c r="I894" s="54"/>
      <c r="J894" s="54"/>
      <c r="K894" s="54"/>
      <c r="L894" s="54"/>
      <c r="M894" s="105">
        <f>IF($F894="","",$F894+ROW()/100000)</f>
        <v/>
      </c>
    </row>
    <row r="895" spans="1:13">
      <c r="A895" s="54"/>
      <c r="B895" s="54"/>
      <c r="C895" s="52"/>
      <c r="D895" s="83">
        <f>IF($B895="","",IFERROR(IF(VLOOKUP($B895,Reference!$A$6:$C$27,3,FALSE)&gt;0,VLOOKUP($B895,Reference!$A$6:$C$27,3,FALSE),""),""))</f>
        <v/>
      </c>
      <c r="E895" s="53"/>
      <c r="F895" s="82">
        <f>IF(OR($A895="",$B895="",NOT(ISNUMBER($C895))),"",IF(ISNUMBER($E895),IF($E895&gt;0,EDATE($C895,$E895),""),IF(ISNUMBER($D895),EDATE($C895,$D895),"")))</f>
        <v/>
      </c>
      <c r="G895" s="83">
        <f>IF($F895="","",$F895-TODAY())</f>
        <v/>
      </c>
      <c r="H895" s="85">
        <f>IF(OR($A895="",$B895=""),"",IF($F895="","No date",IF($G895&lt;0,"Overdue",IF($G895&lt;=30,"Due &lt;=30",IF($G895&lt;=60,"Due 31-60","OK")))))</f>
        <v/>
      </c>
      <c r="I895" s="54"/>
      <c r="J895" s="54"/>
      <c r="K895" s="54"/>
      <c r="L895" s="54"/>
      <c r="M895" s="105">
        <f>IF($F895="","",$F895+ROW()/100000)</f>
        <v/>
      </c>
    </row>
    <row r="896" spans="1:13">
      <c r="A896" s="54"/>
      <c r="B896" s="54"/>
      <c r="C896" s="52"/>
      <c r="D896" s="83">
        <f>IF($B896="","",IFERROR(IF(VLOOKUP($B896,Reference!$A$6:$C$27,3,FALSE)&gt;0,VLOOKUP($B896,Reference!$A$6:$C$27,3,FALSE),""),""))</f>
        <v/>
      </c>
      <c r="E896" s="53"/>
      <c r="F896" s="82">
        <f>IF(OR($A896="",$B896="",NOT(ISNUMBER($C896))),"",IF(ISNUMBER($E896),IF($E896&gt;0,EDATE($C896,$E896),""),IF(ISNUMBER($D896),EDATE($C896,$D896),"")))</f>
        <v/>
      </c>
      <c r="G896" s="83">
        <f>IF($F896="","",$F896-TODAY())</f>
        <v/>
      </c>
      <c r="H896" s="85">
        <f>IF(OR($A896="",$B896=""),"",IF($F896="","No date",IF($G896&lt;0,"Overdue",IF($G896&lt;=30,"Due &lt;=30",IF($G896&lt;=60,"Due 31-60","OK")))))</f>
        <v/>
      </c>
      <c r="I896" s="54"/>
      <c r="J896" s="54"/>
      <c r="K896" s="54"/>
      <c r="L896" s="54"/>
      <c r="M896" s="105">
        <f>IF($F896="","",$F896+ROW()/100000)</f>
        <v/>
      </c>
    </row>
    <row r="897" spans="1:13">
      <c r="A897" s="54"/>
      <c r="B897" s="54"/>
      <c r="C897" s="52"/>
      <c r="D897" s="83">
        <f>IF($B897="","",IFERROR(IF(VLOOKUP($B897,Reference!$A$6:$C$27,3,FALSE)&gt;0,VLOOKUP($B897,Reference!$A$6:$C$27,3,FALSE),""),""))</f>
        <v/>
      </c>
      <c r="E897" s="53"/>
      <c r="F897" s="82">
        <f>IF(OR($A897="",$B897="",NOT(ISNUMBER($C897))),"",IF(ISNUMBER($E897),IF($E897&gt;0,EDATE($C897,$E897),""),IF(ISNUMBER($D897),EDATE($C897,$D897),"")))</f>
        <v/>
      </c>
      <c r="G897" s="83">
        <f>IF($F897="","",$F897-TODAY())</f>
        <v/>
      </c>
      <c r="H897" s="85">
        <f>IF(OR($A897="",$B897=""),"",IF($F897="","No date",IF($G897&lt;0,"Overdue",IF($G897&lt;=30,"Due &lt;=30",IF($G897&lt;=60,"Due 31-60","OK")))))</f>
        <v/>
      </c>
      <c r="I897" s="54"/>
      <c r="J897" s="54"/>
      <c r="K897" s="54"/>
      <c r="L897" s="54"/>
      <c r="M897" s="105">
        <f>IF($F897="","",$F897+ROW()/100000)</f>
        <v/>
      </c>
    </row>
    <row r="898" spans="1:13">
      <c r="A898" s="54"/>
      <c r="B898" s="54"/>
      <c r="C898" s="52"/>
      <c r="D898" s="83">
        <f>IF($B898="","",IFERROR(IF(VLOOKUP($B898,Reference!$A$6:$C$27,3,FALSE)&gt;0,VLOOKUP($B898,Reference!$A$6:$C$27,3,FALSE),""),""))</f>
        <v/>
      </c>
      <c r="E898" s="53"/>
      <c r="F898" s="82">
        <f>IF(OR($A898="",$B898="",NOT(ISNUMBER($C898))),"",IF(ISNUMBER($E898),IF($E898&gt;0,EDATE($C898,$E898),""),IF(ISNUMBER($D898),EDATE($C898,$D898),"")))</f>
        <v/>
      </c>
      <c r="G898" s="83">
        <f>IF($F898="","",$F898-TODAY())</f>
        <v/>
      </c>
      <c r="H898" s="85">
        <f>IF(OR($A898="",$B898=""),"",IF($F898="","No date",IF($G898&lt;0,"Overdue",IF($G898&lt;=30,"Due &lt;=30",IF($G898&lt;=60,"Due 31-60","OK")))))</f>
        <v/>
      </c>
      <c r="I898" s="54"/>
      <c r="J898" s="54"/>
      <c r="K898" s="54"/>
      <c r="L898" s="54"/>
      <c r="M898" s="105">
        <f>IF($F898="","",$F898+ROW()/100000)</f>
        <v/>
      </c>
    </row>
    <row r="899" spans="1:13">
      <c r="A899" s="54"/>
      <c r="B899" s="54"/>
      <c r="C899" s="52"/>
      <c r="D899" s="83">
        <f>IF($B899="","",IFERROR(IF(VLOOKUP($B899,Reference!$A$6:$C$27,3,FALSE)&gt;0,VLOOKUP($B899,Reference!$A$6:$C$27,3,FALSE),""),""))</f>
        <v/>
      </c>
      <c r="E899" s="53"/>
      <c r="F899" s="82">
        <f>IF(OR($A899="",$B899="",NOT(ISNUMBER($C899))),"",IF(ISNUMBER($E899),IF($E899&gt;0,EDATE($C899,$E899),""),IF(ISNUMBER($D899),EDATE($C899,$D899),"")))</f>
        <v/>
      </c>
      <c r="G899" s="83">
        <f>IF($F899="","",$F899-TODAY())</f>
        <v/>
      </c>
      <c r="H899" s="85">
        <f>IF(OR($A899="",$B899=""),"",IF($F899="","No date",IF($G899&lt;0,"Overdue",IF($G899&lt;=30,"Due &lt;=30",IF($G899&lt;=60,"Due 31-60","OK")))))</f>
        <v/>
      </c>
      <c r="I899" s="54"/>
      <c r="J899" s="54"/>
      <c r="K899" s="54"/>
      <c r="L899" s="54"/>
      <c r="M899" s="105">
        <f>IF($F899="","",$F899+ROW()/100000)</f>
        <v/>
      </c>
    </row>
    <row r="900" spans="1:13">
      <c r="A900" s="54"/>
      <c r="B900" s="54"/>
      <c r="C900" s="52"/>
      <c r="D900" s="83">
        <f>IF($B900="","",IFERROR(IF(VLOOKUP($B900,Reference!$A$6:$C$27,3,FALSE)&gt;0,VLOOKUP($B900,Reference!$A$6:$C$27,3,FALSE),""),""))</f>
        <v/>
      </c>
      <c r="E900" s="53"/>
      <c r="F900" s="82">
        <f>IF(OR($A900="",$B900="",NOT(ISNUMBER($C900))),"",IF(ISNUMBER($E900),IF($E900&gt;0,EDATE($C900,$E900),""),IF(ISNUMBER($D900),EDATE($C900,$D900),"")))</f>
        <v/>
      </c>
      <c r="G900" s="83">
        <f>IF($F900="","",$F900-TODAY())</f>
        <v/>
      </c>
      <c r="H900" s="85">
        <f>IF(OR($A900="",$B900=""),"",IF($F900="","No date",IF($G900&lt;0,"Overdue",IF($G900&lt;=30,"Due &lt;=30",IF($G900&lt;=60,"Due 31-60","OK")))))</f>
        <v/>
      </c>
      <c r="I900" s="54"/>
      <c r="J900" s="54"/>
      <c r="K900" s="54"/>
      <c r="L900" s="54"/>
      <c r="M900" s="105">
        <f>IF($F900="","",$F900+ROW()/100000)</f>
        <v/>
      </c>
    </row>
    <row r="901" spans="1:13">
      <c r="A901" s="54"/>
      <c r="B901" s="54"/>
      <c r="C901" s="52"/>
      <c r="D901" s="83">
        <f>IF($B901="","",IFERROR(IF(VLOOKUP($B901,Reference!$A$6:$C$27,3,FALSE)&gt;0,VLOOKUP($B901,Reference!$A$6:$C$27,3,FALSE),""),""))</f>
        <v/>
      </c>
      <c r="E901" s="53"/>
      <c r="F901" s="82">
        <f>IF(OR($A901="",$B901="",NOT(ISNUMBER($C901))),"",IF(ISNUMBER($E901),IF($E901&gt;0,EDATE($C901,$E901),""),IF(ISNUMBER($D901),EDATE($C901,$D901),"")))</f>
        <v/>
      </c>
      <c r="G901" s="83">
        <f>IF($F901="","",$F901-TODAY())</f>
        <v/>
      </c>
      <c r="H901" s="85">
        <f>IF(OR($A901="",$B901=""),"",IF($F901="","No date",IF($G901&lt;0,"Overdue",IF($G901&lt;=30,"Due &lt;=30",IF($G901&lt;=60,"Due 31-60","OK")))))</f>
        <v/>
      </c>
      <c r="I901" s="54"/>
      <c r="J901" s="54"/>
      <c r="K901" s="54"/>
      <c r="L901" s="54"/>
      <c r="M901" s="105">
        <f>IF($F901="","",$F901+ROW()/100000)</f>
        <v/>
      </c>
    </row>
    <row r="902" spans="1:13">
      <c r="A902" s="54"/>
      <c r="B902" s="54"/>
      <c r="C902" s="52"/>
      <c r="D902" s="83">
        <f>IF($B902="","",IFERROR(IF(VLOOKUP($B902,Reference!$A$6:$C$27,3,FALSE)&gt;0,VLOOKUP($B902,Reference!$A$6:$C$27,3,FALSE),""),""))</f>
        <v/>
      </c>
      <c r="E902" s="53"/>
      <c r="F902" s="82">
        <f>IF(OR($A902="",$B902="",NOT(ISNUMBER($C902))),"",IF(ISNUMBER($E902),IF($E902&gt;0,EDATE($C902,$E902),""),IF(ISNUMBER($D902),EDATE($C902,$D902),"")))</f>
        <v/>
      </c>
      <c r="G902" s="83">
        <f>IF($F902="","",$F902-TODAY())</f>
        <v/>
      </c>
      <c r="H902" s="85">
        <f>IF(OR($A902="",$B902=""),"",IF($F902="","No date",IF($G902&lt;0,"Overdue",IF($G902&lt;=30,"Due &lt;=30",IF($G902&lt;=60,"Due 31-60","OK")))))</f>
        <v/>
      </c>
      <c r="I902" s="54"/>
      <c r="J902" s="54"/>
      <c r="K902" s="54"/>
      <c r="L902" s="54"/>
      <c r="M902" s="105">
        <f>IF($F902="","",$F902+ROW()/100000)</f>
        <v/>
      </c>
    </row>
    <row r="903" spans="1:13">
      <c r="A903" s="54"/>
      <c r="B903" s="54"/>
      <c r="C903" s="52"/>
      <c r="D903" s="83">
        <f>IF($B903="","",IFERROR(IF(VLOOKUP($B903,Reference!$A$6:$C$27,3,FALSE)&gt;0,VLOOKUP($B903,Reference!$A$6:$C$27,3,FALSE),""),""))</f>
        <v/>
      </c>
      <c r="E903" s="53"/>
      <c r="F903" s="82">
        <f>IF(OR($A903="",$B903="",NOT(ISNUMBER($C903))),"",IF(ISNUMBER($E903),IF($E903&gt;0,EDATE($C903,$E903),""),IF(ISNUMBER($D903),EDATE($C903,$D903),"")))</f>
        <v/>
      </c>
      <c r="G903" s="83">
        <f>IF($F903="","",$F903-TODAY())</f>
        <v/>
      </c>
      <c r="H903" s="85">
        <f>IF(OR($A903="",$B903=""),"",IF($F903="","No date",IF($G903&lt;0,"Overdue",IF($G903&lt;=30,"Due &lt;=30",IF($G903&lt;=60,"Due 31-60","OK")))))</f>
        <v/>
      </c>
      <c r="I903" s="54"/>
      <c r="J903" s="54"/>
      <c r="K903" s="54"/>
      <c r="L903" s="54"/>
      <c r="M903" s="105">
        <f>IF($F903="","",$F903+ROW()/100000)</f>
        <v/>
      </c>
    </row>
    <row r="904" spans="1:13">
      <c r="A904" s="54"/>
      <c r="B904" s="54"/>
      <c r="C904" s="52"/>
      <c r="D904" s="83">
        <f>IF($B904="","",IFERROR(IF(VLOOKUP($B904,Reference!$A$6:$C$27,3,FALSE)&gt;0,VLOOKUP($B904,Reference!$A$6:$C$27,3,FALSE),""),""))</f>
        <v/>
      </c>
      <c r="E904" s="53"/>
      <c r="F904" s="82">
        <f>IF(OR($A904="",$B904="",NOT(ISNUMBER($C904))),"",IF(ISNUMBER($E904),IF($E904&gt;0,EDATE($C904,$E904),""),IF(ISNUMBER($D904),EDATE($C904,$D904),"")))</f>
        <v/>
      </c>
      <c r="G904" s="83">
        <f>IF($F904="","",$F904-TODAY())</f>
        <v/>
      </c>
      <c r="H904" s="85">
        <f>IF(OR($A904="",$B904=""),"",IF($F904="","No date",IF($G904&lt;0,"Overdue",IF($G904&lt;=30,"Due &lt;=30",IF($G904&lt;=60,"Due 31-60","OK")))))</f>
        <v/>
      </c>
      <c r="I904" s="54"/>
      <c r="J904" s="54"/>
      <c r="K904" s="54"/>
      <c r="L904" s="54"/>
      <c r="M904" s="105">
        <f>IF($F904="","",$F904+ROW()/100000)</f>
        <v/>
      </c>
    </row>
    <row r="905" spans="1:13">
      <c r="A905" s="54"/>
      <c r="B905" s="54"/>
      <c r="C905" s="52"/>
      <c r="D905" s="83">
        <f>IF($B905="","",IFERROR(IF(VLOOKUP($B905,Reference!$A$6:$C$27,3,FALSE)&gt;0,VLOOKUP($B905,Reference!$A$6:$C$27,3,FALSE),""),""))</f>
        <v/>
      </c>
      <c r="E905" s="53"/>
      <c r="F905" s="82">
        <f>IF(OR($A905="",$B905="",NOT(ISNUMBER($C905))),"",IF(ISNUMBER($E905),IF($E905&gt;0,EDATE($C905,$E905),""),IF(ISNUMBER($D905),EDATE($C905,$D905),"")))</f>
        <v/>
      </c>
      <c r="G905" s="83">
        <f>IF($F905="","",$F905-TODAY())</f>
        <v/>
      </c>
      <c r="H905" s="85">
        <f>IF(OR($A905="",$B905=""),"",IF($F905="","No date",IF($G905&lt;0,"Overdue",IF($G905&lt;=30,"Due &lt;=30",IF($G905&lt;=60,"Due 31-60","OK")))))</f>
        <v/>
      </c>
      <c r="I905" s="54"/>
      <c r="J905" s="54"/>
      <c r="K905" s="54"/>
      <c r="L905" s="54"/>
      <c r="M905" s="105">
        <f>IF($F905="","",$F905+ROW()/100000)</f>
        <v/>
      </c>
    </row>
    <row r="906" spans="1:13">
      <c r="A906" s="54"/>
      <c r="B906" s="54"/>
      <c r="C906" s="52"/>
      <c r="D906" s="83">
        <f>IF($B906="","",IFERROR(IF(VLOOKUP($B906,Reference!$A$6:$C$27,3,FALSE)&gt;0,VLOOKUP($B906,Reference!$A$6:$C$27,3,FALSE),""),""))</f>
        <v/>
      </c>
      <c r="E906" s="53"/>
      <c r="F906" s="82">
        <f>IF(OR($A906="",$B906="",NOT(ISNUMBER($C906))),"",IF(ISNUMBER($E906),IF($E906&gt;0,EDATE($C906,$E906),""),IF(ISNUMBER($D906),EDATE($C906,$D906),"")))</f>
        <v/>
      </c>
      <c r="G906" s="83">
        <f>IF($F906="","",$F906-TODAY())</f>
        <v/>
      </c>
      <c r="H906" s="85">
        <f>IF(OR($A906="",$B906=""),"",IF($F906="","No date",IF($G906&lt;0,"Overdue",IF($G906&lt;=30,"Due &lt;=30",IF($G906&lt;=60,"Due 31-60","OK")))))</f>
        <v/>
      </c>
      <c r="I906" s="54"/>
      <c r="J906" s="54"/>
      <c r="K906" s="54"/>
      <c r="L906" s="54"/>
      <c r="M906" s="105">
        <f>IF($F906="","",$F906+ROW()/100000)</f>
        <v/>
      </c>
    </row>
    <row r="907" spans="1:13">
      <c r="A907" s="54"/>
      <c r="B907" s="54"/>
      <c r="C907" s="52"/>
      <c r="D907" s="83">
        <f>IF($B907="","",IFERROR(IF(VLOOKUP($B907,Reference!$A$6:$C$27,3,FALSE)&gt;0,VLOOKUP($B907,Reference!$A$6:$C$27,3,FALSE),""),""))</f>
        <v/>
      </c>
      <c r="E907" s="53"/>
      <c r="F907" s="82">
        <f>IF(OR($A907="",$B907="",NOT(ISNUMBER($C907))),"",IF(ISNUMBER($E907),IF($E907&gt;0,EDATE($C907,$E907),""),IF(ISNUMBER($D907),EDATE($C907,$D907),"")))</f>
        <v/>
      </c>
      <c r="G907" s="83">
        <f>IF($F907="","",$F907-TODAY())</f>
        <v/>
      </c>
      <c r="H907" s="85">
        <f>IF(OR($A907="",$B907=""),"",IF($F907="","No date",IF($G907&lt;0,"Overdue",IF($G907&lt;=30,"Due &lt;=30",IF($G907&lt;=60,"Due 31-60","OK")))))</f>
        <v/>
      </c>
      <c r="I907" s="54"/>
      <c r="J907" s="54"/>
      <c r="K907" s="54"/>
      <c r="L907" s="54"/>
      <c r="M907" s="105">
        <f>IF($F907="","",$F907+ROW()/100000)</f>
        <v/>
      </c>
    </row>
    <row r="908" spans="1:13">
      <c r="A908" s="54"/>
      <c r="B908" s="54"/>
      <c r="C908" s="52"/>
      <c r="D908" s="83">
        <f>IF($B908="","",IFERROR(IF(VLOOKUP($B908,Reference!$A$6:$C$27,3,FALSE)&gt;0,VLOOKUP($B908,Reference!$A$6:$C$27,3,FALSE),""),""))</f>
        <v/>
      </c>
      <c r="E908" s="53"/>
      <c r="F908" s="82">
        <f>IF(OR($A908="",$B908="",NOT(ISNUMBER($C908))),"",IF(ISNUMBER($E908),IF($E908&gt;0,EDATE($C908,$E908),""),IF(ISNUMBER($D908),EDATE($C908,$D908),"")))</f>
        <v/>
      </c>
      <c r="G908" s="83">
        <f>IF($F908="","",$F908-TODAY())</f>
        <v/>
      </c>
      <c r="H908" s="85">
        <f>IF(OR($A908="",$B908=""),"",IF($F908="","No date",IF($G908&lt;0,"Overdue",IF($G908&lt;=30,"Due &lt;=30",IF($G908&lt;=60,"Due 31-60","OK")))))</f>
        <v/>
      </c>
      <c r="I908" s="54"/>
      <c r="J908" s="54"/>
      <c r="K908" s="54"/>
      <c r="L908" s="54"/>
      <c r="M908" s="105">
        <f>IF($F908="","",$F908+ROW()/100000)</f>
        <v/>
      </c>
    </row>
    <row r="909" spans="1:13">
      <c r="A909" s="54"/>
      <c r="B909" s="54"/>
      <c r="C909" s="52"/>
      <c r="D909" s="83">
        <f>IF($B909="","",IFERROR(IF(VLOOKUP($B909,Reference!$A$6:$C$27,3,FALSE)&gt;0,VLOOKUP($B909,Reference!$A$6:$C$27,3,FALSE),""),""))</f>
        <v/>
      </c>
      <c r="E909" s="53"/>
      <c r="F909" s="82">
        <f>IF(OR($A909="",$B909="",NOT(ISNUMBER($C909))),"",IF(ISNUMBER($E909),IF($E909&gt;0,EDATE($C909,$E909),""),IF(ISNUMBER($D909),EDATE($C909,$D909),"")))</f>
        <v/>
      </c>
      <c r="G909" s="83">
        <f>IF($F909="","",$F909-TODAY())</f>
        <v/>
      </c>
      <c r="H909" s="85">
        <f>IF(OR($A909="",$B909=""),"",IF($F909="","No date",IF($G909&lt;0,"Overdue",IF($G909&lt;=30,"Due &lt;=30",IF($G909&lt;=60,"Due 31-60","OK")))))</f>
        <v/>
      </c>
      <c r="I909" s="54"/>
      <c r="J909" s="54"/>
      <c r="K909" s="54"/>
      <c r="L909" s="54"/>
      <c r="M909" s="105">
        <f>IF($F909="","",$F909+ROW()/100000)</f>
        <v/>
      </c>
    </row>
    <row r="910" spans="1:13">
      <c r="A910" s="54"/>
      <c r="B910" s="54"/>
      <c r="C910" s="52"/>
      <c r="D910" s="83">
        <f>IF($B910="","",IFERROR(IF(VLOOKUP($B910,Reference!$A$6:$C$27,3,FALSE)&gt;0,VLOOKUP($B910,Reference!$A$6:$C$27,3,FALSE),""),""))</f>
        <v/>
      </c>
      <c r="E910" s="53"/>
      <c r="F910" s="82">
        <f>IF(OR($A910="",$B910="",NOT(ISNUMBER($C910))),"",IF(ISNUMBER($E910),IF($E910&gt;0,EDATE($C910,$E910),""),IF(ISNUMBER($D910),EDATE($C910,$D910),"")))</f>
        <v/>
      </c>
      <c r="G910" s="83">
        <f>IF($F910="","",$F910-TODAY())</f>
        <v/>
      </c>
      <c r="H910" s="85">
        <f>IF(OR($A910="",$B910=""),"",IF($F910="","No date",IF($G910&lt;0,"Overdue",IF($G910&lt;=30,"Due &lt;=30",IF($G910&lt;=60,"Due 31-60","OK")))))</f>
        <v/>
      </c>
      <c r="I910" s="54"/>
      <c r="J910" s="54"/>
      <c r="K910" s="54"/>
      <c r="L910" s="54"/>
      <c r="M910" s="105">
        <f>IF($F910="","",$F910+ROW()/100000)</f>
        <v/>
      </c>
    </row>
    <row r="911" spans="1:13">
      <c r="A911" s="54"/>
      <c r="B911" s="54"/>
      <c r="C911" s="52"/>
      <c r="D911" s="83">
        <f>IF($B911="","",IFERROR(IF(VLOOKUP($B911,Reference!$A$6:$C$27,3,FALSE)&gt;0,VLOOKUP($B911,Reference!$A$6:$C$27,3,FALSE),""),""))</f>
        <v/>
      </c>
      <c r="E911" s="53"/>
      <c r="F911" s="82">
        <f>IF(OR($A911="",$B911="",NOT(ISNUMBER($C911))),"",IF(ISNUMBER($E911),IF($E911&gt;0,EDATE($C911,$E911),""),IF(ISNUMBER($D911),EDATE($C911,$D911),"")))</f>
        <v/>
      </c>
      <c r="G911" s="83">
        <f>IF($F911="","",$F911-TODAY())</f>
        <v/>
      </c>
      <c r="H911" s="85">
        <f>IF(OR($A911="",$B911=""),"",IF($F911="","No date",IF($G911&lt;0,"Overdue",IF($G911&lt;=30,"Due &lt;=30",IF($G911&lt;=60,"Due 31-60","OK")))))</f>
        <v/>
      </c>
      <c r="I911" s="54"/>
      <c r="J911" s="54"/>
      <c r="K911" s="54"/>
      <c r="L911" s="54"/>
      <c r="M911" s="105">
        <f>IF($F911="","",$F911+ROW()/100000)</f>
        <v/>
      </c>
    </row>
    <row r="912" spans="1:13">
      <c r="A912" s="54"/>
      <c r="B912" s="54"/>
      <c r="C912" s="52"/>
      <c r="D912" s="83">
        <f>IF($B912="","",IFERROR(IF(VLOOKUP($B912,Reference!$A$6:$C$27,3,FALSE)&gt;0,VLOOKUP($B912,Reference!$A$6:$C$27,3,FALSE),""),""))</f>
        <v/>
      </c>
      <c r="E912" s="53"/>
      <c r="F912" s="82">
        <f>IF(OR($A912="",$B912="",NOT(ISNUMBER($C912))),"",IF(ISNUMBER($E912),IF($E912&gt;0,EDATE($C912,$E912),""),IF(ISNUMBER($D912),EDATE($C912,$D912),"")))</f>
        <v/>
      </c>
      <c r="G912" s="83">
        <f>IF($F912="","",$F912-TODAY())</f>
        <v/>
      </c>
      <c r="H912" s="85">
        <f>IF(OR($A912="",$B912=""),"",IF($F912="","No date",IF($G912&lt;0,"Overdue",IF($G912&lt;=30,"Due &lt;=30",IF($G912&lt;=60,"Due 31-60","OK")))))</f>
        <v/>
      </c>
      <c r="I912" s="54"/>
      <c r="J912" s="54"/>
      <c r="K912" s="54"/>
      <c r="L912" s="54"/>
      <c r="M912" s="105">
        <f>IF($F912="","",$F912+ROW()/100000)</f>
        <v/>
      </c>
    </row>
    <row r="913" spans="1:13">
      <c r="A913" s="54"/>
      <c r="B913" s="54"/>
      <c r="C913" s="52"/>
      <c r="D913" s="83">
        <f>IF($B913="","",IFERROR(IF(VLOOKUP($B913,Reference!$A$6:$C$27,3,FALSE)&gt;0,VLOOKUP($B913,Reference!$A$6:$C$27,3,FALSE),""),""))</f>
        <v/>
      </c>
      <c r="E913" s="53"/>
      <c r="F913" s="82">
        <f>IF(OR($A913="",$B913="",NOT(ISNUMBER($C913))),"",IF(ISNUMBER($E913),IF($E913&gt;0,EDATE($C913,$E913),""),IF(ISNUMBER($D913),EDATE($C913,$D913),"")))</f>
        <v/>
      </c>
      <c r="G913" s="83">
        <f>IF($F913="","",$F913-TODAY())</f>
        <v/>
      </c>
      <c r="H913" s="85">
        <f>IF(OR($A913="",$B913=""),"",IF($F913="","No date",IF($G913&lt;0,"Overdue",IF($G913&lt;=30,"Due &lt;=30",IF($G913&lt;=60,"Due 31-60","OK")))))</f>
        <v/>
      </c>
      <c r="I913" s="54"/>
      <c r="J913" s="54"/>
      <c r="K913" s="54"/>
      <c r="L913" s="54"/>
      <c r="M913" s="105">
        <f>IF($F913="","",$F913+ROW()/100000)</f>
        <v/>
      </c>
    </row>
    <row r="914" spans="1:13">
      <c r="A914" s="54"/>
      <c r="B914" s="54"/>
      <c r="C914" s="52"/>
      <c r="D914" s="83">
        <f>IF($B914="","",IFERROR(IF(VLOOKUP($B914,Reference!$A$6:$C$27,3,FALSE)&gt;0,VLOOKUP($B914,Reference!$A$6:$C$27,3,FALSE),""),""))</f>
        <v/>
      </c>
      <c r="E914" s="53"/>
      <c r="F914" s="82">
        <f>IF(OR($A914="",$B914="",NOT(ISNUMBER($C914))),"",IF(ISNUMBER($E914),IF($E914&gt;0,EDATE($C914,$E914),""),IF(ISNUMBER($D914),EDATE($C914,$D914),"")))</f>
        <v/>
      </c>
      <c r="G914" s="83">
        <f>IF($F914="","",$F914-TODAY())</f>
        <v/>
      </c>
      <c r="H914" s="85">
        <f>IF(OR($A914="",$B914=""),"",IF($F914="","No date",IF($G914&lt;0,"Overdue",IF($G914&lt;=30,"Due &lt;=30",IF($G914&lt;=60,"Due 31-60","OK")))))</f>
        <v/>
      </c>
      <c r="I914" s="54"/>
      <c r="J914" s="54"/>
      <c r="K914" s="54"/>
      <c r="L914" s="54"/>
      <c r="M914" s="105">
        <f>IF($F914="","",$F914+ROW()/100000)</f>
        <v/>
      </c>
    </row>
    <row r="915" spans="1:13">
      <c r="A915" s="54"/>
      <c r="B915" s="54"/>
      <c r="C915" s="52"/>
      <c r="D915" s="83">
        <f>IF($B915="","",IFERROR(IF(VLOOKUP($B915,Reference!$A$6:$C$27,3,FALSE)&gt;0,VLOOKUP($B915,Reference!$A$6:$C$27,3,FALSE),""),""))</f>
        <v/>
      </c>
      <c r="E915" s="53"/>
      <c r="F915" s="82">
        <f>IF(OR($A915="",$B915="",NOT(ISNUMBER($C915))),"",IF(ISNUMBER($E915),IF($E915&gt;0,EDATE($C915,$E915),""),IF(ISNUMBER($D915),EDATE($C915,$D915),"")))</f>
        <v/>
      </c>
      <c r="G915" s="83">
        <f>IF($F915="","",$F915-TODAY())</f>
        <v/>
      </c>
      <c r="H915" s="85">
        <f>IF(OR($A915="",$B915=""),"",IF($F915="","No date",IF($G915&lt;0,"Overdue",IF($G915&lt;=30,"Due &lt;=30",IF($G915&lt;=60,"Due 31-60","OK")))))</f>
        <v/>
      </c>
      <c r="I915" s="54"/>
      <c r="J915" s="54"/>
      <c r="K915" s="54"/>
      <c r="L915" s="54"/>
      <c r="M915" s="105">
        <f>IF($F915="","",$F915+ROW()/100000)</f>
        <v/>
      </c>
    </row>
    <row r="916" spans="1:13">
      <c r="A916" s="54"/>
      <c r="B916" s="54"/>
      <c r="C916" s="52"/>
      <c r="D916" s="83">
        <f>IF($B916="","",IFERROR(IF(VLOOKUP($B916,Reference!$A$6:$C$27,3,FALSE)&gt;0,VLOOKUP($B916,Reference!$A$6:$C$27,3,FALSE),""),""))</f>
        <v/>
      </c>
      <c r="E916" s="53"/>
      <c r="F916" s="82">
        <f>IF(OR($A916="",$B916="",NOT(ISNUMBER($C916))),"",IF(ISNUMBER($E916),IF($E916&gt;0,EDATE($C916,$E916),""),IF(ISNUMBER($D916),EDATE($C916,$D916),"")))</f>
        <v/>
      </c>
      <c r="G916" s="83">
        <f>IF($F916="","",$F916-TODAY())</f>
        <v/>
      </c>
      <c r="H916" s="85">
        <f>IF(OR($A916="",$B916=""),"",IF($F916="","No date",IF($G916&lt;0,"Overdue",IF($G916&lt;=30,"Due &lt;=30",IF($G916&lt;=60,"Due 31-60","OK")))))</f>
        <v/>
      </c>
      <c r="I916" s="54"/>
      <c r="J916" s="54"/>
      <c r="K916" s="54"/>
      <c r="L916" s="54"/>
      <c r="M916" s="105">
        <f>IF($F916="","",$F916+ROW()/100000)</f>
        <v/>
      </c>
    </row>
    <row r="917" spans="1:13">
      <c r="A917" s="54"/>
      <c r="B917" s="54"/>
      <c r="C917" s="52"/>
      <c r="D917" s="83">
        <f>IF($B917="","",IFERROR(IF(VLOOKUP($B917,Reference!$A$6:$C$27,3,FALSE)&gt;0,VLOOKUP($B917,Reference!$A$6:$C$27,3,FALSE),""),""))</f>
        <v/>
      </c>
      <c r="E917" s="53"/>
      <c r="F917" s="82">
        <f>IF(OR($A917="",$B917="",NOT(ISNUMBER($C917))),"",IF(ISNUMBER($E917),IF($E917&gt;0,EDATE($C917,$E917),""),IF(ISNUMBER($D917),EDATE($C917,$D917),"")))</f>
        <v/>
      </c>
      <c r="G917" s="83">
        <f>IF($F917="","",$F917-TODAY())</f>
        <v/>
      </c>
      <c r="H917" s="85">
        <f>IF(OR($A917="",$B917=""),"",IF($F917="","No date",IF($G917&lt;0,"Overdue",IF($G917&lt;=30,"Due &lt;=30",IF($G917&lt;=60,"Due 31-60","OK")))))</f>
        <v/>
      </c>
      <c r="I917" s="54"/>
      <c r="J917" s="54"/>
      <c r="K917" s="54"/>
      <c r="L917" s="54"/>
      <c r="M917" s="105">
        <f>IF($F917="","",$F917+ROW()/100000)</f>
        <v/>
      </c>
    </row>
    <row r="918" spans="1:13">
      <c r="A918" s="54"/>
      <c r="B918" s="54"/>
      <c r="C918" s="52"/>
      <c r="D918" s="83">
        <f>IF($B918="","",IFERROR(IF(VLOOKUP($B918,Reference!$A$6:$C$27,3,FALSE)&gt;0,VLOOKUP($B918,Reference!$A$6:$C$27,3,FALSE),""),""))</f>
        <v/>
      </c>
      <c r="E918" s="53"/>
      <c r="F918" s="82">
        <f>IF(OR($A918="",$B918="",NOT(ISNUMBER($C918))),"",IF(ISNUMBER($E918),IF($E918&gt;0,EDATE($C918,$E918),""),IF(ISNUMBER($D918),EDATE($C918,$D918),"")))</f>
        <v/>
      </c>
      <c r="G918" s="83">
        <f>IF($F918="","",$F918-TODAY())</f>
        <v/>
      </c>
      <c r="H918" s="85">
        <f>IF(OR($A918="",$B918=""),"",IF($F918="","No date",IF($G918&lt;0,"Overdue",IF($G918&lt;=30,"Due &lt;=30",IF($G918&lt;=60,"Due 31-60","OK")))))</f>
        <v/>
      </c>
      <c r="I918" s="54"/>
      <c r="J918" s="54"/>
      <c r="K918" s="54"/>
      <c r="L918" s="54"/>
      <c r="M918" s="105">
        <f>IF($F918="","",$F918+ROW()/100000)</f>
        <v/>
      </c>
    </row>
    <row r="919" spans="1:13">
      <c r="A919" s="54"/>
      <c r="B919" s="54"/>
      <c r="C919" s="52"/>
      <c r="D919" s="83">
        <f>IF($B919="","",IFERROR(IF(VLOOKUP($B919,Reference!$A$6:$C$27,3,FALSE)&gt;0,VLOOKUP($B919,Reference!$A$6:$C$27,3,FALSE),""),""))</f>
        <v/>
      </c>
      <c r="E919" s="53"/>
      <c r="F919" s="82">
        <f>IF(OR($A919="",$B919="",NOT(ISNUMBER($C919))),"",IF(ISNUMBER($E919),IF($E919&gt;0,EDATE($C919,$E919),""),IF(ISNUMBER($D919),EDATE($C919,$D919),"")))</f>
        <v/>
      </c>
      <c r="G919" s="83">
        <f>IF($F919="","",$F919-TODAY())</f>
        <v/>
      </c>
      <c r="H919" s="85">
        <f>IF(OR($A919="",$B919=""),"",IF($F919="","No date",IF($G919&lt;0,"Overdue",IF($G919&lt;=30,"Due &lt;=30",IF($G919&lt;=60,"Due 31-60","OK")))))</f>
        <v/>
      </c>
      <c r="I919" s="54"/>
      <c r="J919" s="54"/>
      <c r="K919" s="54"/>
      <c r="L919" s="54"/>
      <c r="M919" s="105">
        <f>IF($F919="","",$F919+ROW()/100000)</f>
        <v/>
      </c>
    </row>
    <row r="920" spans="1:13">
      <c r="A920" s="54"/>
      <c r="B920" s="54"/>
      <c r="C920" s="52"/>
      <c r="D920" s="83">
        <f>IF($B920="","",IFERROR(IF(VLOOKUP($B920,Reference!$A$6:$C$27,3,FALSE)&gt;0,VLOOKUP($B920,Reference!$A$6:$C$27,3,FALSE),""),""))</f>
        <v/>
      </c>
      <c r="E920" s="53"/>
      <c r="F920" s="82">
        <f>IF(OR($A920="",$B920="",NOT(ISNUMBER($C920))),"",IF(ISNUMBER($E920),IF($E920&gt;0,EDATE($C920,$E920),""),IF(ISNUMBER($D920),EDATE($C920,$D920),"")))</f>
        <v/>
      </c>
      <c r="G920" s="83">
        <f>IF($F920="","",$F920-TODAY())</f>
        <v/>
      </c>
      <c r="H920" s="85">
        <f>IF(OR($A920="",$B920=""),"",IF($F920="","No date",IF($G920&lt;0,"Overdue",IF($G920&lt;=30,"Due &lt;=30",IF($G920&lt;=60,"Due 31-60","OK")))))</f>
        <v/>
      </c>
      <c r="I920" s="54"/>
      <c r="J920" s="54"/>
      <c r="K920" s="54"/>
      <c r="L920" s="54"/>
      <c r="M920" s="105">
        <f>IF($F920="","",$F920+ROW()/100000)</f>
        <v/>
      </c>
    </row>
    <row r="921" spans="1:13">
      <c r="A921" s="54"/>
      <c r="B921" s="54"/>
      <c r="C921" s="52"/>
      <c r="D921" s="83">
        <f>IF($B921="","",IFERROR(IF(VLOOKUP($B921,Reference!$A$6:$C$27,3,FALSE)&gt;0,VLOOKUP($B921,Reference!$A$6:$C$27,3,FALSE),""),""))</f>
        <v/>
      </c>
      <c r="E921" s="53"/>
      <c r="F921" s="82">
        <f>IF(OR($A921="",$B921="",NOT(ISNUMBER($C921))),"",IF(ISNUMBER($E921),IF($E921&gt;0,EDATE($C921,$E921),""),IF(ISNUMBER($D921),EDATE($C921,$D921),"")))</f>
        <v/>
      </c>
      <c r="G921" s="83">
        <f>IF($F921="","",$F921-TODAY())</f>
        <v/>
      </c>
      <c r="H921" s="85">
        <f>IF(OR($A921="",$B921=""),"",IF($F921="","No date",IF($G921&lt;0,"Overdue",IF($G921&lt;=30,"Due &lt;=30",IF($G921&lt;=60,"Due 31-60","OK")))))</f>
        <v/>
      </c>
      <c r="I921" s="54"/>
      <c r="J921" s="54"/>
      <c r="K921" s="54"/>
      <c r="L921" s="54"/>
      <c r="M921" s="105">
        <f>IF($F921="","",$F921+ROW()/100000)</f>
        <v/>
      </c>
    </row>
    <row r="922" spans="1:13">
      <c r="A922" s="54"/>
      <c r="B922" s="54"/>
      <c r="C922" s="52"/>
      <c r="D922" s="83">
        <f>IF($B922="","",IFERROR(IF(VLOOKUP($B922,Reference!$A$6:$C$27,3,FALSE)&gt;0,VLOOKUP($B922,Reference!$A$6:$C$27,3,FALSE),""),""))</f>
        <v/>
      </c>
      <c r="E922" s="53"/>
      <c r="F922" s="82">
        <f>IF(OR($A922="",$B922="",NOT(ISNUMBER($C922))),"",IF(ISNUMBER($E922),IF($E922&gt;0,EDATE($C922,$E922),""),IF(ISNUMBER($D922),EDATE($C922,$D922),"")))</f>
        <v/>
      </c>
      <c r="G922" s="83">
        <f>IF($F922="","",$F922-TODAY())</f>
        <v/>
      </c>
      <c r="H922" s="85">
        <f>IF(OR($A922="",$B922=""),"",IF($F922="","No date",IF($G922&lt;0,"Overdue",IF($G922&lt;=30,"Due &lt;=30",IF($G922&lt;=60,"Due 31-60","OK")))))</f>
        <v/>
      </c>
      <c r="I922" s="54"/>
      <c r="J922" s="54"/>
      <c r="K922" s="54"/>
      <c r="L922" s="54"/>
      <c r="M922" s="105">
        <f>IF($F922="","",$F922+ROW()/100000)</f>
        <v/>
      </c>
    </row>
    <row r="923" spans="1:13">
      <c r="A923" s="54"/>
      <c r="B923" s="54"/>
      <c r="C923" s="52"/>
      <c r="D923" s="83">
        <f>IF($B923="","",IFERROR(IF(VLOOKUP($B923,Reference!$A$6:$C$27,3,FALSE)&gt;0,VLOOKUP($B923,Reference!$A$6:$C$27,3,FALSE),""),""))</f>
        <v/>
      </c>
      <c r="E923" s="53"/>
      <c r="F923" s="82">
        <f>IF(OR($A923="",$B923="",NOT(ISNUMBER($C923))),"",IF(ISNUMBER($E923),IF($E923&gt;0,EDATE($C923,$E923),""),IF(ISNUMBER($D923),EDATE($C923,$D923),"")))</f>
        <v/>
      </c>
      <c r="G923" s="83">
        <f>IF($F923="","",$F923-TODAY())</f>
        <v/>
      </c>
      <c r="H923" s="85">
        <f>IF(OR($A923="",$B923=""),"",IF($F923="","No date",IF($G923&lt;0,"Overdue",IF($G923&lt;=30,"Due &lt;=30",IF($G923&lt;=60,"Due 31-60","OK")))))</f>
        <v/>
      </c>
      <c r="I923" s="54"/>
      <c r="J923" s="54"/>
      <c r="K923" s="54"/>
      <c r="L923" s="54"/>
      <c r="M923" s="105">
        <f>IF($F923="","",$F923+ROW()/100000)</f>
        <v/>
      </c>
    </row>
    <row r="924" spans="1:13">
      <c r="A924" s="54"/>
      <c r="B924" s="54"/>
      <c r="C924" s="52"/>
      <c r="D924" s="83">
        <f>IF($B924="","",IFERROR(IF(VLOOKUP($B924,Reference!$A$6:$C$27,3,FALSE)&gt;0,VLOOKUP($B924,Reference!$A$6:$C$27,3,FALSE),""),""))</f>
        <v/>
      </c>
      <c r="E924" s="53"/>
      <c r="F924" s="82">
        <f>IF(OR($A924="",$B924="",NOT(ISNUMBER($C924))),"",IF(ISNUMBER($E924),IF($E924&gt;0,EDATE($C924,$E924),""),IF(ISNUMBER($D924),EDATE($C924,$D924),"")))</f>
        <v/>
      </c>
      <c r="G924" s="83">
        <f>IF($F924="","",$F924-TODAY())</f>
        <v/>
      </c>
      <c r="H924" s="85">
        <f>IF(OR($A924="",$B924=""),"",IF($F924="","No date",IF($G924&lt;0,"Overdue",IF($G924&lt;=30,"Due &lt;=30",IF($G924&lt;=60,"Due 31-60","OK")))))</f>
        <v/>
      </c>
      <c r="I924" s="54"/>
      <c r="J924" s="54"/>
      <c r="K924" s="54"/>
      <c r="L924" s="54"/>
      <c r="M924" s="105">
        <f>IF($F924="","",$F924+ROW()/100000)</f>
        <v/>
      </c>
    </row>
    <row r="925" spans="1:13">
      <c r="A925" s="54"/>
      <c r="B925" s="54"/>
      <c r="C925" s="52"/>
      <c r="D925" s="83">
        <f>IF($B925="","",IFERROR(IF(VLOOKUP($B925,Reference!$A$6:$C$27,3,FALSE)&gt;0,VLOOKUP($B925,Reference!$A$6:$C$27,3,FALSE),""),""))</f>
        <v/>
      </c>
      <c r="E925" s="53"/>
      <c r="F925" s="82">
        <f>IF(OR($A925="",$B925="",NOT(ISNUMBER($C925))),"",IF(ISNUMBER($E925),IF($E925&gt;0,EDATE($C925,$E925),""),IF(ISNUMBER($D925),EDATE($C925,$D925),"")))</f>
        <v/>
      </c>
      <c r="G925" s="83">
        <f>IF($F925="","",$F925-TODAY())</f>
        <v/>
      </c>
      <c r="H925" s="85">
        <f>IF(OR($A925="",$B925=""),"",IF($F925="","No date",IF($G925&lt;0,"Overdue",IF($G925&lt;=30,"Due &lt;=30",IF($G925&lt;=60,"Due 31-60","OK")))))</f>
        <v/>
      </c>
      <c r="I925" s="54"/>
      <c r="J925" s="54"/>
      <c r="K925" s="54"/>
      <c r="L925" s="54"/>
      <c r="M925" s="105">
        <f>IF($F925="","",$F925+ROW()/100000)</f>
        <v/>
      </c>
    </row>
    <row r="926" spans="1:13">
      <c r="A926" s="54"/>
      <c r="B926" s="54"/>
      <c r="C926" s="52"/>
      <c r="D926" s="83">
        <f>IF($B926="","",IFERROR(IF(VLOOKUP($B926,Reference!$A$6:$C$27,3,FALSE)&gt;0,VLOOKUP($B926,Reference!$A$6:$C$27,3,FALSE),""),""))</f>
        <v/>
      </c>
      <c r="E926" s="53"/>
      <c r="F926" s="82">
        <f>IF(OR($A926="",$B926="",NOT(ISNUMBER($C926))),"",IF(ISNUMBER($E926),IF($E926&gt;0,EDATE($C926,$E926),""),IF(ISNUMBER($D926),EDATE($C926,$D926),"")))</f>
        <v/>
      </c>
      <c r="G926" s="83">
        <f>IF($F926="","",$F926-TODAY())</f>
        <v/>
      </c>
      <c r="H926" s="85">
        <f>IF(OR($A926="",$B926=""),"",IF($F926="","No date",IF($G926&lt;0,"Overdue",IF($G926&lt;=30,"Due &lt;=30",IF($G926&lt;=60,"Due 31-60","OK")))))</f>
        <v/>
      </c>
      <c r="I926" s="54"/>
      <c r="J926" s="54"/>
      <c r="K926" s="54"/>
      <c r="L926" s="54"/>
      <c r="M926" s="105">
        <f>IF($F926="","",$F926+ROW()/100000)</f>
        <v/>
      </c>
    </row>
    <row r="927" spans="1:13">
      <c r="A927" s="54"/>
      <c r="B927" s="54"/>
      <c r="C927" s="52"/>
      <c r="D927" s="83">
        <f>IF($B927="","",IFERROR(IF(VLOOKUP($B927,Reference!$A$6:$C$27,3,FALSE)&gt;0,VLOOKUP($B927,Reference!$A$6:$C$27,3,FALSE),""),""))</f>
        <v/>
      </c>
      <c r="E927" s="53"/>
      <c r="F927" s="82">
        <f>IF(OR($A927="",$B927="",NOT(ISNUMBER($C927))),"",IF(ISNUMBER($E927),IF($E927&gt;0,EDATE($C927,$E927),""),IF(ISNUMBER($D927),EDATE($C927,$D927),"")))</f>
        <v/>
      </c>
      <c r="G927" s="83">
        <f>IF($F927="","",$F927-TODAY())</f>
        <v/>
      </c>
      <c r="H927" s="85">
        <f>IF(OR($A927="",$B927=""),"",IF($F927="","No date",IF($G927&lt;0,"Overdue",IF($G927&lt;=30,"Due &lt;=30",IF($G927&lt;=60,"Due 31-60","OK")))))</f>
        <v/>
      </c>
      <c r="I927" s="54"/>
      <c r="J927" s="54"/>
      <c r="K927" s="54"/>
      <c r="L927" s="54"/>
      <c r="M927" s="105">
        <f>IF($F927="","",$F927+ROW()/100000)</f>
        <v/>
      </c>
    </row>
    <row r="928" spans="1:13">
      <c r="A928" s="54"/>
      <c r="B928" s="54"/>
      <c r="C928" s="52"/>
      <c r="D928" s="83">
        <f>IF($B928="","",IFERROR(IF(VLOOKUP($B928,Reference!$A$6:$C$27,3,FALSE)&gt;0,VLOOKUP($B928,Reference!$A$6:$C$27,3,FALSE),""),""))</f>
        <v/>
      </c>
      <c r="E928" s="53"/>
      <c r="F928" s="82">
        <f>IF(OR($A928="",$B928="",NOT(ISNUMBER($C928))),"",IF(ISNUMBER($E928),IF($E928&gt;0,EDATE($C928,$E928),""),IF(ISNUMBER($D928),EDATE($C928,$D928),"")))</f>
        <v/>
      </c>
      <c r="G928" s="83">
        <f>IF($F928="","",$F928-TODAY())</f>
        <v/>
      </c>
      <c r="H928" s="85">
        <f>IF(OR($A928="",$B928=""),"",IF($F928="","No date",IF($G928&lt;0,"Overdue",IF($G928&lt;=30,"Due &lt;=30",IF($G928&lt;=60,"Due 31-60","OK")))))</f>
        <v/>
      </c>
      <c r="I928" s="54"/>
      <c r="J928" s="54"/>
      <c r="K928" s="54"/>
      <c r="L928" s="54"/>
      <c r="M928" s="105">
        <f>IF($F928="","",$F928+ROW()/100000)</f>
        <v/>
      </c>
    </row>
    <row r="929" spans="1:13">
      <c r="A929" s="54"/>
      <c r="B929" s="54"/>
      <c r="C929" s="52"/>
      <c r="D929" s="83">
        <f>IF($B929="","",IFERROR(IF(VLOOKUP($B929,Reference!$A$6:$C$27,3,FALSE)&gt;0,VLOOKUP($B929,Reference!$A$6:$C$27,3,FALSE),""),""))</f>
        <v/>
      </c>
      <c r="E929" s="53"/>
      <c r="F929" s="82">
        <f>IF(OR($A929="",$B929="",NOT(ISNUMBER($C929))),"",IF(ISNUMBER($E929),IF($E929&gt;0,EDATE($C929,$E929),""),IF(ISNUMBER($D929),EDATE($C929,$D929),"")))</f>
        <v/>
      </c>
      <c r="G929" s="83">
        <f>IF($F929="","",$F929-TODAY())</f>
        <v/>
      </c>
      <c r="H929" s="85">
        <f>IF(OR($A929="",$B929=""),"",IF($F929="","No date",IF($G929&lt;0,"Overdue",IF($G929&lt;=30,"Due &lt;=30",IF($G929&lt;=60,"Due 31-60","OK")))))</f>
        <v/>
      </c>
      <c r="I929" s="54"/>
      <c r="J929" s="54"/>
      <c r="K929" s="54"/>
      <c r="L929" s="54"/>
      <c r="M929" s="105">
        <f>IF($F929="","",$F929+ROW()/100000)</f>
        <v/>
      </c>
    </row>
    <row r="930" spans="1:13">
      <c r="A930" s="54"/>
      <c r="B930" s="54"/>
      <c r="C930" s="52"/>
      <c r="D930" s="83">
        <f>IF($B930="","",IFERROR(IF(VLOOKUP($B930,Reference!$A$6:$C$27,3,FALSE)&gt;0,VLOOKUP($B930,Reference!$A$6:$C$27,3,FALSE),""),""))</f>
        <v/>
      </c>
      <c r="E930" s="53"/>
      <c r="F930" s="82">
        <f>IF(OR($A930="",$B930="",NOT(ISNUMBER($C930))),"",IF(ISNUMBER($E930),IF($E930&gt;0,EDATE($C930,$E930),""),IF(ISNUMBER($D930),EDATE($C930,$D930),"")))</f>
        <v/>
      </c>
      <c r="G930" s="83">
        <f>IF($F930="","",$F930-TODAY())</f>
        <v/>
      </c>
      <c r="H930" s="85">
        <f>IF(OR($A930="",$B930=""),"",IF($F930="","No date",IF($G930&lt;0,"Overdue",IF($G930&lt;=30,"Due &lt;=30",IF($G930&lt;=60,"Due 31-60","OK")))))</f>
        <v/>
      </c>
      <c r="I930" s="54"/>
      <c r="J930" s="54"/>
      <c r="K930" s="54"/>
      <c r="L930" s="54"/>
      <c r="M930" s="105">
        <f>IF($F930="","",$F930+ROW()/100000)</f>
        <v/>
      </c>
    </row>
    <row r="931" spans="1:13">
      <c r="A931" s="54"/>
      <c r="B931" s="54"/>
      <c r="C931" s="52"/>
      <c r="D931" s="83">
        <f>IF($B931="","",IFERROR(IF(VLOOKUP($B931,Reference!$A$6:$C$27,3,FALSE)&gt;0,VLOOKUP($B931,Reference!$A$6:$C$27,3,FALSE),""),""))</f>
        <v/>
      </c>
      <c r="E931" s="53"/>
      <c r="F931" s="82">
        <f>IF(OR($A931="",$B931="",NOT(ISNUMBER($C931))),"",IF(ISNUMBER($E931),IF($E931&gt;0,EDATE($C931,$E931),""),IF(ISNUMBER($D931),EDATE($C931,$D931),"")))</f>
        <v/>
      </c>
      <c r="G931" s="83">
        <f>IF($F931="","",$F931-TODAY())</f>
        <v/>
      </c>
      <c r="H931" s="85">
        <f>IF(OR($A931="",$B931=""),"",IF($F931="","No date",IF($G931&lt;0,"Overdue",IF($G931&lt;=30,"Due &lt;=30",IF($G931&lt;=60,"Due 31-60","OK")))))</f>
        <v/>
      </c>
      <c r="I931" s="54"/>
      <c r="J931" s="54"/>
      <c r="K931" s="54"/>
      <c r="L931" s="54"/>
      <c r="M931" s="105">
        <f>IF($F931="","",$F931+ROW()/100000)</f>
        <v/>
      </c>
    </row>
    <row r="932" spans="1:13">
      <c r="A932" s="54"/>
      <c r="B932" s="54"/>
      <c r="C932" s="52"/>
      <c r="D932" s="83">
        <f>IF($B932="","",IFERROR(IF(VLOOKUP($B932,Reference!$A$6:$C$27,3,FALSE)&gt;0,VLOOKUP($B932,Reference!$A$6:$C$27,3,FALSE),""),""))</f>
        <v/>
      </c>
      <c r="E932" s="53"/>
      <c r="F932" s="82">
        <f>IF(OR($A932="",$B932="",NOT(ISNUMBER($C932))),"",IF(ISNUMBER($E932),IF($E932&gt;0,EDATE($C932,$E932),""),IF(ISNUMBER($D932),EDATE($C932,$D932),"")))</f>
        <v/>
      </c>
      <c r="G932" s="83">
        <f>IF($F932="","",$F932-TODAY())</f>
        <v/>
      </c>
      <c r="H932" s="85">
        <f>IF(OR($A932="",$B932=""),"",IF($F932="","No date",IF($G932&lt;0,"Overdue",IF($G932&lt;=30,"Due &lt;=30",IF($G932&lt;=60,"Due 31-60","OK")))))</f>
        <v/>
      </c>
      <c r="I932" s="54"/>
      <c r="J932" s="54"/>
      <c r="K932" s="54"/>
      <c r="L932" s="54"/>
      <c r="M932" s="105">
        <f>IF($F932="","",$F932+ROW()/100000)</f>
        <v/>
      </c>
    </row>
    <row r="933" spans="1:13">
      <c r="A933" s="54"/>
      <c r="B933" s="54"/>
      <c r="C933" s="52"/>
      <c r="D933" s="83">
        <f>IF($B933="","",IFERROR(IF(VLOOKUP($B933,Reference!$A$6:$C$27,3,FALSE)&gt;0,VLOOKUP($B933,Reference!$A$6:$C$27,3,FALSE),""),""))</f>
        <v/>
      </c>
      <c r="E933" s="53"/>
      <c r="F933" s="82">
        <f>IF(OR($A933="",$B933="",NOT(ISNUMBER($C933))),"",IF(ISNUMBER($E933),IF($E933&gt;0,EDATE($C933,$E933),""),IF(ISNUMBER($D933),EDATE($C933,$D933),"")))</f>
        <v/>
      </c>
      <c r="G933" s="83">
        <f>IF($F933="","",$F933-TODAY())</f>
        <v/>
      </c>
      <c r="H933" s="85">
        <f>IF(OR($A933="",$B933=""),"",IF($F933="","No date",IF($G933&lt;0,"Overdue",IF($G933&lt;=30,"Due &lt;=30",IF($G933&lt;=60,"Due 31-60","OK")))))</f>
        <v/>
      </c>
      <c r="I933" s="54"/>
      <c r="J933" s="54"/>
      <c r="K933" s="54"/>
      <c r="L933" s="54"/>
      <c r="M933" s="105">
        <f>IF($F933="","",$F933+ROW()/100000)</f>
        <v/>
      </c>
    </row>
    <row r="934" spans="1:13">
      <c r="A934" s="54"/>
      <c r="B934" s="54"/>
      <c r="C934" s="52"/>
      <c r="D934" s="83">
        <f>IF($B934="","",IFERROR(IF(VLOOKUP($B934,Reference!$A$6:$C$27,3,FALSE)&gt;0,VLOOKUP($B934,Reference!$A$6:$C$27,3,FALSE),""),""))</f>
        <v/>
      </c>
      <c r="E934" s="53"/>
      <c r="F934" s="82">
        <f>IF(OR($A934="",$B934="",NOT(ISNUMBER($C934))),"",IF(ISNUMBER($E934),IF($E934&gt;0,EDATE($C934,$E934),""),IF(ISNUMBER($D934),EDATE($C934,$D934),"")))</f>
        <v/>
      </c>
      <c r="G934" s="83">
        <f>IF($F934="","",$F934-TODAY())</f>
        <v/>
      </c>
      <c r="H934" s="85">
        <f>IF(OR($A934="",$B934=""),"",IF($F934="","No date",IF($G934&lt;0,"Overdue",IF($G934&lt;=30,"Due &lt;=30",IF($G934&lt;=60,"Due 31-60","OK")))))</f>
        <v/>
      </c>
      <c r="I934" s="54"/>
      <c r="J934" s="54"/>
      <c r="K934" s="54"/>
      <c r="L934" s="54"/>
      <c r="M934" s="105">
        <f>IF($F934="","",$F934+ROW()/100000)</f>
        <v/>
      </c>
    </row>
    <row r="935" spans="1:13">
      <c r="A935" s="54"/>
      <c r="B935" s="54"/>
      <c r="C935" s="52"/>
      <c r="D935" s="83">
        <f>IF($B935="","",IFERROR(IF(VLOOKUP($B935,Reference!$A$6:$C$27,3,FALSE)&gt;0,VLOOKUP($B935,Reference!$A$6:$C$27,3,FALSE),""),""))</f>
        <v/>
      </c>
      <c r="E935" s="53"/>
      <c r="F935" s="82">
        <f>IF(OR($A935="",$B935="",NOT(ISNUMBER($C935))),"",IF(ISNUMBER($E935),IF($E935&gt;0,EDATE($C935,$E935),""),IF(ISNUMBER($D935),EDATE($C935,$D935),"")))</f>
        <v/>
      </c>
      <c r="G935" s="83">
        <f>IF($F935="","",$F935-TODAY())</f>
        <v/>
      </c>
      <c r="H935" s="85">
        <f>IF(OR($A935="",$B935=""),"",IF($F935="","No date",IF($G935&lt;0,"Overdue",IF($G935&lt;=30,"Due &lt;=30",IF($G935&lt;=60,"Due 31-60","OK")))))</f>
        <v/>
      </c>
      <c r="I935" s="54"/>
      <c r="J935" s="54"/>
      <c r="K935" s="54"/>
      <c r="L935" s="54"/>
      <c r="M935" s="105">
        <f>IF($F935="","",$F935+ROW()/100000)</f>
        <v/>
      </c>
    </row>
    <row r="936" spans="1:13">
      <c r="A936" s="54"/>
      <c r="B936" s="54"/>
      <c r="C936" s="52"/>
      <c r="D936" s="83">
        <f>IF($B936="","",IFERROR(IF(VLOOKUP($B936,Reference!$A$6:$C$27,3,FALSE)&gt;0,VLOOKUP($B936,Reference!$A$6:$C$27,3,FALSE),""),""))</f>
        <v/>
      </c>
      <c r="E936" s="53"/>
      <c r="F936" s="82">
        <f>IF(OR($A936="",$B936="",NOT(ISNUMBER($C936))),"",IF(ISNUMBER($E936),IF($E936&gt;0,EDATE($C936,$E936),""),IF(ISNUMBER($D936),EDATE($C936,$D936),"")))</f>
        <v/>
      </c>
      <c r="G936" s="83">
        <f>IF($F936="","",$F936-TODAY())</f>
        <v/>
      </c>
      <c r="H936" s="85">
        <f>IF(OR($A936="",$B936=""),"",IF($F936="","No date",IF($G936&lt;0,"Overdue",IF($G936&lt;=30,"Due &lt;=30",IF($G936&lt;=60,"Due 31-60","OK")))))</f>
        <v/>
      </c>
      <c r="I936" s="54"/>
      <c r="J936" s="54"/>
      <c r="K936" s="54"/>
      <c r="L936" s="54"/>
      <c r="M936" s="105">
        <f>IF($F936="","",$F936+ROW()/100000)</f>
        <v/>
      </c>
    </row>
    <row r="937" spans="1:13">
      <c r="A937" s="54"/>
      <c r="B937" s="54"/>
      <c r="C937" s="52"/>
      <c r="D937" s="83">
        <f>IF($B937="","",IFERROR(IF(VLOOKUP($B937,Reference!$A$6:$C$27,3,FALSE)&gt;0,VLOOKUP($B937,Reference!$A$6:$C$27,3,FALSE),""),""))</f>
        <v/>
      </c>
      <c r="E937" s="53"/>
      <c r="F937" s="82">
        <f>IF(OR($A937="",$B937="",NOT(ISNUMBER($C937))),"",IF(ISNUMBER($E937),IF($E937&gt;0,EDATE($C937,$E937),""),IF(ISNUMBER($D937),EDATE($C937,$D937),"")))</f>
        <v/>
      </c>
      <c r="G937" s="83">
        <f>IF($F937="","",$F937-TODAY())</f>
        <v/>
      </c>
      <c r="H937" s="85">
        <f>IF(OR($A937="",$B937=""),"",IF($F937="","No date",IF($G937&lt;0,"Overdue",IF($G937&lt;=30,"Due &lt;=30",IF($G937&lt;=60,"Due 31-60","OK")))))</f>
        <v/>
      </c>
      <c r="I937" s="54"/>
      <c r="J937" s="54"/>
      <c r="K937" s="54"/>
      <c r="L937" s="54"/>
      <c r="M937" s="105">
        <f>IF($F937="","",$F937+ROW()/100000)</f>
        <v/>
      </c>
    </row>
    <row r="938" spans="1:13">
      <c r="A938" s="54"/>
      <c r="B938" s="54"/>
      <c r="C938" s="52"/>
      <c r="D938" s="83">
        <f>IF($B938="","",IFERROR(IF(VLOOKUP($B938,Reference!$A$6:$C$27,3,FALSE)&gt;0,VLOOKUP($B938,Reference!$A$6:$C$27,3,FALSE),""),""))</f>
        <v/>
      </c>
      <c r="E938" s="53"/>
      <c r="F938" s="82">
        <f>IF(OR($A938="",$B938="",NOT(ISNUMBER($C938))),"",IF(ISNUMBER($E938),IF($E938&gt;0,EDATE($C938,$E938),""),IF(ISNUMBER($D938),EDATE($C938,$D938),"")))</f>
        <v/>
      </c>
      <c r="G938" s="83">
        <f>IF($F938="","",$F938-TODAY())</f>
        <v/>
      </c>
      <c r="H938" s="85">
        <f>IF(OR($A938="",$B938=""),"",IF($F938="","No date",IF($G938&lt;0,"Overdue",IF($G938&lt;=30,"Due &lt;=30",IF($G938&lt;=60,"Due 31-60","OK")))))</f>
        <v/>
      </c>
      <c r="I938" s="54"/>
      <c r="J938" s="54"/>
      <c r="K938" s="54"/>
      <c r="L938" s="54"/>
      <c r="M938" s="105">
        <f>IF($F938="","",$F938+ROW()/100000)</f>
        <v/>
      </c>
    </row>
    <row r="939" spans="1:13">
      <c r="A939" s="54"/>
      <c r="B939" s="54"/>
      <c r="C939" s="52"/>
      <c r="D939" s="83">
        <f>IF($B939="","",IFERROR(IF(VLOOKUP($B939,Reference!$A$6:$C$27,3,FALSE)&gt;0,VLOOKUP($B939,Reference!$A$6:$C$27,3,FALSE),""),""))</f>
        <v/>
      </c>
      <c r="E939" s="53"/>
      <c r="F939" s="82">
        <f>IF(OR($A939="",$B939="",NOT(ISNUMBER($C939))),"",IF(ISNUMBER($E939),IF($E939&gt;0,EDATE($C939,$E939),""),IF(ISNUMBER($D939),EDATE($C939,$D939),"")))</f>
        <v/>
      </c>
      <c r="G939" s="83">
        <f>IF($F939="","",$F939-TODAY())</f>
        <v/>
      </c>
      <c r="H939" s="85">
        <f>IF(OR($A939="",$B939=""),"",IF($F939="","No date",IF($G939&lt;0,"Overdue",IF($G939&lt;=30,"Due &lt;=30",IF($G939&lt;=60,"Due 31-60","OK")))))</f>
        <v/>
      </c>
      <c r="I939" s="54"/>
      <c r="J939" s="54"/>
      <c r="K939" s="54"/>
      <c r="L939" s="54"/>
      <c r="M939" s="105">
        <f>IF($F939="","",$F939+ROW()/100000)</f>
        <v/>
      </c>
    </row>
    <row r="940" spans="1:13">
      <c r="A940" s="54"/>
      <c r="B940" s="54"/>
      <c r="C940" s="52"/>
      <c r="D940" s="83">
        <f>IF($B940="","",IFERROR(IF(VLOOKUP($B940,Reference!$A$6:$C$27,3,FALSE)&gt;0,VLOOKUP($B940,Reference!$A$6:$C$27,3,FALSE),""),""))</f>
        <v/>
      </c>
      <c r="E940" s="53"/>
      <c r="F940" s="82">
        <f>IF(OR($A940="",$B940="",NOT(ISNUMBER($C940))),"",IF(ISNUMBER($E940),IF($E940&gt;0,EDATE($C940,$E940),""),IF(ISNUMBER($D940),EDATE($C940,$D940),"")))</f>
        <v/>
      </c>
      <c r="G940" s="83">
        <f>IF($F940="","",$F940-TODAY())</f>
        <v/>
      </c>
      <c r="H940" s="85">
        <f>IF(OR($A940="",$B940=""),"",IF($F940="","No date",IF($G940&lt;0,"Overdue",IF($G940&lt;=30,"Due &lt;=30",IF($G940&lt;=60,"Due 31-60","OK")))))</f>
        <v/>
      </c>
      <c r="I940" s="54"/>
      <c r="J940" s="54"/>
      <c r="K940" s="54"/>
      <c r="L940" s="54"/>
      <c r="M940" s="105">
        <f>IF($F940="","",$F940+ROW()/100000)</f>
        <v/>
      </c>
    </row>
    <row r="941" spans="1:13">
      <c r="A941" s="54"/>
      <c r="B941" s="54"/>
      <c r="C941" s="52"/>
      <c r="D941" s="83">
        <f>IF($B941="","",IFERROR(IF(VLOOKUP($B941,Reference!$A$6:$C$27,3,FALSE)&gt;0,VLOOKUP($B941,Reference!$A$6:$C$27,3,FALSE),""),""))</f>
        <v/>
      </c>
      <c r="E941" s="53"/>
      <c r="F941" s="82">
        <f>IF(OR($A941="",$B941="",NOT(ISNUMBER($C941))),"",IF(ISNUMBER($E941),IF($E941&gt;0,EDATE($C941,$E941),""),IF(ISNUMBER($D941),EDATE($C941,$D941),"")))</f>
        <v/>
      </c>
      <c r="G941" s="83">
        <f>IF($F941="","",$F941-TODAY())</f>
        <v/>
      </c>
      <c r="H941" s="85">
        <f>IF(OR($A941="",$B941=""),"",IF($F941="","No date",IF($G941&lt;0,"Overdue",IF($G941&lt;=30,"Due &lt;=30",IF($G941&lt;=60,"Due 31-60","OK")))))</f>
        <v/>
      </c>
      <c r="I941" s="54"/>
      <c r="J941" s="54"/>
      <c r="K941" s="54"/>
      <c r="L941" s="54"/>
      <c r="M941" s="105">
        <f>IF($F941="","",$F941+ROW()/100000)</f>
        <v/>
      </c>
    </row>
    <row r="942" spans="1:13">
      <c r="A942" s="54"/>
      <c r="B942" s="54"/>
      <c r="C942" s="52"/>
      <c r="D942" s="83">
        <f>IF($B942="","",IFERROR(IF(VLOOKUP($B942,Reference!$A$6:$C$27,3,FALSE)&gt;0,VLOOKUP($B942,Reference!$A$6:$C$27,3,FALSE),""),""))</f>
        <v/>
      </c>
      <c r="E942" s="53"/>
      <c r="F942" s="82">
        <f>IF(OR($A942="",$B942="",NOT(ISNUMBER($C942))),"",IF(ISNUMBER($E942),IF($E942&gt;0,EDATE($C942,$E942),""),IF(ISNUMBER($D942),EDATE($C942,$D942),"")))</f>
        <v/>
      </c>
      <c r="G942" s="83">
        <f>IF($F942="","",$F942-TODAY())</f>
        <v/>
      </c>
      <c r="H942" s="85">
        <f>IF(OR($A942="",$B942=""),"",IF($F942="","No date",IF($G942&lt;0,"Overdue",IF($G942&lt;=30,"Due &lt;=30",IF($G942&lt;=60,"Due 31-60","OK")))))</f>
        <v/>
      </c>
      <c r="I942" s="54"/>
      <c r="J942" s="54"/>
      <c r="K942" s="54"/>
      <c r="L942" s="54"/>
      <c r="M942" s="105">
        <f>IF($F942="","",$F942+ROW()/100000)</f>
        <v/>
      </c>
    </row>
    <row r="943" spans="1:13">
      <c r="A943" s="54"/>
      <c r="B943" s="54"/>
      <c r="C943" s="52"/>
      <c r="D943" s="83">
        <f>IF($B943="","",IFERROR(IF(VLOOKUP($B943,Reference!$A$6:$C$27,3,FALSE)&gt;0,VLOOKUP($B943,Reference!$A$6:$C$27,3,FALSE),""),""))</f>
        <v/>
      </c>
      <c r="E943" s="53"/>
      <c r="F943" s="82">
        <f>IF(OR($A943="",$B943="",NOT(ISNUMBER($C943))),"",IF(ISNUMBER($E943),IF($E943&gt;0,EDATE($C943,$E943),""),IF(ISNUMBER($D943),EDATE($C943,$D943),"")))</f>
        <v/>
      </c>
      <c r="G943" s="83">
        <f>IF($F943="","",$F943-TODAY())</f>
        <v/>
      </c>
      <c r="H943" s="85">
        <f>IF(OR($A943="",$B943=""),"",IF($F943="","No date",IF($G943&lt;0,"Overdue",IF($G943&lt;=30,"Due &lt;=30",IF($G943&lt;=60,"Due 31-60","OK")))))</f>
        <v/>
      </c>
      <c r="I943" s="54"/>
      <c r="J943" s="54"/>
      <c r="K943" s="54"/>
      <c r="L943" s="54"/>
      <c r="M943" s="105">
        <f>IF($F943="","",$F943+ROW()/100000)</f>
        <v/>
      </c>
    </row>
    <row r="944" spans="1:13">
      <c r="A944" s="54"/>
      <c r="B944" s="54"/>
      <c r="C944" s="52"/>
      <c r="D944" s="83">
        <f>IF($B944="","",IFERROR(IF(VLOOKUP($B944,Reference!$A$6:$C$27,3,FALSE)&gt;0,VLOOKUP($B944,Reference!$A$6:$C$27,3,FALSE),""),""))</f>
        <v/>
      </c>
      <c r="E944" s="53"/>
      <c r="F944" s="82">
        <f>IF(OR($A944="",$B944="",NOT(ISNUMBER($C944))),"",IF(ISNUMBER($E944),IF($E944&gt;0,EDATE($C944,$E944),""),IF(ISNUMBER($D944),EDATE($C944,$D944),"")))</f>
        <v/>
      </c>
      <c r="G944" s="83">
        <f>IF($F944="","",$F944-TODAY())</f>
        <v/>
      </c>
      <c r="H944" s="85">
        <f>IF(OR($A944="",$B944=""),"",IF($F944="","No date",IF($G944&lt;0,"Overdue",IF($G944&lt;=30,"Due &lt;=30",IF($G944&lt;=60,"Due 31-60","OK")))))</f>
        <v/>
      </c>
      <c r="I944" s="54"/>
      <c r="J944" s="54"/>
      <c r="K944" s="54"/>
      <c r="L944" s="54"/>
      <c r="M944" s="105">
        <f>IF($F944="","",$F944+ROW()/100000)</f>
        <v/>
      </c>
    </row>
    <row r="945" spans="1:13">
      <c r="A945" s="54"/>
      <c r="B945" s="54"/>
      <c r="C945" s="52"/>
      <c r="D945" s="83">
        <f>IF($B945="","",IFERROR(IF(VLOOKUP($B945,Reference!$A$6:$C$27,3,FALSE)&gt;0,VLOOKUP($B945,Reference!$A$6:$C$27,3,FALSE),""),""))</f>
        <v/>
      </c>
      <c r="E945" s="53"/>
      <c r="F945" s="82">
        <f>IF(OR($A945="",$B945="",NOT(ISNUMBER($C945))),"",IF(ISNUMBER($E945),IF($E945&gt;0,EDATE($C945,$E945),""),IF(ISNUMBER($D945),EDATE($C945,$D945),"")))</f>
        <v/>
      </c>
      <c r="G945" s="83">
        <f>IF($F945="","",$F945-TODAY())</f>
        <v/>
      </c>
      <c r="H945" s="85">
        <f>IF(OR($A945="",$B945=""),"",IF($F945="","No date",IF($G945&lt;0,"Overdue",IF($G945&lt;=30,"Due &lt;=30",IF($G945&lt;=60,"Due 31-60","OK")))))</f>
        <v/>
      </c>
      <c r="I945" s="54"/>
      <c r="J945" s="54"/>
      <c r="K945" s="54"/>
      <c r="L945" s="54"/>
      <c r="M945" s="105">
        <f>IF($F945="","",$F945+ROW()/100000)</f>
        <v/>
      </c>
    </row>
    <row r="946" spans="1:13">
      <c r="A946" s="54"/>
      <c r="B946" s="54"/>
      <c r="C946" s="52"/>
      <c r="D946" s="83">
        <f>IF($B946="","",IFERROR(IF(VLOOKUP($B946,Reference!$A$6:$C$27,3,FALSE)&gt;0,VLOOKUP($B946,Reference!$A$6:$C$27,3,FALSE),""),""))</f>
        <v/>
      </c>
      <c r="E946" s="53"/>
      <c r="F946" s="82">
        <f>IF(OR($A946="",$B946="",NOT(ISNUMBER($C946))),"",IF(ISNUMBER($E946),IF($E946&gt;0,EDATE($C946,$E946),""),IF(ISNUMBER($D946),EDATE($C946,$D946),"")))</f>
        <v/>
      </c>
      <c r="G946" s="83">
        <f>IF($F946="","",$F946-TODAY())</f>
        <v/>
      </c>
      <c r="H946" s="85">
        <f>IF(OR($A946="",$B946=""),"",IF($F946="","No date",IF($G946&lt;0,"Overdue",IF($G946&lt;=30,"Due &lt;=30",IF($G946&lt;=60,"Due 31-60","OK")))))</f>
        <v/>
      </c>
      <c r="I946" s="54"/>
      <c r="J946" s="54"/>
      <c r="K946" s="54"/>
      <c r="L946" s="54"/>
      <c r="M946" s="105">
        <f>IF($F946="","",$F946+ROW()/100000)</f>
        <v/>
      </c>
    </row>
    <row r="947" spans="1:13">
      <c r="A947" s="54"/>
      <c r="B947" s="54"/>
      <c r="C947" s="52"/>
      <c r="D947" s="83">
        <f>IF($B947="","",IFERROR(IF(VLOOKUP($B947,Reference!$A$6:$C$27,3,FALSE)&gt;0,VLOOKUP($B947,Reference!$A$6:$C$27,3,FALSE),""),""))</f>
        <v/>
      </c>
      <c r="E947" s="53"/>
      <c r="F947" s="82">
        <f>IF(OR($A947="",$B947="",NOT(ISNUMBER($C947))),"",IF(ISNUMBER($E947),IF($E947&gt;0,EDATE($C947,$E947),""),IF(ISNUMBER($D947),EDATE($C947,$D947),"")))</f>
        <v/>
      </c>
      <c r="G947" s="83">
        <f>IF($F947="","",$F947-TODAY())</f>
        <v/>
      </c>
      <c r="H947" s="85">
        <f>IF(OR($A947="",$B947=""),"",IF($F947="","No date",IF($G947&lt;0,"Overdue",IF($G947&lt;=30,"Due &lt;=30",IF($G947&lt;=60,"Due 31-60","OK")))))</f>
        <v/>
      </c>
      <c r="I947" s="54"/>
      <c r="J947" s="54"/>
      <c r="K947" s="54"/>
      <c r="L947" s="54"/>
      <c r="M947" s="105">
        <f>IF($F947="","",$F947+ROW()/100000)</f>
        <v/>
      </c>
    </row>
    <row r="948" spans="1:13">
      <c r="A948" s="54"/>
      <c r="B948" s="54"/>
      <c r="C948" s="52"/>
      <c r="D948" s="83">
        <f>IF($B948="","",IFERROR(IF(VLOOKUP($B948,Reference!$A$6:$C$27,3,FALSE)&gt;0,VLOOKUP($B948,Reference!$A$6:$C$27,3,FALSE),""),""))</f>
        <v/>
      </c>
      <c r="E948" s="53"/>
      <c r="F948" s="82">
        <f>IF(OR($A948="",$B948="",NOT(ISNUMBER($C948))),"",IF(ISNUMBER($E948),IF($E948&gt;0,EDATE($C948,$E948),""),IF(ISNUMBER($D948),EDATE($C948,$D948),"")))</f>
        <v/>
      </c>
      <c r="G948" s="83">
        <f>IF($F948="","",$F948-TODAY())</f>
        <v/>
      </c>
      <c r="H948" s="85">
        <f>IF(OR($A948="",$B948=""),"",IF($F948="","No date",IF($G948&lt;0,"Overdue",IF($G948&lt;=30,"Due &lt;=30",IF($G948&lt;=60,"Due 31-60","OK")))))</f>
        <v/>
      </c>
      <c r="I948" s="54"/>
      <c r="J948" s="54"/>
      <c r="K948" s="54"/>
      <c r="L948" s="54"/>
      <c r="M948" s="105">
        <f>IF($F948="","",$F948+ROW()/100000)</f>
        <v/>
      </c>
    </row>
    <row r="949" spans="1:13">
      <c r="A949" s="54"/>
      <c r="B949" s="54"/>
      <c r="C949" s="52"/>
      <c r="D949" s="83">
        <f>IF($B949="","",IFERROR(IF(VLOOKUP($B949,Reference!$A$6:$C$27,3,FALSE)&gt;0,VLOOKUP($B949,Reference!$A$6:$C$27,3,FALSE),""),""))</f>
        <v/>
      </c>
      <c r="E949" s="53"/>
      <c r="F949" s="82">
        <f>IF(OR($A949="",$B949="",NOT(ISNUMBER($C949))),"",IF(ISNUMBER($E949),IF($E949&gt;0,EDATE($C949,$E949),""),IF(ISNUMBER($D949),EDATE($C949,$D949),"")))</f>
        <v/>
      </c>
      <c r="G949" s="83">
        <f>IF($F949="","",$F949-TODAY())</f>
        <v/>
      </c>
      <c r="H949" s="85">
        <f>IF(OR($A949="",$B949=""),"",IF($F949="","No date",IF($G949&lt;0,"Overdue",IF($G949&lt;=30,"Due &lt;=30",IF($G949&lt;=60,"Due 31-60","OK")))))</f>
        <v/>
      </c>
      <c r="I949" s="54"/>
      <c r="J949" s="54"/>
      <c r="K949" s="54"/>
      <c r="L949" s="54"/>
      <c r="M949" s="105">
        <f>IF($F949="","",$F949+ROW()/100000)</f>
        <v/>
      </c>
    </row>
    <row r="950" spans="1:13">
      <c r="A950" s="54"/>
      <c r="B950" s="54"/>
      <c r="C950" s="52"/>
      <c r="D950" s="83">
        <f>IF($B950="","",IFERROR(IF(VLOOKUP($B950,Reference!$A$6:$C$27,3,FALSE)&gt;0,VLOOKUP($B950,Reference!$A$6:$C$27,3,FALSE),""),""))</f>
        <v/>
      </c>
      <c r="E950" s="53"/>
      <c r="F950" s="82">
        <f>IF(OR($A950="",$B950="",NOT(ISNUMBER($C950))),"",IF(ISNUMBER($E950),IF($E950&gt;0,EDATE($C950,$E950),""),IF(ISNUMBER($D950),EDATE($C950,$D950),"")))</f>
        <v/>
      </c>
      <c r="G950" s="83">
        <f>IF($F950="","",$F950-TODAY())</f>
        <v/>
      </c>
      <c r="H950" s="85">
        <f>IF(OR($A950="",$B950=""),"",IF($F950="","No date",IF($G950&lt;0,"Overdue",IF($G950&lt;=30,"Due &lt;=30",IF($G950&lt;=60,"Due 31-60","OK")))))</f>
        <v/>
      </c>
      <c r="I950" s="54"/>
      <c r="J950" s="54"/>
      <c r="K950" s="54"/>
      <c r="L950" s="54"/>
      <c r="M950" s="105">
        <f>IF($F950="","",$F950+ROW()/100000)</f>
        <v/>
      </c>
    </row>
    <row r="951" spans="1:13">
      <c r="A951" s="54"/>
      <c r="B951" s="54"/>
      <c r="C951" s="52"/>
      <c r="D951" s="83">
        <f>IF($B951="","",IFERROR(IF(VLOOKUP($B951,Reference!$A$6:$C$27,3,FALSE)&gt;0,VLOOKUP($B951,Reference!$A$6:$C$27,3,FALSE),""),""))</f>
        <v/>
      </c>
      <c r="E951" s="53"/>
      <c r="F951" s="82">
        <f>IF(OR($A951="",$B951="",NOT(ISNUMBER($C951))),"",IF(ISNUMBER($E951),IF($E951&gt;0,EDATE($C951,$E951),""),IF(ISNUMBER($D951),EDATE($C951,$D951),"")))</f>
        <v/>
      </c>
      <c r="G951" s="83">
        <f>IF($F951="","",$F951-TODAY())</f>
        <v/>
      </c>
      <c r="H951" s="85">
        <f>IF(OR($A951="",$B951=""),"",IF($F951="","No date",IF($G951&lt;0,"Overdue",IF($G951&lt;=30,"Due &lt;=30",IF($G951&lt;=60,"Due 31-60","OK")))))</f>
        <v/>
      </c>
      <c r="I951" s="54"/>
      <c r="J951" s="54"/>
      <c r="K951" s="54"/>
      <c r="L951" s="54"/>
      <c r="M951" s="105">
        <f>IF($F951="","",$F951+ROW()/100000)</f>
        <v/>
      </c>
    </row>
    <row r="952" spans="1:13">
      <c r="A952" s="54"/>
      <c r="B952" s="54"/>
      <c r="C952" s="52"/>
      <c r="D952" s="83">
        <f>IF($B952="","",IFERROR(IF(VLOOKUP($B952,Reference!$A$6:$C$27,3,FALSE)&gt;0,VLOOKUP($B952,Reference!$A$6:$C$27,3,FALSE),""),""))</f>
        <v/>
      </c>
      <c r="E952" s="53"/>
      <c r="F952" s="82">
        <f>IF(OR($A952="",$B952="",NOT(ISNUMBER($C952))),"",IF(ISNUMBER($E952),IF($E952&gt;0,EDATE($C952,$E952),""),IF(ISNUMBER($D952),EDATE($C952,$D952),"")))</f>
        <v/>
      </c>
      <c r="G952" s="83">
        <f>IF($F952="","",$F952-TODAY())</f>
        <v/>
      </c>
      <c r="H952" s="85">
        <f>IF(OR($A952="",$B952=""),"",IF($F952="","No date",IF($G952&lt;0,"Overdue",IF($G952&lt;=30,"Due &lt;=30",IF($G952&lt;=60,"Due 31-60","OK")))))</f>
        <v/>
      </c>
      <c r="I952" s="54"/>
      <c r="J952" s="54"/>
      <c r="K952" s="54"/>
      <c r="L952" s="54"/>
      <c r="M952" s="105">
        <f>IF($F952="","",$F952+ROW()/100000)</f>
        <v/>
      </c>
    </row>
    <row r="953" spans="1:13">
      <c r="A953" s="54"/>
      <c r="B953" s="54"/>
      <c r="C953" s="52"/>
      <c r="D953" s="83">
        <f>IF($B953="","",IFERROR(IF(VLOOKUP($B953,Reference!$A$6:$C$27,3,FALSE)&gt;0,VLOOKUP($B953,Reference!$A$6:$C$27,3,FALSE),""),""))</f>
        <v/>
      </c>
      <c r="E953" s="53"/>
      <c r="F953" s="82">
        <f>IF(OR($A953="",$B953="",NOT(ISNUMBER($C953))),"",IF(ISNUMBER($E953),IF($E953&gt;0,EDATE($C953,$E953),""),IF(ISNUMBER($D953),EDATE($C953,$D953),"")))</f>
        <v/>
      </c>
      <c r="G953" s="83">
        <f>IF($F953="","",$F953-TODAY())</f>
        <v/>
      </c>
      <c r="H953" s="85">
        <f>IF(OR($A953="",$B953=""),"",IF($F953="","No date",IF($G953&lt;0,"Overdue",IF($G953&lt;=30,"Due &lt;=30",IF($G953&lt;=60,"Due 31-60","OK")))))</f>
        <v/>
      </c>
      <c r="I953" s="54"/>
      <c r="J953" s="54"/>
      <c r="K953" s="54"/>
      <c r="L953" s="54"/>
      <c r="M953" s="105">
        <f>IF($F953="","",$F953+ROW()/100000)</f>
        <v/>
      </c>
    </row>
    <row r="954" spans="1:13">
      <c r="A954" s="54"/>
      <c r="B954" s="54"/>
      <c r="C954" s="52"/>
      <c r="D954" s="83">
        <f>IF($B954="","",IFERROR(IF(VLOOKUP($B954,Reference!$A$6:$C$27,3,FALSE)&gt;0,VLOOKUP($B954,Reference!$A$6:$C$27,3,FALSE),""),""))</f>
        <v/>
      </c>
      <c r="E954" s="53"/>
      <c r="F954" s="82">
        <f>IF(OR($A954="",$B954="",NOT(ISNUMBER($C954))),"",IF(ISNUMBER($E954),IF($E954&gt;0,EDATE($C954,$E954),""),IF(ISNUMBER($D954),EDATE($C954,$D954),"")))</f>
        <v/>
      </c>
      <c r="G954" s="83">
        <f>IF($F954="","",$F954-TODAY())</f>
        <v/>
      </c>
      <c r="H954" s="85">
        <f>IF(OR($A954="",$B954=""),"",IF($F954="","No date",IF($G954&lt;0,"Overdue",IF($G954&lt;=30,"Due &lt;=30",IF($G954&lt;=60,"Due 31-60","OK")))))</f>
        <v/>
      </c>
      <c r="I954" s="54"/>
      <c r="J954" s="54"/>
      <c r="K954" s="54"/>
      <c r="L954" s="54"/>
      <c r="M954" s="105">
        <f>IF($F954="","",$F954+ROW()/100000)</f>
        <v/>
      </c>
    </row>
    <row r="955" spans="1:13">
      <c r="A955" s="54"/>
      <c r="B955" s="54"/>
      <c r="C955" s="52"/>
      <c r="D955" s="83">
        <f>IF($B955="","",IFERROR(IF(VLOOKUP($B955,Reference!$A$6:$C$27,3,FALSE)&gt;0,VLOOKUP($B955,Reference!$A$6:$C$27,3,FALSE),""),""))</f>
        <v/>
      </c>
      <c r="E955" s="53"/>
      <c r="F955" s="82">
        <f>IF(OR($A955="",$B955="",NOT(ISNUMBER($C955))),"",IF(ISNUMBER($E955),IF($E955&gt;0,EDATE($C955,$E955),""),IF(ISNUMBER($D955),EDATE($C955,$D955),"")))</f>
        <v/>
      </c>
      <c r="G955" s="83">
        <f>IF($F955="","",$F955-TODAY())</f>
        <v/>
      </c>
      <c r="H955" s="85">
        <f>IF(OR($A955="",$B955=""),"",IF($F955="","No date",IF($G955&lt;0,"Overdue",IF($G955&lt;=30,"Due &lt;=30",IF($G955&lt;=60,"Due 31-60","OK")))))</f>
        <v/>
      </c>
      <c r="I955" s="54"/>
      <c r="J955" s="54"/>
      <c r="K955" s="54"/>
      <c r="L955" s="54"/>
      <c r="M955" s="105">
        <f>IF($F955="","",$F955+ROW()/100000)</f>
        <v/>
      </c>
    </row>
    <row r="956" spans="1:13">
      <c r="A956" s="54"/>
      <c r="B956" s="54"/>
      <c r="C956" s="52"/>
      <c r="D956" s="83">
        <f>IF($B956="","",IFERROR(IF(VLOOKUP($B956,Reference!$A$6:$C$27,3,FALSE)&gt;0,VLOOKUP($B956,Reference!$A$6:$C$27,3,FALSE),""),""))</f>
        <v/>
      </c>
      <c r="E956" s="53"/>
      <c r="F956" s="82">
        <f>IF(OR($A956="",$B956="",NOT(ISNUMBER($C956))),"",IF(ISNUMBER($E956),IF($E956&gt;0,EDATE($C956,$E956),""),IF(ISNUMBER($D956),EDATE($C956,$D956),"")))</f>
        <v/>
      </c>
      <c r="G956" s="83">
        <f>IF($F956="","",$F956-TODAY())</f>
        <v/>
      </c>
      <c r="H956" s="85">
        <f>IF(OR($A956="",$B956=""),"",IF($F956="","No date",IF($G956&lt;0,"Overdue",IF($G956&lt;=30,"Due &lt;=30",IF($G956&lt;=60,"Due 31-60","OK")))))</f>
        <v/>
      </c>
      <c r="I956" s="54"/>
      <c r="J956" s="54"/>
      <c r="K956" s="54"/>
      <c r="L956" s="54"/>
      <c r="M956" s="105">
        <f>IF($F956="","",$F956+ROW()/100000)</f>
        <v/>
      </c>
    </row>
    <row r="957" spans="1:13">
      <c r="A957" s="54"/>
      <c r="B957" s="54"/>
      <c r="C957" s="52"/>
      <c r="D957" s="83">
        <f>IF($B957="","",IFERROR(IF(VLOOKUP($B957,Reference!$A$6:$C$27,3,FALSE)&gt;0,VLOOKUP($B957,Reference!$A$6:$C$27,3,FALSE),""),""))</f>
        <v/>
      </c>
      <c r="E957" s="53"/>
      <c r="F957" s="82">
        <f>IF(OR($A957="",$B957="",NOT(ISNUMBER($C957))),"",IF(ISNUMBER($E957),IF($E957&gt;0,EDATE($C957,$E957),""),IF(ISNUMBER($D957),EDATE($C957,$D957),"")))</f>
        <v/>
      </c>
      <c r="G957" s="83">
        <f>IF($F957="","",$F957-TODAY())</f>
        <v/>
      </c>
      <c r="H957" s="85">
        <f>IF(OR($A957="",$B957=""),"",IF($F957="","No date",IF($G957&lt;0,"Overdue",IF($G957&lt;=30,"Due &lt;=30",IF($G957&lt;=60,"Due 31-60","OK")))))</f>
        <v/>
      </c>
      <c r="I957" s="54"/>
      <c r="J957" s="54"/>
      <c r="K957" s="54"/>
      <c r="L957" s="54"/>
      <c r="M957" s="105">
        <f>IF($F957="","",$F957+ROW()/100000)</f>
        <v/>
      </c>
    </row>
    <row r="958" spans="1:13">
      <c r="A958" s="54"/>
      <c r="B958" s="54"/>
      <c r="C958" s="52"/>
      <c r="D958" s="83">
        <f>IF($B958="","",IFERROR(IF(VLOOKUP($B958,Reference!$A$6:$C$27,3,FALSE)&gt;0,VLOOKUP($B958,Reference!$A$6:$C$27,3,FALSE),""),""))</f>
        <v/>
      </c>
      <c r="E958" s="53"/>
      <c r="F958" s="82">
        <f>IF(OR($A958="",$B958="",NOT(ISNUMBER($C958))),"",IF(ISNUMBER($E958),IF($E958&gt;0,EDATE($C958,$E958),""),IF(ISNUMBER($D958),EDATE($C958,$D958),"")))</f>
        <v/>
      </c>
      <c r="G958" s="83">
        <f>IF($F958="","",$F958-TODAY())</f>
        <v/>
      </c>
      <c r="H958" s="85">
        <f>IF(OR($A958="",$B958=""),"",IF($F958="","No date",IF($G958&lt;0,"Overdue",IF($G958&lt;=30,"Due &lt;=30",IF($G958&lt;=60,"Due 31-60","OK")))))</f>
        <v/>
      </c>
      <c r="I958" s="54"/>
      <c r="J958" s="54"/>
      <c r="K958" s="54"/>
      <c r="L958" s="54"/>
      <c r="M958" s="105">
        <f>IF($F958="","",$F958+ROW()/100000)</f>
        <v/>
      </c>
    </row>
    <row r="959" spans="1:13">
      <c r="A959" s="54"/>
      <c r="B959" s="54"/>
      <c r="C959" s="52"/>
      <c r="D959" s="83">
        <f>IF($B959="","",IFERROR(IF(VLOOKUP($B959,Reference!$A$6:$C$27,3,FALSE)&gt;0,VLOOKUP($B959,Reference!$A$6:$C$27,3,FALSE),""),""))</f>
        <v/>
      </c>
      <c r="E959" s="53"/>
      <c r="F959" s="82">
        <f>IF(OR($A959="",$B959="",NOT(ISNUMBER($C959))),"",IF(ISNUMBER($E959),IF($E959&gt;0,EDATE($C959,$E959),""),IF(ISNUMBER($D959),EDATE($C959,$D959),"")))</f>
        <v/>
      </c>
      <c r="G959" s="83">
        <f>IF($F959="","",$F959-TODAY())</f>
        <v/>
      </c>
      <c r="H959" s="85">
        <f>IF(OR($A959="",$B959=""),"",IF($F959="","No date",IF($G959&lt;0,"Overdue",IF($G959&lt;=30,"Due &lt;=30",IF($G959&lt;=60,"Due 31-60","OK")))))</f>
        <v/>
      </c>
      <c r="I959" s="54"/>
      <c r="J959" s="54"/>
      <c r="K959" s="54"/>
      <c r="L959" s="54"/>
      <c r="M959" s="105">
        <f>IF($F959="","",$F959+ROW()/100000)</f>
        <v/>
      </c>
    </row>
    <row r="960" spans="1:13">
      <c r="A960" s="54"/>
      <c r="B960" s="54"/>
      <c r="C960" s="52"/>
      <c r="D960" s="83">
        <f>IF($B960="","",IFERROR(IF(VLOOKUP($B960,Reference!$A$6:$C$27,3,FALSE)&gt;0,VLOOKUP($B960,Reference!$A$6:$C$27,3,FALSE),""),""))</f>
        <v/>
      </c>
      <c r="E960" s="53"/>
      <c r="F960" s="82">
        <f>IF(OR($A960="",$B960="",NOT(ISNUMBER($C960))),"",IF(ISNUMBER($E960),IF($E960&gt;0,EDATE($C960,$E960),""),IF(ISNUMBER($D960),EDATE($C960,$D960),"")))</f>
        <v/>
      </c>
      <c r="G960" s="83">
        <f>IF($F960="","",$F960-TODAY())</f>
        <v/>
      </c>
      <c r="H960" s="85">
        <f>IF(OR($A960="",$B960=""),"",IF($F960="","No date",IF($G960&lt;0,"Overdue",IF($G960&lt;=30,"Due &lt;=30",IF($G960&lt;=60,"Due 31-60","OK")))))</f>
        <v/>
      </c>
      <c r="I960" s="54"/>
      <c r="J960" s="54"/>
      <c r="K960" s="54"/>
      <c r="L960" s="54"/>
      <c r="M960" s="105">
        <f>IF($F960="","",$F960+ROW()/100000)</f>
        <v/>
      </c>
    </row>
    <row r="961" spans="1:13">
      <c r="A961" s="54"/>
      <c r="B961" s="54"/>
      <c r="C961" s="52"/>
      <c r="D961" s="83">
        <f>IF($B961="","",IFERROR(IF(VLOOKUP($B961,Reference!$A$6:$C$27,3,FALSE)&gt;0,VLOOKUP($B961,Reference!$A$6:$C$27,3,FALSE),""),""))</f>
        <v/>
      </c>
      <c r="E961" s="53"/>
      <c r="F961" s="82">
        <f>IF(OR($A961="",$B961="",NOT(ISNUMBER($C961))),"",IF(ISNUMBER($E961),IF($E961&gt;0,EDATE($C961,$E961),""),IF(ISNUMBER($D961),EDATE($C961,$D961),"")))</f>
        <v/>
      </c>
      <c r="G961" s="83">
        <f>IF($F961="","",$F961-TODAY())</f>
        <v/>
      </c>
      <c r="H961" s="85">
        <f>IF(OR($A961="",$B961=""),"",IF($F961="","No date",IF($G961&lt;0,"Overdue",IF($G961&lt;=30,"Due &lt;=30",IF($G961&lt;=60,"Due 31-60","OK")))))</f>
        <v/>
      </c>
      <c r="I961" s="54"/>
      <c r="J961" s="54"/>
      <c r="K961" s="54"/>
      <c r="L961" s="54"/>
      <c r="M961" s="105">
        <f>IF($F961="","",$F961+ROW()/100000)</f>
        <v/>
      </c>
    </row>
    <row r="962" spans="1:13">
      <c r="A962" s="54"/>
      <c r="B962" s="54"/>
      <c r="C962" s="52"/>
      <c r="D962" s="83">
        <f>IF($B962="","",IFERROR(IF(VLOOKUP($B962,Reference!$A$6:$C$27,3,FALSE)&gt;0,VLOOKUP($B962,Reference!$A$6:$C$27,3,FALSE),""),""))</f>
        <v/>
      </c>
      <c r="E962" s="53"/>
      <c r="F962" s="82">
        <f>IF(OR($A962="",$B962="",NOT(ISNUMBER($C962))),"",IF(ISNUMBER($E962),IF($E962&gt;0,EDATE($C962,$E962),""),IF(ISNUMBER($D962),EDATE($C962,$D962),"")))</f>
        <v/>
      </c>
      <c r="G962" s="83">
        <f>IF($F962="","",$F962-TODAY())</f>
        <v/>
      </c>
      <c r="H962" s="85">
        <f>IF(OR($A962="",$B962=""),"",IF($F962="","No date",IF($G962&lt;0,"Overdue",IF($G962&lt;=30,"Due &lt;=30",IF($G962&lt;=60,"Due 31-60","OK")))))</f>
        <v/>
      </c>
      <c r="I962" s="54"/>
      <c r="J962" s="54"/>
      <c r="K962" s="54"/>
      <c r="L962" s="54"/>
      <c r="M962" s="105">
        <f>IF($F962="","",$F962+ROW()/100000)</f>
        <v/>
      </c>
    </row>
    <row r="963" spans="1:13">
      <c r="A963" s="54"/>
      <c r="B963" s="54"/>
      <c r="C963" s="52"/>
      <c r="D963" s="83">
        <f>IF($B963="","",IFERROR(IF(VLOOKUP($B963,Reference!$A$6:$C$27,3,FALSE)&gt;0,VLOOKUP($B963,Reference!$A$6:$C$27,3,FALSE),""),""))</f>
        <v/>
      </c>
      <c r="E963" s="53"/>
      <c r="F963" s="82">
        <f>IF(OR($A963="",$B963="",NOT(ISNUMBER($C963))),"",IF(ISNUMBER($E963),IF($E963&gt;0,EDATE($C963,$E963),""),IF(ISNUMBER($D963),EDATE($C963,$D963),"")))</f>
        <v/>
      </c>
      <c r="G963" s="83">
        <f>IF($F963="","",$F963-TODAY())</f>
        <v/>
      </c>
      <c r="H963" s="85">
        <f>IF(OR($A963="",$B963=""),"",IF($F963="","No date",IF($G963&lt;0,"Overdue",IF($G963&lt;=30,"Due &lt;=30",IF($G963&lt;=60,"Due 31-60","OK")))))</f>
        <v/>
      </c>
      <c r="I963" s="54"/>
      <c r="J963" s="54"/>
      <c r="K963" s="54"/>
      <c r="L963" s="54"/>
      <c r="M963" s="105">
        <f>IF($F963="","",$F963+ROW()/100000)</f>
        <v/>
      </c>
    </row>
    <row r="964" spans="1:13">
      <c r="A964" s="54"/>
      <c r="B964" s="54"/>
      <c r="C964" s="52"/>
      <c r="D964" s="83">
        <f>IF($B964="","",IFERROR(IF(VLOOKUP($B964,Reference!$A$6:$C$27,3,FALSE)&gt;0,VLOOKUP($B964,Reference!$A$6:$C$27,3,FALSE),""),""))</f>
        <v/>
      </c>
      <c r="E964" s="53"/>
      <c r="F964" s="82">
        <f>IF(OR($A964="",$B964="",NOT(ISNUMBER($C964))),"",IF(ISNUMBER($E964),IF($E964&gt;0,EDATE($C964,$E964),""),IF(ISNUMBER($D964),EDATE($C964,$D964),"")))</f>
        <v/>
      </c>
      <c r="G964" s="83">
        <f>IF($F964="","",$F964-TODAY())</f>
        <v/>
      </c>
      <c r="H964" s="85">
        <f>IF(OR($A964="",$B964=""),"",IF($F964="","No date",IF($G964&lt;0,"Overdue",IF($G964&lt;=30,"Due &lt;=30",IF($G964&lt;=60,"Due 31-60","OK")))))</f>
        <v/>
      </c>
      <c r="I964" s="54"/>
      <c r="J964" s="54"/>
      <c r="K964" s="54"/>
      <c r="L964" s="54"/>
      <c r="M964" s="105">
        <f>IF($F964="","",$F964+ROW()/100000)</f>
        <v/>
      </c>
    </row>
    <row r="965" spans="1:13">
      <c r="A965" s="54"/>
      <c r="B965" s="54"/>
      <c r="C965" s="52"/>
      <c r="D965" s="83">
        <f>IF($B965="","",IFERROR(IF(VLOOKUP($B965,Reference!$A$6:$C$27,3,FALSE)&gt;0,VLOOKUP($B965,Reference!$A$6:$C$27,3,FALSE),""),""))</f>
        <v/>
      </c>
      <c r="E965" s="53"/>
      <c r="F965" s="82">
        <f>IF(OR($A965="",$B965="",NOT(ISNUMBER($C965))),"",IF(ISNUMBER($E965),IF($E965&gt;0,EDATE($C965,$E965),""),IF(ISNUMBER($D965),EDATE($C965,$D965),"")))</f>
        <v/>
      </c>
      <c r="G965" s="83">
        <f>IF($F965="","",$F965-TODAY())</f>
        <v/>
      </c>
      <c r="H965" s="85">
        <f>IF(OR($A965="",$B965=""),"",IF($F965="","No date",IF($G965&lt;0,"Overdue",IF($G965&lt;=30,"Due &lt;=30",IF($G965&lt;=60,"Due 31-60","OK")))))</f>
        <v/>
      </c>
      <c r="I965" s="54"/>
      <c r="J965" s="54"/>
      <c r="K965" s="54"/>
      <c r="L965" s="54"/>
      <c r="M965" s="105">
        <f>IF($F965="","",$F965+ROW()/100000)</f>
        <v/>
      </c>
    </row>
    <row r="966" spans="1:13">
      <c r="A966" s="54"/>
      <c r="B966" s="54"/>
      <c r="C966" s="52"/>
      <c r="D966" s="83">
        <f>IF($B966="","",IFERROR(IF(VLOOKUP($B966,Reference!$A$6:$C$27,3,FALSE)&gt;0,VLOOKUP($B966,Reference!$A$6:$C$27,3,FALSE),""),""))</f>
        <v/>
      </c>
      <c r="E966" s="53"/>
      <c r="F966" s="82">
        <f>IF(OR($A966="",$B966="",NOT(ISNUMBER($C966))),"",IF(ISNUMBER($E966),IF($E966&gt;0,EDATE($C966,$E966),""),IF(ISNUMBER($D966),EDATE($C966,$D966),"")))</f>
        <v/>
      </c>
      <c r="G966" s="83">
        <f>IF($F966="","",$F966-TODAY())</f>
        <v/>
      </c>
      <c r="H966" s="85">
        <f>IF(OR($A966="",$B966=""),"",IF($F966="","No date",IF($G966&lt;0,"Overdue",IF($G966&lt;=30,"Due &lt;=30",IF($G966&lt;=60,"Due 31-60","OK")))))</f>
        <v/>
      </c>
      <c r="I966" s="54"/>
      <c r="J966" s="54"/>
      <c r="K966" s="54"/>
      <c r="L966" s="54"/>
      <c r="M966" s="105">
        <f>IF($F966="","",$F966+ROW()/100000)</f>
        <v/>
      </c>
    </row>
    <row r="967" spans="1:13">
      <c r="A967" s="54"/>
      <c r="B967" s="54"/>
      <c r="C967" s="52"/>
      <c r="D967" s="83">
        <f>IF($B967="","",IFERROR(IF(VLOOKUP($B967,Reference!$A$6:$C$27,3,FALSE)&gt;0,VLOOKUP($B967,Reference!$A$6:$C$27,3,FALSE),""),""))</f>
        <v/>
      </c>
      <c r="E967" s="53"/>
      <c r="F967" s="82">
        <f>IF(OR($A967="",$B967="",NOT(ISNUMBER($C967))),"",IF(ISNUMBER($E967),IF($E967&gt;0,EDATE($C967,$E967),""),IF(ISNUMBER($D967),EDATE($C967,$D967),"")))</f>
        <v/>
      </c>
      <c r="G967" s="83">
        <f>IF($F967="","",$F967-TODAY())</f>
        <v/>
      </c>
      <c r="H967" s="85">
        <f>IF(OR($A967="",$B967=""),"",IF($F967="","No date",IF($G967&lt;0,"Overdue",IF($G967&lt;=30,"Due &lt;=30",IF($G967&lt;=60,"Due 31-60","OK")))))</f>
        <v/>
      </c>
      <c r="I967" s="54"/>
      <c r="J967" s="54"/>
      <c r="K967" s="54"/>
      <c r="L967" s="54"/>
      <c r="M967" s="105">
        <f>IF($F967="","",$F967+ROW()/100000)</f>
        <v/>
      </c>
    </row>
    <row r="968" spans="1:13">
      <c r="A968" s="54"/>
      <c r="B968" s="54"/>
      <c r="C968" s="52"/>
      <c r="D968" s="83">
        <f>IF($B968="","",IFERROR(IF(VLOOKUP($B968,Reference!$A$6:$C$27,3,FALSE)&gt;0,VLOOKUP($B968,Reference!$A$6:$C$27,3,FALSE),""),""))</f>
        <v/>
      </c>
      <c r="E968" s="53"/>
      <c r="F968" s="82">
        <f>IF(OR($A968="",$B968="",NOT(ISNUMBER($C968))),"",IF(ISNUMBER($E968),IF($E968&gt;0,EDATE($C968,$E968),""),IF(ISNUMBER($D968),EDATE($C968,$D968),"")))</f>
        <v/>
      </c>
      <c r="G968" s="83">
        <f>IF($F968="","",$F968-TODAY())</f>
        <v/>
      </c>
      <c r="H968" s="85">
        <f>IF(OR($A968="",$B968=""),"",IF($F968="","No date",IF($G968&lt;0,"Overdue",IF($G968&lt;=30,"Due &lt;=30",IF($G968&lt;=60,"Due 31-60","OK")))))</f>
        <v/>
      </c>
      <c r="I968" s="54"/>
      <c r="J968" s="54"/>
      <c r="K968" s="54"/>
      <c r="L968" s="54"/>
      <c r="M968" s="105">
        <f>IF($F968="","",$F968+ROW()/100000)</f>
        <v/>
      </c>
    </row>
    <row r="969" spans="1:13">
      <c r="A969" s="54"/>
      <c r="B969" s="54"/>
      <c r="C969" s="52"/>
      <c r="D969" s="83">
        <f>IF($B969="","",IFERROR(IF(VLOOKUP($B969,Reference!$A$6:$C$27,3,FALSE)&gt;0,VLOOKUP($B969,Reference!$A$6:$C$27,3,FALSE),""),""))</f>
        <v/>
      </c>
      <c r="E969" s="53"/>
      <c r="F969" s="82">
        <f>IF(OR($A969="",$B969="",NOT(ISNUMBER($C969))),"",IF(ISNUMBER($E969),IF($E969&gt;0,EDATE($C969,$E969),""),IF(ISNUMBER($D969),EDATE($C969,$D969),"")))</f>
        <v/>
      </c>
      <c r="G969" s="83">
        <f>IF($F969="","",$F969-TODAY())</f>
        <v/>
      </c>
      <c r="H969" s="85">
        <f>IF(OR($A969="",$B969=""),"",IF($F969="","No date",IF($G969&lt;0,"Overdue",IF($G969&lt;=30,"Due &lt;=30",IF($G969&lt;=60,"Due 31-60","OK")))))</f>
        <v/>
      </c>
      <c r="I969" s="54"/>
      <c r="J969" s="54"/>
      <c r="K969" s="54"/>
      <c r="L969" s="54"/>
      <c r="M969" s="105">
        <f>IF($F969="","",$F969+ROW()/100000)</f>
        <v/>
      </c>
    </row>
    <row r="970" spans="1:13">
      <c r="A970" s="54"/>
      <c r="B970" s="54"/>
      <c r="C970" s="52"/>
      <c r="D970" s="83">
        <f>IF($B970="","",IFERROR(IF(VLOOKUP($B970,Reference!$A$6:$C$27,3,FALSE)&gt;0,VLOOKUP($B970,Reference!$A$6:$C$27,3,FALSE),""),""))</f>
        <v/>
      </c>
      <c r="E970" s="53"/>
      <c r="F970" s="82">
        <f>IF(OR($A970="",$B970="",NOT(ISNUMBER($C970))),"",IF(ISNUMBER($E970),IF($E970&gt;0,EDATE($C970,$E970),""),IF(ISNUMBER($D970),EDATE($C970,$D970),"")))</f>
        <v/>
      </c>
      <c r="G970" s="83">
        <f>IF($F970="","",$F970-TODAY())</f>
        <v/>
      </c>
      <c r="H970" s="85">
        <f>IF(OR($A970="",$B970=""),"",IF($F970="","No date",IF($G970&lt;0,"Overdue",IF($G970&lt;=30,"Due &lt;=30",IF($G970&lt;=60,"Due 31-60","OK")))))</f>
        <v/>
      </c>
      <c r="I970" s="54"/>
      <c r="J970" s="54"/>
      <c r="K970" s="54"/>
      <c r="L970" s="54"/>
      <c r="M970" s="105">
        <f>IF($F970="","",$F970+ROW()/100000)</f>
        <v/>
      </c>
    </row>
    <row r="971" spans="1:13">
      <c r="A971" s="54"/>
      <c r="B971" s="54"/>
      <c r="C971" s="52"/>
      <c r="D971" s="83">
        <f>IF($B971="","",IFERROR(IF(VLOOKUP($B971,Reference!$A$6:$C$27,3,FALSE)&gt;0,VLOOKUP($B971,Reference!$A$6:$C$27,3,FALSE),""),""))</f>
        <v/>
      </c>
      <c r="E971" s="53"/>
      <c r="F971" s="82">
        <f>IF(OR($A971="",$B971="",NOT(ISNUMBER($C971))),"",IF(ISNUMBER($E971),IF($E971&gt;0,EDATE($C971,$E971),""),IF(ISNUMBER($D971),EDATE($C971,$D971),"")))</f>
        <v/>
      </c>
      <c r="G971" s="83">
        <f>IF($F971="","",$F971-TODAY())</f>
        <v/>
      </c>
      <c r="H971" s="85">
        <f>IF(OR($A971="",$B971=""),"",IF($F971="","No date",IF($G971&lt;0,"Overdue",IF($G971&lt;=30,"Due &lt;=30",IF($G971&lt;=60,"Due 31-60","OK")))))</f>
        <v/>
      </c>
      <c r="I971" s="54"/>
      <c r="J971" s="54"/>
      <c r="K971" s="54"/>
      <c r="L971" s="54"/>
      <c r="M971" s="105">
        <f>IF($F971="","",$F971+ROW()/100000)</f>
        <v/>
      </c>
    </row>
    <row r="972" spans="1:13">
      <c r="A972" s="54"/>
      <c r="B972" s="54"/>
      <c r="C972" s="52"/>
      <c r="D972" s="83">
        <f>IF($B972="","",IFERROR(IF(VLOOKUP($B972,Reference!$A$6:$C$27,3,FALSE)&gt;0,VLOOKUP($B972,Reference!$A$6:$C$27,3,FALSE),""),""))</f>
        <v/>
      </c>
      <c r="E972" s="53"/>
      <c r="F972" s="82">
        <f>IF(OR($A972="",$B972="",NOT(ISNUMBER($C972))),"",IF(ISNUMBER($E972),IF($E972&gt;0,EDATE($C972,$E972),""),IF(ISNUMBER($D972),EDATE($C972,$D972),"")))</f>
        <v/>
      </c>
      <c r="G972" s="83">
        <f>IF($F972="","",$F972-TODAY())</f>
        <v/>
      </c>
      <c r="H972" s="85">
        <f>IF(OR($A972="",$B972=""),"",IF($F972="","No date",IF($G972&lt;0,"Overdue",IF($G972&lt;=30,"Due &lt;=30",IF($G972&lt;=60,"Due 31-60","OK")))))</f>
        <v/>
      </c>
      <c r="I972" s="54"/>
      <c r="J972" s="54"/>
      <c r="K972" s="54"/>
      <c r="L972" s="54"/>
      <c r="M972" s="105">
        <f>IF($F972="","",$F972+ROW()/100000)</f>
        <v/>
      </c>
    </row>
    <row r="973" spans="1:13">
      <c r="A973" s="54"/>
      <c r="B973" s="54"/>
      <c r="C973" s="52"/>
      <c r="D973" s="83">
        <f>IF($B973="","",IFERROR(IF(VLOOKUP($B973,Reference!$A$6:$C$27,3,FALSE)&gt;0,VLOOKUP($B973,Reference!$A$6:$C$27,3,FALSE),""),""))</f>
        <v/>
      </c>
      <c r="E973" s="53"/>
      <c r="F973" s="82">
        <f>IF(OR($A973="",$B973="",NOT(ISNUMBER($C973))),"",IF(ISNUMBER($E973),IF($E973&gt;0,EDATE($C973,$E973),""),IF(ISNUMBER($D973),EDATE($C973,$D973),"")))</f>
        <v/>
      </c>
      <c r="G973" s="83">
        <f>IF($F973="","",$F973-TODAY())</f>
        <v/>
      </c>
      <c r="H973" s="85">
        <f>IF(OR($A973="",$B973=""),"",IF($F973="","No date",IF($G973&lt;0,"Overdue",IF($G973&lt;=30,"Due &lt;=30",IF($G973&lt;=60,"Due 31-60","OK")))))</f>
        <v/>
      </c>
      <c r="I973" s="54"/>
      <c r="J973" s="54"/>
      <c r="K973" s="54"/>
      <c r="L973" s="54"/>
      <c r="M973" s="105">
        <f>IF($F973="","",$F973+ROW()/100000)</f>
        <v/>
      </c>
    </row>
    <row r="974" spans="1:13">
      <c r="A974" s="54"/>
      <c r="B974" s="54"/>
      <c r="C974" s="52"/>
      <c r="D974" s="83">
        <f>IF($B974="","",IFERROR(IF(VLOOKUP($B974,Reference!$A$6:$C$27,3,FALSE)&gt;0,VLOOKUP($B974,Reference!$A$6:$C$27,3,FALSE),""),""))</f>
        <v/>
      </c>
      <c r="E974" s="53"/>
      <c r="F974" s="82">
        <f>IF(OR($A974="",$B974="",NOT(ISNUMBER($C974))),"",IF(ISNUMBER($E974),IF($E974&gt;0,EDATE($C974,$E974),""),IF(ISNUMBER($D974),EDATE($C974,$D974),"")))</f>
        <v/>
      </c>
      <c r="G974" s="83">
        <f>IF($F974="","",$F974-TODAY())</f>
        <v/>
      </c>
      <c r="H974" s="85">
        <f>IF(OR($A974="",$B974=""),"",IF($F974="","No date",IF($G974&lt;0,"Overdue",IF($G974&lt;=30,"Due &lt;=30",IF($G974&lt;=60,"Due 31-60","OK")))))</f>
        <v/>
      </c>
      <c r="I974" s="54"/>
      <c r="J974" s="54"/>
      <c r="K974" s="54"/>
      <c r="L974" s="54"/>
      <c r="M974" s="105">
        <f>IF($F974="","",$F974+ROW()/100000)</f>
        <v/>
      </c>
    </row>
    <row r="975" spans="1:13">
      <c r="A975" s="54"/>
      <c r="B975" s="54"/>
      <c r="C975" s="52"/>
      <c r="D975" s="83">
        <f>IF($B975="","",IFERROR(IF(VLOOKUP($B975,Reference!$A$6:$C$27,3,FALSE)&gt;0,VLOOKUP($B975,Reference!$A$6:$C$27,3,FALSE),""),""))</f>
        <v/>
      </c>
      <c r="E975" s="53"/>
      <c r="F975" s="82">
        <f>IF(OR($A975="",$B975="",NOT(ISNUMBER($C975))),"",IF(ISNUMBER($E975),IF($E975&gt;0,EDATE($C975,$E975),""),IF(ISNUMBER($D975),EDATE($C975,$D975),"")))</f>
        <v/>
      </c>
      <c r="G975" s="83">
        <f>IF($F975="","",$F975-TODAY())</f>
        <v/>
      </c>
      <c r="H975" s="85">
        <f>IF(OR($A975="",$B975=""),"",IF($F975="","No date",IF($G975&lt;0,"Overdue",IF($G975&lt;=30,"Due &lt;=30",IF($G975&lt;=60,"Due 31-60","OK")))))</f>
        <v/>
      </c>
      <c r="I975" s="54"/>
      <c r="J975" s="54"/>
      <c r="K975" s="54"/>
      <c r="L975" s="54"/>
      <c r="M975" s="105">
        <f>IF($F975="","",$F975+ROW()/100000)</f>
        <v/>
      </c>
    </row>
    <row r="976" spans="1:13">
      <c r="A976" s="54"/>
      <c r="B976" s="54"/>
      <c r="C976" s="52"/>
      <c r="D976" s="83">
        <f>IF($B976="","",IFERROR(IF(VLOOKUP($B976,Reference!$A$6:$C$27,3,FALSE)&gt;0,VLOOKUP($B976,Reference!$A$6:$C$27,3,FALSE),""),""))</f>
        <v/>
      </c>
      <c r="E976" s="53"/>
      <c r="F976" s="82">
        <f>IF(OR($A976="",$B976="",NOT(ISNUMBER($C976))),"",IF(ISNUMBER($E976),IF($E976&gt;0,EDATE($C976,$E976),""),IF(ISNUMBER($D976),EDATE($C976,$D976),"")))</f>
        <v/>
      </c>
      <c r="G976" s="83">
        <f>IF($F976="","",$F976-TODAY())</f>
        <v/>
      </c>
      <c r="H976" s="85">
        <f>IF(OR($A976="",$B976=""),"",IF($F976="","No date",IF($G976&lt;0,"Overdue",IF($G976&lt;=30,"Due &lt;=30",IF($G976&lt;=60,"Due 31-60","OK")))))</f>
        <v/>
      </c>
      <c r="I976" s="54"/>
      <c r="J976" s="54"/>
      <c r="K976" s="54"/>
      <c r="L976" s="54"/>
      <c r="M976" s="105">
        <f>IF($F976="","",$F976+ROW()/100000)</f>
        <v/>
      </c>
    </row>
    <row r="977" spans="1:13">
      <c r="A977" s="54"/>
      <c r="B977" s="54"/>
      <c r="C977" s="52"/>
      <c r="D977" s="83">
        <f>IF($B977="","",IFERROR(IF(VLOOKUP($B977,Reference!$A$6:$C$27,3,FALSE)&gt;0,VLOOKUP($B977,Reference!$A$6:$C$27,3,FALSE),""),""))</f>
        <v/>
      </c>
      <c r="E977" s="53"/>
      <c r="F977" s="82">
        <f>IF(OR($A977="",$B977="",NOT(ISNUMBER($C977))),"",IF(ISNUMBER($E977),IF($E977&gt;0,EDATE($C977,$E977),""),IF(ISNUMBER($D977),EDATE($C977,$D977),"")))</f>
        <v/>
      </c>
      <c r="G977" s="83">
        <f>IF($F977="","",$F977-TODAY())</f>
        <v/>
      </c>
      <c r="H977" s="85">
        <f>IF(OR($A977="",$B977=""),"",IF($F977="","No date",IF($G977&lt;0,"Overdue",IF($G977&lt;=30,"Due &lt;=30",IF($G977&lt;=60,"Due 31-60","OK")))))</f>
        <v/>
      </c>
      <c r="I977" s="54"/>
      <c r="J977" s="54"/>
      <c r="K977" s="54"/>
      <c r="L977" s="54"/>
      <c r="M977" s="105">
        <f>IF($F977="","",$F977+ROW()/100000)</f>
        <v/>
      </c>
    </row>
    <row r="978" spans="1:13">
      <c r="A978" s="54"/>
      <c r="B978" s="54"/>
      <c r="C978" s="52"/>
      <c r="D978" s="83">
        <f>IF($B978="","",IFERROR(IF(VLOOKUP($B978,Reference!$A$6:$C$27,3,FALSE)&gt;0,VLOOKUP($B978,Reference!$A$6:$C$27,3,FALSE),""),""))</f>
        <v/>
      </c>
      <c r="E978" s="53"/>
      <c r="F978" s="82">
        <f>IF(OR($A978="",$B978="",NOT(ISNUMBER($C978))),"",IF(ISNUMBER($E978),IF($E978&gt;0,EDATE($C978,$E978),""),IF(ISNUMBER($D978),EDATE($C978,$D978),"")))</f>
        <v/>
      </c>
      <c r="G978" s="83">
        <f>IF($F978="","",$F978-TODAY())</f>
        <v/>
      </c>
      <c r="H978" s="85">
        <f>IF(OR($A978="",$B978=""),"",IF($F978="","No date",IF($G978&lt;0,"Overdue",IF($G978&lt;=30,"Due &lt;=30",IF($G978&lt;=60,"Due 31-60","OK")))))</f>
        <v/>
      </c>
      <c r="I978" s="54"/>
      <c r="J978" s="54"/>
      <c r="K978" s="54"/>
      <c r="L978" s="54"/>
      <c r="M978" s="105">
        <f>IF($F978="","",$F978+ROW()/100000)</f>
        <v/>
      </c>
    </row>
    <row r="979" spans="1:13">
      <c r="A979" s="54"/>
      <c r="B979" s="54"/>
      <c r="C979" s="52"/>
      <c r="D979" s="83">
        <f>IF($B979="","",IFERROR(IF(VLOOKUP($B979,Reference!$A$6:$C$27,3,FALSE)&gt;0,VLOOKUP($B979,Reference!$A$6:$C$27,3,FALSE),""),""))</f>
        <v/>
      </c>
      <c r="E979" s="53"/>
      <c r="F979" s="82">
        <f>IF(OR($A979="",$B979="",NOT(ISNUMBER($C979))),"",IF(ISNUMBER($E979),IF($E979&gt;0,EDATE($C979,$E979),""),IF(ISNUMBER($D979),EDATE($C979,$D979),"")))</f>
        <v/>
      </c>
      <c r="G979" s="83">
        <f>IF($F979="","",$F979-TODAY())</f>
        <v/>
      </c>
      <c r="H979" s="85">
        <f>IF(OR($A979="",$B979=""),"",IF($F979="","No date",IF($G979&lt;0,"Overdue",IF($G979&lt;=30,"Due &lt;=30",IF($G979&lt;=60,"Due 31-60","OK")))))</f>
        <v/>
      </c>
      <c r="I979" s="54"/>
      <c r="J979" s="54"/>
      <c r="K979" s="54"/>
      <c r="L979" s="54"/>
      <c r="M979" s="105">
        <f>IF($F979="","",$F979+ROW()/100000)</f>
        <v/>
      </c>
    </row>
    <row r="980" spans="1:13">
      <c r="A980" s="54"/>
      <c r="B980" s="54"/>
      <c r="C980" s="52"/>
      <c r="D980" s="83">
        <f>IF($B980="","",IFERROR(IF(VLOOKUP($B980,Reference!$A$6:$C$27,3,FALSE)&gt;0,VLOOKUP($B980,Reference!$A$6:$C$27,3,FALSE),""),""))</f>
        <v/>
      </c>
      <c r="E980" s="53"/>
      <c r="F980" s="82">
        <f>IF(OR($A980="",$B980="",NOT(ISNUMBER($C980))),"",IF(ISNUMBER($E980),IF($E980&gt;0,EDATE($C980,$E980),""),IF(ISNUMBER($D980),EDATE($C980,$D980),"")))</f>
        <v/>
      </c>
      <c r="G980" s="83">
        <f>IF($F980="","",$F980-TODAY())</f>
        <v/>
      </c>
      <c r="H980" s="85">
        <f>IF(OR($A980="",$B980=""),"",IF($F980="","No date",IF($G980&lt;0,"Overdue",IF($G980&lt;=30,"Due &lt;=30",IF($G980&lt;=60,"Due 31-60","OK")))))</f>
        <v/>
      </c>
      <c r="I980" s="54"/>
      <c r="J980" s="54"/>
      <c r="K980" s="54"/>
      <c r="L980" s="54"/>
      <c r="M980" s="105">
        <f>IF($F980="","",$F980+ROW()/100000)</f>
        <v/>
      </c>
    </row>
    <row r="981" spans="1:13">
      <c r="A981" s="54"/>
      <c r="B981" s="54"/>
      <c r="C981" s="52"/>
      <c r="D981" s="83">
        <f>IF($B981="","",IFERROR(IF(VLOOKUP($B981,Reference!$A$6:$C$27,3,FALSE)&gt;0,VLOOKUP($B981,Reference!$A$6:$C$27,3,FALSE),""),""))</f>
        <v/>
      </c>
      <c r="E981" s="53"/>
      <c r="F981" s="82">
        <f>IF(OR($A981="",$B981="",NOT(ISNUMBER($C981))),"",IF(ISNUMBER($E981),IF($E981&gt;0,EDATE($C981,$E981),""),IF(ISNUMBER($D981),EDATE($C981,$D981),"")))</f>
        <v/>
      </c>
      <c r="G981" s="83">
        <f>IF($F981="","",$F981-TODAY())</f>
        <v/>
      </c>
      <c r="H981" s="85">
        <f>IF(OR($A981="",$B981=""),"",IF($F981="","No date",IF($G981&lt;0,"Overdue",IF($G981&lt;=30,"Due &lt;=30",IF($G981&lt;=60,"Due 31-60","OK")))))</f>
        <v/>
      </c>
      <c r="I981" s="54"/>
      <c r="J981" s="54"/>
      <c r="K981" s="54"/>
      <c r="L981" s="54"/>
      <c r="M981" s="105">
        <f>IF($F981="","",$F981+ROW()/100000)</f>
        <v/>
      </c>
    </row>
    <row r="982" spans="1:13">
      <c r="A982" s="54"/>
      <c r="B982" s="54"/>
      <c r="C982" s="52"/>
      <c r="D982" s="83">
        <f>IF($B982="","",IFERROR(IF(VLOOKUP($B982,Reference!$A$6:$C$27,3,FALSE)&gt;0,VLOOKUP($B982,Reference!$A$6:$C$27,3,FALSE),""),""))</f>
        <v/>
      </c>
      <c r="E982" s="53"/>
      <c r="F982" s="82">
        <f>IF(OR($A982="",$B982="",NOT(ISNUMBER($C982))),"",IF(ISNUMBER($E982),IF($E982&gt;0,EDATE($C982,$E982),""),IF(ISNUMBER($D982),EDATE($C982,$D982),"")))</f>
        <v/>
      </c>
      <c r="G982" s="83">
        <f>IF($F982="","",$F982-TODAY())</f>
        <v/>
      </c>
      <c r="H982" s="85">
        <f>IF(OR($A982="",$B982=""),"",IF($F982="","No date",IF($G982&lt;0,"Overdue",IF($G982&lt;=30,"Due &lt;=30",IF($G982&lt;=60,"Due 31-60","OK")))))</f>
        <v/>
      </c>
      <c r="I982" s="54"/>
      <c r="J982" s="54"/>
      <c r="K982" s="54"/>
      <c r="L982" s="54"/>
      <c r="M982" s="105">
        <f>IF($F982="","",$F982+ROW()/100000)</f>
        <v/>
      </c>
    </row>
    <row r="983" spans="1:13">
      <c r="A983" s="54"/>
      <c r="B983" s="54"/>
      <c r="C983" s="52"/>
      <c r="D983" s="83">
        <f>IF($B983="","",IFERROR(IF(VLOOKUP($B983,Reference!$A$6:$C$27,3,FALSE)&gt;0,VLOOKUP($B983,Reference!$A$6:$C$27,3,FALSE),""),""))</f>
        <v/>
      </c>
      <c r="E983" s="53"/>
      <c r="F983" s="82">
        <f>IF(OR($A983="",$B983="",NOT(ISNUMBER($C983))),"",IF(ISNUMBER($E983),IF($E983&gt;0,EDATE($C983,$E983),""),IF(ISNUMBER($D983),EDATE($C983,$D983),"")))</f>
        <v/>
      </c>
      <c r="G983" s="83">
        <f>IF($F983="","",$F983-TODAY())</f>
        <v/>
      </c>
      <c r="H983" s="85">
        <f>IF(OR($A983="",$B983=""),"",IF($F983="","No date",IF($G983&lt;0,"Overdue",IF($G983&lt;=30,"Due &lt;=30",IF($G983&lt;=60,"Due 31-60","OK")))))</f>
        <v/>
      </c>
      <c r="I983" s="54"/>
      <c r="J983" s="54"/>
      <c r="K983" s="54"/>
      <c r="L983" s="54"/>
      <c r="M983" s="105">
        <f>IF($F983="","",$F983+ROW()/100000)</f>
        <v/>
      </c>
    </row>
    <row r="984" spans="1:13">
      <c r="A984" s="54"/>
      <c r="B984" s="54"/>
      <c r="C984" s="52"/>
      <c r="D984" s="83">
        <f>IF($B984="","",IFERROR(IF(VLOOKUP($B984,Reference!$A$6:$C$27,3,FALSE)&gt;0,VLOOKUP($B984,Reference!$A$6:$C$27,3,FALSE),""),""))</f>
        <v/>
      </c>
      <c r="E984" s="53"/>
      <c r="F984" s="82">
        <f>IF(OR($A984="",$B984="",NOT(ISNUMBER($C984))),"",IF(ISNUMBER($E984),IF($E984&gt;0,EDATE($C984,$E984),""),IF(ISNUMBER($D984),EDATE($C984,$D984),"")))</f>
        <v/>
      </c>
      <c r="G984" s="83">
        <f>IF($F984="","",$F984-TODAY())</f>
        <v/>
      </c>
      <c r="H984" s="85">
        <f>IF(OR($A984="",$B984=""),"",IF($F984="","No date",IF($G984&lt;0,"Overdue",IF($G984&lt;=30,"Due &lt;=30",IF($G984&lt;=60,"Due 31-60","OK")))))</f>
        <v/>
      </c>
      <c r="I984" s="54"/>
      <c r="J984" s="54"/>
      <c r="K984" s="54"/>
      <c r="L984" s="54"/>
      <c r="M984" s="105">
        <f>IF($F984="","",$F984+ROW()/100000)</f>
        <v/>
      </c>
    </row>
    <row r="985" spans="1:13">
      <c r="A985" s="54"/>
      <c r="B985" s="54"/>
      <c r="C985" s="52"/>
      <c r="D985" s="83">
        <f>IF($B985="","",IFERROR(IF(VLOOKUP($B985,Reference!$A$6:$C$27,3,FALSE)&gt;0,VLOOKUP($B985,Reference!$A$6:$C$27,3,FALSE),""),""))</f>
        <v/>
      </c>
      <c r="E985" s="53"/>
      <c r="F985" s="82">
        <f>IF(OR($A985="",$B985="",NOT(ISNUMBER($C985))),"",IF(ISNUMBER($E985),IF($E985&gt;0,EDATE($C985,$E985),""),IF(ISNUMBER($D985),EDATE($C985,$D985),"")))</f>
        <v/>
      </c>
      <c r="G985" s="83">
        <f>IF($F985="","",$F985-TODAY())</f>
        <v/>
      </c>
      <c r="H985" s="85">
        <f>IF(OR($A985="",$B985=""),"",IF($F985="","No date",IF($G985&lt;0,"Overdue",IF($G985&lt;=30,"Due &lt;=30",IF($G985&lt;=60,"Due 31-60","OK")))))</f>
        <v/>
      </c>
      <c r="I985" s="54"/>
      <c r="J985" s="54"/>
      <c r="K985" s="54"/>
      <c r="L985" s="54"/>
      <c r="M985" s="105">
        <f>IF($F985="","",$F985+ROW()/100000)</f>
        <v/>
      </c>
    </row>
    <row r="986" spans="1:13">
      <c r="A986" s="54"/>
      <c r="B986" s="54"/>
      <c r="C986" s="52"/>
      <c r="D986" s="83">
        <f>IF($B986="","",IFERROR(IF(VLOOKUP($B986,Reference!$A$6:$C$27,3,FALSE)&gt;0,VLOOKUP($B986,Reference!$A$6:$C$27,3,FALSE),""),""))</f>
        <v/>
      </c>
      <c r="E986" s="53"/>
      <c r="F986" s="82">
        <f>IF(OR($A986="",$B986="",NOT(ISNUMBER($C986))),"",IF(ISNUMBER($E986),IF($E986&gt;0,EDATE($C986,$E986),""),IF(ISNUMBER($D986),EDATE($C986,$D986),"")))</f>
        <v/>
      </c>
      <c r="G986" s="83">
        <f>IF($F986="","",$F986-TODAY())</f>
        <v/>
      </c>
      <c r="H986" s="85">
        <f>IF(OR($A986="",$B986=""),"",IF($F986="","No date",IF($G986&lt;0,"Overdue",IF($G986&lt;=30,"Due &lt;=30",IF($G986&lt;=60,"Due 31-60","OK")))))</f>
        <v/>
      </c>
      <c r="I986" s="54"/>
      <c r="J986" s="54"/>
      <c r="K986" s="54"/>
      <c r="L986" s="54"/>
      <c r="M986" s="105">
        <f>IF($F986="","",$F986+ROW()/100000)</f>
        <v/>
      </c>
    </row>
    <row r="987" spans="1:13">
      <c r="A987" s="54"/>
      <c r="B987" s="54"/>
      <c r="C987" s="52"/>
      <c r="D987" s="83">
        <f>IF($B987="","",IFERROR(IF(VLOOKUP($B987,Reference!$A$6:$C$27,3,FALSE)&gt;0,VLOOKUP($B987,Reference!$A$6:$C$27,3,FALSE),""),""))</f>
        <v/>
      </c>
      <c r="E987" s="53"/>
      <c r="F987" s="82">
        <f>IF(OR($A987="",$B987="",NOT(ISNUMBER($C987))),"",IF(ISNUMBER($E987),IF($E987&gt;0,EDATE($C987,$E987),""),IF(ISNUMBER($D987),EDATE($C987,$D987),"")))</f>
        <v/>
      </c>
      <c r="G987" s="83">
        <f>IF($F987="","",$F987-TODAY())</f>
        <v/>
      </c>
      <c r="H987" s="85">
        <f>IF(OR($A987="",$B987=""),"",IF($F987="","No date",IF($G987&lt;0,"Overdue",IF($G987&lt;=30,"Due &lt;=30",IF($G987&lt;=60,"Due 31-60","OK")))))</f>
        <v/>
      </c>
      <c r="I987" s="54"/>
      <c r="J987" s="54"/>
      <c r="K987" s="54"/>
      <c r="L987" s="54"/>
      <c r="M987" s="105">
        <f>IF($F987="","",$F987+ROW()/100000)</f>
        <v/>
      </c>
    </row>
    <row r="988" spans="1:13">
      <c r="A988" s="54"/>
      <c r="B988" s="54"/>
      <c r="C988" s="52"/>
      <c r="D988" s="83">
        <f>IF($B988="","",IFERROR(IF(VLOOKUP($B988,Reference!$A$6:$C$27,3,FALSE)&gt;0,VLOOKUP($B988,Reference!$A$6:$C$27,3,FALSE),""),""))</f>
        <v/>
      </c>
      <c r="E988" s="53"/>
      <c r="F988" s="82">
        <f>IF(OR($A988="",$B988="",NOT(ISNUMBER($C988))),"",IF(ISNUMBER($E988),IF($E988&gt;0,EDATE($C988,$E988),""),IF(ISNUMBER($D988),EDATE($C988,$D988),"")))</f>
        <v/>
      </c>
      <c r="G988" s="83">
        <f>IF($F988="","",$F988-TODAY())</f>
        <v/>
      </c>
      <c r="H988" s="85">
        <f>IF(OR($A988="",$B988=""),"",IF($F988="","No date",IF($G988&lt;0,"Overdue",IF($G988&lt;=30,"Due &lt;=30",IF($G988&lt;=60,"Due 31-60","OK")))))</f>
        <v/>
      </c>
      <c r="I988" s="54"/>
      <c r="J988" s="54"/>
      <c r="K988" s="54"/>
      <c r="L988" s="54"/>
      <c r="M988" s="105">
        <f>IF($F988="","",$F988+ROW()/100000)</f>
        <v/>
      </c>
    </row>
    <row r="989" spans="1:13">
      <c r="A989" s="54"/>
      <c r="B989" s="54"/>
      <c r="C989" s="52"/>
      <c r="D989" s="83">
        <f>IF($B989="","",IFERROR(IF(VLOOKUP($B989,Reference!$A$6:$C$27,3,FALSE)&gt;0,VLOOKUP($B989,Reference!$A$6:$C$27,3,FALSE),""),""))</f>
        <v/>
      </c>
      <c r="E989" s="53"/>
      <c r="F989" s="82">
        <f>IF(OR($A989="",$B989="",NOT(ISNUMBER($C989))),"",IF(ISNUMBER($E989),IF($E989&gt;0,EDATE($C989,$E989),""),IF(ISNUMBER($D989),EDATE($C989,$D989),"")))</f>
        <v/>
      </c>
      <c r="G989" s="83">
        <f>IF($F989="","",$F989-TODAY())</f>
        <v/>
      </c>
      <c r="H989" s="85">
        <f>IF(OR($A989="",$B989=""),"",IF($F989="","No date",IF($G989&lt;0,"Overdue",IF($G989&lt;=30,"Due &lt;=30",IF($G989&lt;=60,"Due 31-60","OK")))))</f>
        <v/>
      </c>
      <c r="I989" s="54"/>
      <c r="J989" s="54"/>
      <c r="K989" s="54"/>
      <c r="L989" s="54"/>
      <c r="M989" s="105">
        <f>IF($F989="","",$F989+ROW()/100000)</f>
        <v/>
      </c>
    </row>
    <row r="990" spans="1:13">
      <c r="A990" s="54"/>
      <c r="B990" s="54"/>
      <c r="C990" s="52"/>
      <c r="D990" s="83">
        <f>IF($B990="","",IFERROR(IF(VLOOKUP($B990,Reference!$A$6:$C$27,3,FALSE)&gt;0,VLOOKUP($B990,Reference!$A$6:$C$27,3,FALSE),""),""))</f>
        <v/>
      </c>
      <c r="E990" s="53"/>
      <c r="F990" s="82">
        <f>IF(OR($A990="",$B990="",NOT(ISNUMBER($C990))),"",IF(ISNUMBER($E990),IF($E990&gt;0,EDATE($C990,$E990),""),IF(ISNUMBER($D990),EDATE($C990,$D990),"")))</f>
        <v/>
      </c>
      <c r="G990" s="83">
        <f>IF($F990="","",$F990-TODAY())</f>
        <v/>
      </c>
      <c r="H990" s="85">
        <f>IF(OR($A990="",$B990=""),"",IF($F990="","No date",IF($G990&lt;0,"Overdue",IF($G990&lt;=30,"Due &lt;=30",IF($G990&lt;=60,"Due 31-60","OK")))))</f>
        <v/>
      </c>
      <c r="I990" s="54"/>
      <c r="J990" s="54"/>
      <c r="K990" s="54"/>
      <c r="L990" s="54"/>
      <c r="M990" s="105">
        <f>IF($F990="","",$F990+ROW()/100000)</f>
        <v/>
      </c>
    </row>
    <row r="991" spans="1:13">
      <c r="A991" s="54"/>
      <c r="B991" s="54"/>
      <c r="C991" s="52"/>
      <c r="D991" s="83">
        <f>IF($B991="","",IFERROR(IF(VLOOKUP($B991,Reference!$A$6:$C$27,3,FALSE)&gt;0,VLOOKUP($B991,Reference!$A$6:$C$27,3,FALSE),""),""))</f>
        <v/>
      </c>
      <c r="E991" s="53"/>
      <c r="F991" s="82">
        <f>IF(OR($A991="",$B991="",NOT(ISNUMBER($C991))),"",IF(ISNUMBER($E991),IF($E991&gt;0,EDATE($C991,$E991),""),IF(ISNUMBER($D991),EDATE($C991,$D991),"")))</f>
        <v/>
      </c>
      <c r="G991" s="83">
        <f>IF($F991="","",$F991-TODAY())</f>
        <v/>
      </c>
      <c r="H991" s="85">
        <f>IF(OR($A991="",$B991=""),"",IF($F991="","No date",IF($G991&lt;0,"Overdue",IF($G991&lt;=30,"Due &lt;=30",IF($G991&lt;=60,"Due 31-60","OK")))))</f>
        <v/>
      </c>
      <c r="I991" s="54"/>
      <c r="J991" s="54"/>
      <c r="K991" s="54"/>
      <c r="L991" s="54"/>
      <c r="M991" s="105">
        <f>IF($F991="","",$F991+ROW()/100000)</f>
        <v/>
      </c>
    </row>
    <row r="992" spans="1:13">
      <c r="A992" s="54"/>
      <c r="B992" s="54"/>
      <c r="C992" s="52"/>
      <c r="D992" s="83">
        <f>IF($B992="","",IFERROR(IF(VLOOKUP($B992,Reference!$A$6:$C$27,3,FALSE)&gt;0,VLOOKUP($B992,Reference!$A$6:$C$27,3,FALSE),""),""))</f>
        <v/>
      </c>
      <c r="E992" s="53"/>
      <c r="F992" s="82">
        <f>IF(OR($A992="",$B992="",NOT(ISNUMBER($C992))),"",IF(ISNUMBER($E992),IF($E992&gt;0,EDATE($C992,$E992),""),IF(ISNUMBER($D992),EDATE($C992,$D992),"")))</f>
        <v/>
      </c>
      <c r="G992" s="83">
        <f>IF($F992="","",$F992-TODAY())</f>
        <v/>
      </c>
      <c r="H992" s="85">
        <f>IF(OR($A992="",$B992=""),"",IF($F992="","No date",IF($G992&lt;0,"Overdue",IF($G992&lt;=30,"Due &lt;=30",IF($G992&lt;=60,"Due 31-60","OK")))))</f>
        <v/>
      </c>
      <c r="I992" s="54"/>
      <c r="J992" s="54"/>
      <c r="K992" s="54"/>
      <c r="L992" s="54"/>
      <c r="M992" s="105">
        <f>IF($F992="","",$F992+ROW()/100000)</f>
        <v/>
      </c>
    </row>
    <row r="993" spans="1:13">
      <c r="A993" s="54"/>
      <c r="B993" s="54"/>
      <c r="C993" s="52"/>
      <c r="D993" s="83">
        <f>IF($B993="","",IFERROR(IF(VLOOKUP($B993,Reference!$A$6:$C$27,3,FALSE)&gt;0,VLOOKUP($B993,Reference!$A$6:$C$27,3,FALSE),""),""))</f>
        <v/>
      </c>
      <c r="E993" s="53"/>
      <c r="F993" s="82">
        <f>IF(OR($A993="",$B993="",NOT(ISNUMBER($C993))),"",IF(ISNUMBER($E993),IF($E993&gt;0,EDATE($C993,$E993),""),IF(ISNUMBER($D993),EDATE($C993,$D993),"")))</f>
        <v/>
      </c>
      <c r="G993" s="83">
        <f>IF($F993="","",$F993-TODAY())</f>
        <v/>
      </c>
      <c r="H993" s="85">
        <f>IF(OR($A993="",$B993=""),"",IF($F993="","No date",IF($G993&lt;0,"Overdue",IF($G993&lt;=30,"Due &lt;=30",IF($G993&lt;=60,"Due 31-60","OK")))))</f>
        <v/>
      </c>
      <c r="I993" s="54"/>
      <c r="J993" s="54"/>
      <c r="K993" s="54"/>
      <c r="L993" s="54"/>
      <c r="M993" s="105">
        <f>IF($F993="","",$F993+ROW()/100000)</f>
        <v/>
      </c>
    </row>
    <row r="994" spans="1:13">
      <c r="A994" s="54"/>
      <c r="B994" s="54"/>
      <c r="C994" s="52"/>
      <c r="D994" s="83">
        <f>IF($B994="","",IFERROR(IF(VLOOKUP($B994,Reference!$A$6:$C$27,3,FALSE)&gt;0,VLOOKUP($B994,Reference!$A$6:$C$27,3,FALSE),""),""))</f>
        <v/>
      </c>
      <c r="E994" s="53"/>
      <c r="F994" s="82">
        <f>IF(OR($A994="",$B994="",NOT(ISNUMBER($C994))),"",IF(ISNUMBER($E994),IF($E994&gt;0,EDATE($C994,$E994),""),IF(ISNUMBER($D994),EDATE($C994,$D994),"")))</f>
        <v/>
      </c>
      <c r="G994" s="83">
        <f>IF($F994="","",$F994-TODAY())</f>
        <v/>
      </c>
      <c r="H994" s="85">
        <f>IF(OR($A994="",$B994=""),"",IF($F994="","No date",IF($G994&lt;0,"Overdue",IF($G994&lt;=30,"Due &lt;=30",IF($G994&lt;=60,"Due 31-60","OK")))))</f>
        <v/>
      </c>
      <c r="I994" s="54"/>
      <c r="J994" s="54"/>
      <c r="K994" s="54"/>
      <c r="L994" s="54"/>
      <c r="M994" s="105">
        <f>IF($F994="","",$F994+ROW()/100000)</f>
        <v/>
      </c>
    </row>
    <row r="995" spans="1:13">
      <c r="A995" s="54"/>
      <c r="B995" s="54"/>
      <c r="C995" s="52"/>
      <c r="D995" s="83">
        <f>IF($B995="","",IFERROR(IF(VLOOKUP($B995,Reference!$A$6:$C$27,3,FALSE)&gt;0,VLOOKUP($B995,Reference!$A$6:$C$27,3,FALSE),""),""))</f>
        <v/>
      </c>
      <c r="E995" s="53"/>
      <c r="F995" s="82">
        <f>IF(OR($A995="",$B995="",NOT(ISNUMBER($C995))),"",IF(ISNUMBER($E995),IF($E995&gt;0,EDATE($C995,$E995),""),IF(ISNUMBER($D995),EDATE($C995,$D995),"")))</f>
        <v/>
      </c>
      <c r="G995" s="83">
        <f>IF($F995="","",$F995-TODAY())</f>
        <v/>
      </c>
      <c r="H995" s="85">
        <f>IF(OR($A995="",$B995=""),"",IF($F995="","No date",IF($G995&lt;0,"Overdue",IF($G995&lt;=30,"Due &lt;=30",IF($G995&lt;=60,"Due 31-60","OK")))))</f>
        <v/>
      </c>
      <c r="I995" s="54"/>
      <c r="J995" s="54"/>
      <c r="K995" s="54"/>
      <c r="L995" s="54"/>
      <c r="M995" s="105">
        <f>IF($F995="","",$F995+ROW()/100000)</f>
        <v/>
      </c>
    </row>
    <row r="996" spans="1:13">
      <c r="A996" s="54"/>
      <c r="B996" s="54"/>
      <c r="C996" s="52"/>
      <c r="D996" s="83">
        <f>IF($B996="","",IFERROR(IF(VLOOKUP($B996,Reference!$A$6:$C$27,3,FALSE)&gt;0,VLOOKUP($B996,Reference!$A$6:$C$27,3,FALSE),""),""))</f>
        <v/>
      </c>
      <c r="E996" s="53"/>
      <c r="F996" s="82">
        <f>IF(OR($A996="",$B996="",NOT(ISNUMBER($C996))),"",IF(ISNUMBER($E996),IF($E996&gt;0,EDATE($C996,$E996),""),IF(ISNUMBER($D996),EDATE($C996,$D996),"")))</f>
        <v/>
      </c>
      <c r="G996" s="83">
        <f>IF($F996="","",$F996-TODAY())</f>
        <v/>
      </c>
      <c r="H996" s="85">
        <f>IF(OR($A996="",$B996=""),"",IF($F996="","No date",IF($G996&lt;0,"Overdue",IF($G996&lt;=30,"Due &lt;=30",IF($G996&lt;=60,"Due 31-60","OK")))))</f>
        <v/>
      </c>
      <c r="I996" s="54"/>
      <c r="J996" s="54"/>
      <c r="K996" s="54"/>
      <c r="L996" s="54"/>
      <c r="M996" s="105">
        <f>IF($F996="","",$F996+ROW()/100000)</f>
        <v/>
      </c>
    </row>
    <row r="997" spans="1:13">
      <c r="A997" s="54"/>
      <c r="B997" s="54"/>
      <c r="C997" s="52"/>
      <c r="D997" s="83">
        <f>IF($B997="","",IFERROR(IF(VLOOKUP($B997,Reference!$A$6:$C$27,3,FALSE)&gt;0,VLOOKUP($B997,Reference!$A$6:$C$27,3,FALSE),""),""))</f>
        <v/>
      </c>
      <c r="E997" s="53"/>
      <c r="F997" s="82">
        <f>IF(OR($A997="",$B997="",NOT(ISNUMBER($C997))),"",IF(ISNUMBER($E997),IF($E997&gt;0,EDATE($C997,$E997),""),IF(ISNUMBER($D997),EDATE($C997,$D997),"")))</f>
        <v/>
      </c>
      <c r="G997" s="83">
        <f>IF($F997="","",$F997-TODAY())</f>
        <v/>
      </c>
      <c r="H997" s="85">
        <f>IF(OR($A997="",$B997=""),"",IF($F997="","No date",IF($G997&lt;0,"Overdue",IF($G997&lt;=30,"Due &lt;=30",IF($G997&lt;=60,"Due 31-60","OK")))))</f>
        <v/>
      </c>
      <c r="I997" s="54"/>
      <c r="J997" s="54"/>
      <c r="K997" s="54"/>
      <c r="L997" s="54"/>
      <c r="M997" s="105">
        <f>IF($F997="","",$F997+ROW()/100000)</f>
        <v/>
      </c>
    </row>
    <row r="998" spans="1:13">
      <c r="A998" s="54"/>
      <c r="B998" s="54"/>
      <c r="C998" s="52"/>
      <c r="D998" s="83">
        <f>IF($B998="","",IFERROR(IF(VLOOKUP($B998,Reference!$A$6:$C$27,3,FALSE)&gt;0,VLOOKUP($B998,Reference!$A$6:$C$27,3,FALSE),""),""))</f>
        <v/>
      </c>
      <c r="E998" s="53"/>
      <c r="F998" s="82">
        <f>IF(OR($A998="",$B998="",NOT(ISNUMBER($C998))),"",IF(ISNUMBER($E998),IF($E998&gt;0,EDATE($C998,$E998),""),IF(ISNUMBER($D998),EDATE($C998,$D998),"")))</f>
        <v/>
      </c>
      <c r="G998" s="83">
        <f>IF($F998="","",$F998-TODAY())</f>
        <v/>
      </c>
      <c r="H998" s="85">
        <f>IF(OR($A998="",$B998=""),"",IF($F998="","No date",IF($G998&lt;0,"Overdue",IF($G998&lt;=30,"Due &lt;=30",IF($G998&lt;=60,"Due 31-60","OK")))))</f>
        <v/>
      </c>
      <c r="I998" s="54"/>
      <c r="J998" s="54"/>
      <c r="K998" s="54"/>
      <c r="L998" s="54"/>
      <c r="M998" s="105">
        <f>IF($F998="","",$F998+ROW()/100000)</f>
        <v/>
      </c>
    </row>
    <row r="999" spans="1:13">
      <c r="A999" s="54"/>
      <c r="B999" s="54"/>
      <c r="C999" s="52"/>
      <c r="D999" s="83">
        <f>IF($B999="","",IFERROR(IF(VLOOKUP($B999,Reference!$A$6:$C$27,3,FALSE)&gt;0,VLOOKUP($B999,Reference!$A$6:$C$27,3,FALSE),""),""))</f>
        <v/>
      </c>
      <c r="E999" s="53"/>
      <c r="F999" s="82">
        <f>IF(OR($A999="",$B999="",NOT(ISNUMBER($C999))),"",IF(ISNUMBER($E999),IF($E999&gt;0,EDATE($C999,$E999),""),IF(ISNUMBER($D999),EDATE($C999,$D999),"")))</f>
        <v/>
      </c>
      <c r="G999" s="83">
        <f>IF($F999="","",$F999-TODAY())</f>
        <v/>
      </c>
      <c r="H999" s="85">
        <f>IF(OR($A999="",$B999=""),"",IF($F999="","No date",IF($G999&lt;0,"Overdue",IF($G999&lt;=30,"Due &lt;=30",IF($G999&lt;=60,"Due 31-60","OK")))))</f>
        <v/>
      </c>
      <c r="I999" s="54"/>
      <c r="J999" s="54"/>
      <c r="K999" s="54"/>
      <c r="L999" s="54"/>
      <c r="M999" s="105">
        <f>IF($F999="","",$F999+ROW()/100000)</f>
        <v/>
      </c>
    </row>
    <row r="1000" spans="1:13">
      <c r="A1000" s="54"/>
      <c r="B1000" s="54"/>
      <c r="C1000" s="52"/>
      <c r="D1000" s="83">
        <f>IF($B1000="","",IFERROR(IF(VLOOKUP($B1000,Reference!$A$6:$C$27,3,FALSE)&gt;0,VLOOKUP($B1000,Reference!$A$6:$C$27,3,FALSE),""),""))</f>
        <v/>
      </c>
      <c r="E1000" s="53"/>
      <c r="F1000" s="82">
        <f>IF(OR($A1000="",$B1000="",NOT(ISNUMBER($C1000))),"",IF(ISNUMBER($E1000),IF($E1000&gt;0,EDATE($C1000,$E1000),""),IF(ISNUMBER($D1000),EDATE($C1000,$D1000),"")))</f>
        <v/>
      </c>
      <c r="G1000" s="83">
        <f>IF($F1000="","",$F1000-TODAY())</f>
        <v/>
      </c>
      <c r="H1000" s="85">
        <f>IF(OR($A1000="",$B1000=""),"",IF($F1000="","No date",IF($G1000&lt;0,"Overdue",IF($G1000&lt;=30,"Due &lt;=30",IF($G1000&lt;=60,"Due 31-60","OK")))))</f>
        <v/>
      </c>
      <c r="I1000" s="54"/>
      <c r="J1000" s="54"/>
      <c r="K1000" s="54"/>
      <c r="L1000" s="54"/>
      <c r="M1000" s="105">
        <f>IF($F1000="","",$F1000+ROW()/100000)</f>
        <v/>
      </c>
    </row>
    <row r="1001" spans="1:13">
      <c r="A1001" s="54"/>
      <c r="B1001" s="54"/>
      <c r="C1001" s="52"/>
      <c r="D1001" s="83">
        <f>IF($B1001="","",IFERROR(IF(VLOOKUP($B1001,Reference!$A$6:$C$27,3,FALSE)&gt;0,VLOOKUP($B1001,Reference!$A$6:$C$27,3,FALSE),""),""))</f>
        <v/>
      </c>
      <c r="E1001" s="53"/>
      <c r="F1001" s="82">
        <f>IF(OR($A1001="",$B1001="",NOT(ISNUMBER($C1001))),"",IF(ISNUMBER($E1001),IF($E1001&gt;0,EDATE($C1001,$E1001),""),IF(ISNUMBER($D1001),EDATE($C1001,$D1001),"")))</f>
        <v/>
      </c>
      <c r="G1001" s="83">
        <f>IF($F1001="","",$F1001-TODAY())</f>
        <v/>
      </c>
      <c r="H1001" s="85">
        <f>IF(OR($A1001="",$B1001=""),"",IF($F1001="","No date",IF($G1001&lt;0,"Overdue",IF($G1001&lt;=30,"Due &lt;=30",IF($G1001&lt;=60,"Due 31-60","OK")))))</f>
        <v/>
      </c>
      <c r="I1001" s="54"/>
      <c r="J1001" s="54"/>
      <c r="K1001" s="54"/>
      <c r="L1001" s="54"/>
      <c r="M1001" s="105">
        <f>IF($F1001="","",$F1001+ROW()/100000)</f>
        <v/>
      </c>
    </row>
    <row r="1002" spans="1:13">
      <c r="A1002" s="54"/>
      <c r="B1002" s="54"/>
      <c r="C1002" s="52"/>
      <c r="D1002" s="83">
        <f>IF($B1002="","",IFERROR(IF(VLOOKUP($B1002,Reference!$A$6:$C$27,3,FALSE)&gt;0,VLOOKUP($B1002,Reference!$A$6:$C$27,3,FALSE),""),""))</f>
        <v/>
      </c>
      <c r="E1002" s="53"/>
      <c r="F1002" s="82">
        <f>IF(OR($A1002="",$B1002="",NOT(ISNUMBER($C1002))),"",IF(ISNUMBER($E1002),IF($E1002&gt;0,EDATE($C1002,$E1002),""),IF(ISNUMBER($D1002),EDATE($C1002,$D1002),"")))</f>
        <v/>
      </c>
      <c r="G1002" s="83">
        <f>IF($F1002="","",$F1002-TODAY())</f>
        <v/>
      </c>
      <c r="H1002" s="85">
        <f>IF(OR($A1002="",$B1002=""),"",IF($F1002="","No date",IF($G1002&lt;0,"Overdue",IF($G1002&lt;=30,"Due &lt;=30",IF($G1002&lt;=60,"Due 31-60","OK")))))</f>
        <v/>
      </c>
      <c r="I1002" s="54"/>
      <c r="J1002" s="54"/>
      <c r="K1002" s="54"/>
      <c r="L1002" s="54"/>
      <c r="M1002" s="105">
        <f>IF($F1002="","",$F1002+ROW()/100000)</f>
        <v/>
      </c>
    </row>
    <row r="1003" spans="1:13">
      <c r="A1003" s="54"/>
      <c r="B1003" s="54"/>
      <c r="C1003" s="52"/>
      <c r="D1003" s="83">
        <f>IF($B1003="","",IFERROR(IF(VLOOKUP($B1003,Reference!$A$6:$C$27,3,FALSE)&gt;0,VLOOKUP($B1003,Reference!$A$6:$C$27,3,FALSE),""),""))</f>
        <v/>
      </c>
      <c r="E1003" s="53"/>
      <c r="F1003" s="82">
        <f>IF(OR($A1003="",$B1003="",NOT(ISNUMBER($C1003))),"",IF(ISNUMBER($E1003),IF($E1003&gt;0,EDATE($C1003,$E1003),""),IF(ISNUMBER($D1003),EDATE($C1003,$D1003),"")))</f>
        <v/>
      </c>
      <c r="G1003" s="83">
        <f>IF($F1003="","",$F1003-TODAY())</f>
        <v/>
      </c>
      <c r="H1003" s="85">
        <f>IF(OR($A1003="",$B1003=""),"",IF($F1003="","No date",IF($G1003&lt;0,"Overdue",IF($G1003&lt;=30,"Due &lt;=30",IF($G1003&lt;=60,"Due 31-60","OK")))))</f>
        <v/>
      </c>
      <c r="I1003" s="54"/>
      <c r="J1003" s="54"/>
      <c r="K1003" s="54"/>
      <c r="L1003" s="54"/>
      <c r="M1003" s="105">
        <f>IF($F1003="","",$F1003+ROW()/100000)</f>
        <v/>
      </c>
    </row>
    <row r="1004" spans="1:13">
      <c r="A1004" s="54"/>
      <c r="B1004" s="54"/>
      <c r="C1004" s="52"/>
      <c r="D1004" s="83">
        <f>IF($B1004="","",IFERROR(IF(VLOOKUP($B1004,Reference!$A$6:$C$27,3,FALSE)&gt;0,VLOOKUP($B1004,Reference!$A$6:$C$27,3,FALSE),""),""))</f>
        <v/>
      </c>
      <c r="E1004" s="53"/>
      <c r="F1004" s="82">
        <f>IF(OR($A1004="",$B1004="",NOT(ISNUMBER($C1004))),"",IF(ISNUMBER($E1004),IF($E1004&gt;0,EDATE($C1004,$E1004),""),IF(ISNUMBER($D1004),EDATE($C1004,$D1004),"")))</f>
        <v/>
      </c>
      <c r="G1004" s="83">
        <f>IF($F1004="","",$F1004-TODAY())</f>
        <v/>
      </c>
      <c r="H1004" s="85">
        <f>IF(OR($A1004="",$B1004=""),"",IF($F1004="","No date",IF($G1004&lt;0,"Overdue",IF($G1004&lt;=30,"Due &lt;=30",IF($G1004&lt;=60,"Due 31-60","OK")))))</f>
        <v/>
      </c>
      <c r="I1004" s="54"/>
      <c r="J1004" s="54"/>
      <c r="K1004" s="54"/>
      <c r="L1004" s="54"/>
      <c r="M1004" s="105">
        <f>IF($F1004="","",$F1004+ROW()/100000)</f>
        <v/>
      </c>
    </row>
    <row r="1005" spans="1:13">
      <c r="A1005" s="54"/>
      <c r="B1005" s="54"/>
      <c r="C1005" s="52"/>
      <c r="D1005" s="83">
        <f>IF($B1005="","",IFERROR(IF(VLOOKUP($B1005,Reference!$A$6:$C$27,3,FALSE)&gt;0,VLOOKUP($B1005,Reference!$A$6:$C$27,3,FALSE),""),""))</f>
        <v/>
      </c>
      <c r="E1005" s="53"/>
      <c r="F1005" s="82">
        <f>IF(OR($A1005="",$B1005="",NOT(ISNUMBER($C1005))),"",IF(ISNUMBER($E1005),IF($E1005&gt;0,EDATE($C1005,$E1005),""),IF(ISNUMBER($D1005),EDATE($C1005,$D1005),"")))</f>
        <v/>
      </c>
      <c r="G1005" s="83">
        <f>IF($F1005="","",$F1005-TODAY())</f>
        <v/>
      </c>
      <c r="H1005" s="85">
        <f>IF(OR($A1005="",$B1005=""),"",IF($F1005="","No date",IF($G1005&lt;0,"Overdue",IF($G1005&lt;=30,"Due &lt;=30",IF($G1005&lt;=60,"Due 31-60","OK")))))</f>
        <v/>
      </c>
      <c r="I1005" s="54"/>
      <c r="J1005" s="54"/>
      <c r="K1005" s="54"/>
      <c r="L1005" s="54"/>
      <c r="M1005" s="105">
        <f>IF($F1005="","",$F1005+ROW()/100000)</f>
        <v/>
      </c>
    </row>
  </sheetData>
  <mergeCells count="1">
    <mergeCell ref="A3:L3"/>
  </mergeCells>
  <conditionalFormatting sqref="A6:A1005">
    <cfRule type="expression" dxfId="6" priority="7">
      <formula>AND($B6&lt;&gt;"",$A6="")</formula>
    </cfRule>
  </conditionalFormatting>
  <conditionalFormatting sqref="B6:B1005">
    <cfRule type="expression" dxfId="6" priority="8">
      <formula>AND($A6&lt;&gt;"",$B6="")</formula>
    </cfRule>
  </conditionalFormatting>
  <conditionalFormatting sqref="C6:C1005">
    <cfRule type="expression" dxfId="5" priority="6">
      <formula>AND($C6&lt;&gt;"",NOT(ISNUMBER($C6)))</formula>
    </cfRule>
  </conditionalFormatting>
  <conditionalFormatting sqref="F6:H1005">
    <cfRule type="expression" dxfId="0" priority="1">
      <formula>$H6="Overdue"</formula>
    </cfRule>
    <cfRule type="expression" dxfId="1" priority="2">
      <formula>$H6="Due &lt;=30"</formula>
    </cfRule>
    <cfRule type="expression" dxfId="2" priority="3">
      <formula>$H6="Due 31-60"</formula>
    </cfRule>
    <cfRule type="expression" dxfId="3" priority="4">
      <formula>$H6="OK"</formula>
    </cfRule>
    <cfRule type="expression" dxfId="4" priority="5">
      <formula>$H6="No date"</formula>
    </cfRule>
  </conditionalFormatting>
  <dataValidations count="5">
    <dataValidation type="list" allowBlank="1" showInputMessage="1" showErrorMessage="1" errorTitle="Property not found" error="Choose a property from the dropdown. Add new properties on the Properties sheet first." promptTitle="Property" prompt="Pick a property from the Properties sheet." sqref="A6:A1005">
      <formula1>Properties!$A$6:$A$105</formula1>
    </dataValidation>
    <dataValidation type="list" allowBlank="1" showInputMessage="1" showErrorMessage="1" errorTitle="Check not found" error="Choose a check from the dropdown. You can add your own checks in the spare rows on the Reference sheet." promptTitle="Check type" prompt="Pick a check. The interval fills in from the Reference sheet." sqref="B6:B1005">
      <formula1>Reference!$A$6:$A$27</formula1>
    </dataValidation>
    <dataValidation type="date" allowBlank="1" showInputMessage="1" showErrorMessage="1" errorTitle="Not a date" error="Enter a date as dd/mm/yyyy. In Google Sheets set File &gt; Settings &gt; Locale to United Kingdom." sqref="C6:C1005">
      <formula1>36526</formula1>
      <formula2>73415</formula2>
    </dataValidation>
    <dataValidation type="whole" allowBlank="1" showInputMessage="1" showErrorMessage="1" errorTitle="Months" error="Enter a whole number of months (1 to 600), or leave empty to use the Reference interval." sqref="E6:E1005">
      <formula1>1</formula1>
      <formula2>600</formula2>
    </dataValidation>
    <dataValidation type="list" errorStyle="warning" allowBlank="1" showInputMessage="1" showErrorMessage="1" errorTitle="Contractor not on list" error="This name is not on the Contractors sheet. Keep it anyway?" sqref="I6:I1005">
      <formula1>Contractors!$A$6:$A$55</formula1>
    </dataValidation>
  </dataValidations>
  <pageMargins left="0.4" right="0.4" top="0.5" bottom="0.55" header="0.3" footer="0.3"/>
  <pageSetup paperSize="9" fitToHeight="0" orientation="landscape"/>
  <headerFooter>
    <oddFooter>&amp;L&amp;8&amp;A&amp;C&amp;8Page &amp;P of &amp;N&amp;R&amp;8Printed &amp;D</oddFooter>
  </headerFooter>
  <ignoredErrors>
    <ignoredError sqref="A1:Z2000" numberStoredAsText="1"/>
    <ignoredError sqref="A1:Z2000" formula="1"/>
  </ignoredErrors>
</worksheet>
</file>

<file path=xl/worksheets/sheet6.xml><?xml version="1.0" encoding="utf-8"?>
<worksheet xmlns="http://schemas.openxmlformats.org/spreadsheetml/2006/main" xmlns:r="http://schemas.openxmlformats.org/officeDocument/2006/relationships">
  <sheetPr>
    <tabColor rgb="FFC62828"/>
    <pageSetUpPr fitToPage="1"/>
  </sheetPr>
  <dimension ref="A1:J1005"/>
  <sheetViews>
    <sheetView workbookViewId="0">
      <pane ySplit="5" topLeftCell="A6" activePane="bottomLeft" state="frozen"/>
      <selection pane="bottomLeft"/>
    </sheetView>
  </sheetViews>
  <sheetFormatPr defaultRowHeight="15"/>
  <cols>
    <col min="1" max="1" width="12.7109375" customWidth="1"/>
    <col min="2" max="2" width="42.7109375" customWidth="1"/>
    <col min="3" max="3" width="30.7109375" customWidth="1"/>
    <col min="4" max="4" width="28.7109375" customWidth="1"/>
    <col min="5" max="5" width="10.7109375" customWidth="1"/>
    <col min="6" max="7" width="34.7109375" customWidth="1"/>
    <col min="8" max="8" width="12.7109375" customWidth="1"/>
    <col min="9" max="9" width="18.7109375" customWidth="1"/>
    <col min="10" max="10" width="14.7109375" customWidth="1"/>
  </cols>
  <sheetData>
    <row r="1" spans="1:10" ht="17" customHeight="1">
      <c r="A1" s="25" t="str">
        <f>IF(TRIM('Start Here'!$C$20)="","HMO Compliance Tracker 2026",TRIM('Start Here'!$C$20))&amp;IF(TRIM('Start Here'!$C$21)="","","  |  "&amp;TRIM('Start Here'!$C$21))&amp;IF(TRIM('Start Here'!$C$22)="","","  |  "&amp;TRIM('Start Here'!$C$22))&amp;IF(TRIM('Start Here'!$C$23)="","","  |  "&amp;TRIM('Start Here'!$C$23))</f>
        <v>HMO Compliance Tracker 2026</v>
      </c>
      <c r="B1" s="26"/>
      <c r="C1" s="26"/>
      <c r="D1" s="26"/>
      <c r="E1" s="26"/>
      <c r="F1" s="26"/>
      <c r="G1" s="26"/>
      <c r="H1" s="26"/>
      <c r="I1" s="26"/>
      <c r="J1" s="26"/>
    </row>
    <row r="2" spans="1:10" ht="30" customHeight="1">
      <c r="A2" s="55" t="s">
        <v>56</v>
      </c>
    </row>
    <row r="3" spans="1:10" ht="32" customHeight="1">
      <c r="A3" s="95" t="s">
        <v>252</v>
      </c>
      <c r="B3" s="95"/>
      <c r="C3" s="95"/>
      <c r="D3" s="95"/>
      <c r="E3" s="95"/>
      <c r="F3" s="95"/>
      <c r="G3" s="95"/>
      <c r="H3" s="95"/>
      <c r="I3" s="95"/>
      <c r="J3" s="95"/>
    </row>
    <row r="4" spans="1:10" ht="6" customHeight="1"/>
    <row r="5" spans="1:10" ht="36" customHeight="1">
      <c r="A5" s="96" t="s">
        <v>253</v>
      </c>
      <c r="B5" s="96" t="s">
        <v>82</v>
      </c>
      <c r="C5" s="96" t="s">
        <v>254</v>
      </c>
      <c r="D5" s="96" t="s">
        <v>255</v>
      </c>
      <c r="E5" s="96" t="s">
        <v>256</v>
      </c>
      <c r="F5" s="96" t="s">
        <v>257</v>
      </c>
      <c r="G5" s="96" t="s">
        <v>258</v>
      </c>
      <c r="H5" s="96" t="s">
        <v>259</v>
      </c>
      <c r="I5" s="96" t="s">
        <v>260</v>
      </c>
      <c r="J5" s="50" t="s">
        <v>261</v>
      </c>
    </row>
    <row r="6" spans="1:10">
      <c r="A6" s="52">
        <f>TODAY()-(3)</f>
        <v>46294.0</v>
      </c>
      <c r="B6" s="54" t="s">
        <v>169</v>
      </c>
      <c r="C6" s="54" t="s">
        <v>262</v>
      </c>
      <c r="D6" s="54" t="s">
        <v>263</v>
      </c>
      <c r="E6" s="51" t="s">
        <v>264</v>
      </c>
      <c r="F6" s="54"/>
      <c r="G6" s="54"/>
      <c r="H6" s="52"/>
      <c r="I6" s="54" t="s">
        <v>200</v>
      </c>
      <c r="J6" s="85">
        <f>IF($E6="Fail",IF(ISNUMBER($H6),"Fixed","OPEN"),"")</f>
        <v/>
      </c>
    </row>
    <row r="7" spans="1:10">
      <c r="A7" s="52">
        <f>TODAY()-(10)</f>
        <v>46287.0</v>
      </c>
      <c r="B7" s="54" t="s">
        <v>169</v>
      </c>
      <c r="C7" s="54" t="s">
        <v>262</v>
      </c>
      <c r="D7" s="54" t="s">
        <v>265</v>
      </c>
      <c r="E7" s="51" t="s">
        <v>264</v>
      </c>
      <c r="F7" s="54"/>
      <c r="G7" s="54"/>
      <c r="H7" s="52"/>
      <c r="I7" s="54" t="s">
        <v>200</v>
      </c>
      <c r="J7" s="85">
        <f>IF($E7="Fail",IF(ISNUMBER($H7),"Fixed","OPEN"),"")</f>
        <v/>
      </c>
    </row>
    <row r="8" spans="1:10">
      <c r="A8" s="52">
        <f>TODAY()-(17)</f>
        <v>46280.0</v>
      </c>
      <c r="B8" s="54" t="s">
        <v>169</v>
      </c>
      <c r="C8" s="54" t="s">
        <v>262</v>
      </c>
      <c r="D8" s="54" t="s">
        <v>266</v>
      </c>
      <c r="E8" s="51" t="s">
        <v>267</v>
      </c>
      <c r="F8" s="54" t="s">
        <v>268</v>
      </c>
      <c r="G8" s="54" t="s">
        <v>269</v>
      </c>
      <c r="H8" s="52">
        <f>TODAY()-(14)</f>
        <v>46283.0</v>
      </c>
      <c r="I8" s="54" t="s">
        <v>200</v>
      </c>
      <c r="J8" s="85" t="str">
        <f>IF($E8="Fail",IF(ISNUMBER($H8),"Fixed","OPEN"),"")</f>
        <v>Fixed</v>
      </c>
    </row>
    <row r="9" spans="1:10">
      <c r="A9" s="52">
        <f>TODAY()-(5)</f>
        <v>46292.0</v>
      </c>
      <c r="B9" s="54" t="s">
        <v>169</v>
      </c>
      <c r="C9" s="54" t="s">
        <v>270</v>
      </c>
      <c r="D9" s="54" t="s">
        <v>271</v>
      </c>
      <c r="E9" s="51" t="s">
        <v>267</v>
      </c>
      <c r="F9" s="54" t="s">
        <v>272</v>
      </c>
      <c r="G9" s="54" t="s">
        <v>273</v>
      </c>
      <c r="H9" s="52"/>
      <c r="I9" s="54" t="s">
        <v>200</v>
      </c>
      <c r="J9" s="85" t="str">
        <f>IF($E9="Fail",IF(ISNUMBER($H9),"Fixed","OPEN"),"")</f>
        <v>OPEN</v>
      </c>
    </row>
    <row r="10" spans="1:10">
      <c r="A10" s="52">
        <f>TODAY()-(12)</f>
        <v>46285.0</v>
      </c>
      <c r="B10" s="54" t="s">
        <v>174</v>
      </c>
      <c r="C10" s="54" t="s">
        <v>274</v>
      </c>
      <c r="D10" s="54" t="s">
        <v>275</v>
      </c>
      <c r="E10" s="51" t="s">
        <v>264</v>
      </c>
      <c r="F10" s="54"/>
      <c r="G10" s="54"/>
      <c r="H10" s="52"/>
      <c r="I10" s="54" t="s">
        <v>200</v>
      </c>
      <c r="J10" s="85">
        <f>IF($E10="Fail",IF(ISNUMBER($H10),"Fixed","OPEN"),"")</f>
        <v/>
      </c>
    </row>
    <row r="11" spans="1:10">
      <c r="A11" s="52">
        <f>TODAY()-(30)</f>
        <v>46267.0</v>
      </c>
      <c r="B11" s="54" t="s">
        <v>174</v>
      </c>
      <c r="C11" s="54" t="s">
        <v>276</v>
      </c>
      <c r="D11" s="54" t="s">
        <v>277</v>
      </c>
      <c r="E11" s="51" t="s">
        <v>264</v>
      </c>
      <c r="F11" s="54"/>
      <c r="G11" s="54"/>
      <c r="H11" s="52"/>
      <c r="I11" s="54" t="s">
        <v>200</v>
      </c>
      <c r="J11" s="85">
        <f>IF($E11="Fail",IF(ISNUMBER($H11),"Fixed","OPEN"),"")</f>
        <v/>
      </c>
    </row>
    <row r="12" spans="1:10">
      <c r="A12" s="52"/>
      <c r="B12" s="54"/>
      <c r="C12" s="54"/>
      <c r="D12" s="54"/>
      <c r="E12" s="51"/>
      <c r="F12" s="54"/>
      <c r="G12" s="54"/>
      <c r="H12" s="52"/>
      <c r="I12" s="54"/>
      <c r="J12" s="85">
        <f>IF($E12="Fail",IF(ISNUMBER($H12),"Fixed","OPEN"),"")</f>
        <v/>
      </c>
    </row>
    <row r="13" spans="1:10">
      <c r="A13" s="52"/>
      <c r="B13" s="54"/>
      <c r="C13" s="54"/>
      <c r="D13" s="54"/>
      <c r="E13" s="51"/>
      <c r="F13" s="54"/>
      <c r="G13" s="54"/>
      <c r="H13" s="52"/>
      <c r="I13" s="54"/>
      <c r="J13" s="85">
        <f>IF($E13="Fail",IF(ISNUMBER($H13),"Fixed","OPEN"),"")</f>
        <v/>
      </c>
    </row>
    <row r="14" spans="1:10">
      <c r="A14" s="52"/>
      <c r="B14" s="54"/>
      <c r="C14" s="54"/>
      <c r="D14" s="54"/>
      <c r="E14" s="51"/>
      <c r="F14" s="54"/>
      <c r="G14" s="54"/>
      <c r="H14" s="52"/>
      <c r="I14" s="54"/>
      <c r="J14" s="85">
        <f>IF($E14="Fail",IF(ISNUMBER($H14),"Fixed","OPEN"),"")</f>
        <v/>
      </c>
    </row>
    <row r="15" spans="1:10">
      <c r="A15" s="52"/>
      <c r="B15" s="54"/>
      <c r="C15" s="54"/>
      <c r="D15" s="54"/>
      <c r="E15" s="51"/>
      <c r="F15" s="54"/>
      <c r="G15" s="54"/>
      <c r="H15" s="52"/>
      <c r="I15" s="54"/>
      <c r="J15" s="85">
        <f>IF($E15="Fail",IF(ISNUMBER($H15),"Fixed","OPEN"),"")</f>
        <v/>
      </c>
    </row>
    <row r="16" spans="1:10">
      <c r="A16" s="52"/>
      <c r="B16" s="54"/>
      <c r="C16" s="54"/>
      <c r="D16" s="54"/>
      <c r="E16" s="51"/>
      <c r="F16" s="54"/>
      <c r="G16" s="54"/>
      <c r="H16" s="52"/>
      <c r="I16" s="54"/>
      <c r="J16" s="85">
        <f>IF($E16="Fail",IF(ISNUMBER($H16),"Fixed","OPEN"),"")</f>
        <v/>
      </c>
    </row>
    <row r="17" spans="1:10">
      <c r="A17" s="52"/>
      <c r="B17" s="54"/>
      <c r="C17" s="54"/>
      <c r="D17" s="54"/>
      <c r="E17" s="51"/>
      <c r="F17" s="54"/>
      <c r="G17" s="54"/>
      <c r="H17" s="52"/>
      <c r="I17" s="54"/>
      <c r="J17" s="85">
        <f>IF($E17="Fail",IF(ISNUMBER($H17),"Fixed","OPEN"),"")</f>
        <v/>
      </c>
    </row>
    <row r="18" spans="1:10">
      <c r="A18" s="52"/>
      <c r="B18" s="54"/>
      <c r="C18" s="54"/>
      <c r="D18" s="54"/>
      <c r="E18" s="51"/>
      <c r="F18" s="54"/>
      <c r="G18" s="54"/>
      <c r="H18" s="52"/>
      <c r="I18" s="54"/>
      <c r="J18" s="85">
        <f>IF($E18="Fail",IF(ISNUMBER($H18),"Fixed","OPEN"),"")</f>
        <v/>
      </c>
    </row>
    <row r="19" spans="1:10">
      <c r="A19" s="52"/>
      <c r="B19" s="54"/>
      <c r="C19" s="54"/>
      <c r="D19" s="54"/>
      <c r="E19" s="51"/>
      <c r="F19" s="54"/>
      <c r="G19" s="54"/>
      <c r="H19" s="52"/>
      <c r="I19" s="54"/>
      <c r="J19" s="85">
        <f>IF($E19="Fail",IF(ISNUMBER($H19),"Fixed","OPEN"),"")</f>
        <v/>
      </c>
    </row>
    <row r="20" spans="1:10">
      <c r="A20" s="52"/>
      <c r="B20" s="54"/>
      <c r="C20" s="54"/>
      <c r="D20" s="54"/>
      <c r="E20" s="51"/>
      <c r="F20" s="54"/>
      <c r="G20" s="54"/>
      <c r="H20" s="52"/>
      <c r="I20" s="54"/>
      <c r="J20" s="85">
        <f>IF($E20="Fail",IF(ISNUMBER($H20),"Fixed","OPEN"),"")</f>
        <v/>
      </c>
    </row>
    <row r="21" spans="1:10">
      <c r="A21" s="52"/>
      <c r="B21" s="54"/>
      <c r="C21" s="54"/>
      <c r="D21" s="54"/>
      <c r="E21" s="51"/>
      <c r="F21" s="54"/>
      <c r="G21" s="54"/>
      <c r="H21" s="52"/>
      <c r="I21" s="54"/>
      <c r="J21" s="85">
        <f>IF($E21="Fail",IF(ISNUMBER($H21),"Fixed","OPEN"),"")</f>
        <v/>
      </c>
    </row>
    <row r="22" spans="1:10">
      <c r="A22" s="52"/>
      <c r="B22" s="54"/>
      <c r="C22" s="54"/>
      <c r="D22" s="54"/>
      <c r="E22" s="51"/>
      <c r="F22" s="54"/>
      <c r="G22" s="54"/>
      <c r="H22" s="52"/>
      <c r="I22" s="54"/>
      <c r="J22" s="85">
        <f>IF($E22="Fail",IF(ISNUMBER($H22),"Fixed","OPEN"),"")</f>
        <v/>
      </c>
    </row>
    <row r="23" spans="1:10">
      <c r="A23" s="52"/>
      <c r="B23" s="54"/>
      <c r="C23" s="54"/>
      <c r="D23" s="54"/>
      <c r="E23" s="51"/>
      <c r="F23" s="54"/>
      <c r="G23" s="54"/>
      <c r="H23" s="52"/>
      <c r="I23" s="54"/>
      <c r="J23" s="85">
        <f>IF($E23="Fail",IF(ISNUMBER($H23),"Fixed","OPEN"),"")</f>
        <v/>
      </c>
    </row>
    <row r="24" spans="1:10">
      <c r="A24" s="52"/>
      <c r="B24" s="54"/>
      <c r="C24" s="54"/>
      <c r="D24" s="54"/>
      <c r="E24" s="51"/>
      <c r="F24" s="54"/>
      <c r="G24" s="54"/>
      <c r="H24" s="52"/>
      <c r="I24" s="54"/>
      <c r="J24" s="85">
        <f>IF($E24="Fail",IF(ISNUMBER($H24),"Fixed","OPEN"),"")</f>
        <v/>
      </c>
    </row>
    <row r="25" spans="1:10">
      <c r="A25" s="52"/>
      <c r="B25" s="54"/>
      <c r="C25" s="54"/>
      <c r="D25" s="54"/>
      <c r="E25" s="51"/>
      <c r="F25" s="54"/>
      <c r="G25" s="54"/>
      <c r="H25" s="52"/>
      <c r="I25" s="54"/>
      <c r="J25" s="85">
        <f>IF($E25="Fail",IF(ISNUMBER($H25),"Fixed","OPEN"),"")</f>
        <v/>
      </c>
    </row>
    <row r="26" spans="1:10">
      <c r="A26" s="52"/>
      <c r="B26" s="54"/>
      <c r="C26" s="54"/>
      <c r="D26" s="54"/>
      <c r="E26" s="51"/>
      <c r="F26" s="54"/>
      <c r="G26" s="54"/>
      <c r="H26" s="52"/>
      <c r="I26" s="54"/>
      <c r="J26" s="85">
        <f>IF($E26="Fail",IF(ISNUMBER($H26),"Fixed","OPEN"),"")</f>
        <v/>
      </c>
    </row>
    <row r="27" spans="1:10">
      <c r="A27" s="52"/>
      <c r="B27" s="54"/>
      <c r="C27" s="54"/>
      <c r="D27" s="54"/>
      <c r="E27" s="51"/>
      <c r="F27" s="54"/>
      <c r="G27" s="54"/>
      <c r="H27" s="52"/>
      <c r="I27" s="54"/>
      <c r="J27" s="85">
        <f>IF($E27="Fail",IF(ISNUMBER($H27),"Fixed","OPEN"),"")</f>
        <v/>
      </c>
    </row>
    <row r="28" spans="1:10">
      <c r="A28" s="52"/>
      <c r="B28" s="54"/>
      <c r="C28" s="54"/>
      <c r="D28" s="54"/>
      <c r="E28" s="51"/>
      <c r="F28" s="54"/>
      <c r="G28" s="54"/>
      <c r="H28" s="52"/>
      <c r="I28" s="54"/>
      <c r="J28" s="85">
        <f>IF($E28="Fail",IF(ISNUMBER($H28),"Fixed","OPEN"),"")</f>
        <v/>
      </c>
    </row>
    <row r="29" spans="1:10">
      <c r="A29" s="52"/>
      <c r="B29" s="54"/>
      <c r="C29" s="54"/>
      <c r="D29" s="54"/>
      <c r="E29" s="51"/>
      <c r="F29" s="54"/>
      <c r="G29" s="54"/>
      <c r="H29" s="52"/>
      <c r="I29" s="54"/>
      <c r="J29" s="85">
        <f>IF($E29="Fail",IF(ISNUMBER($H29),"Fixed","OPEN"),"")</f>
        <v/>
      </c>
    </row>
    <row r="30" spans="1:10">
      <c r="A30" s="52"/>
      <c r="B30" s="54"/>
      <c r="C30" s="54"/>
      <c r="D30" s="54"/>
      <c r="E30" s="51"/>
      <c r="F30" s="54"/>
      <c r="G30" s="54"/>
      <c r="H30" s="52"/>
      <c r="I30" s="54"/>
      <c r="J30" s="85">
        <f>IF($E30="Fail",IF(ISNUMBER($H30),"Fixed","OPEN"),"")</f>
        <v/>
      </c>
    </row>
    <row r="31" spans="1:10">
      <c r="A31" s="52"/>
      <c r="B31" s="54"/>
      <c r="C31" s="54"/>
      <c r="D31" s="54"/>
      <c r="E31" s="51"/>
      <c r="F31" s="54"/>
      <c r="G31" s="54"/>
      <c r="H31" s="52"/>
      <c r="I31" s="54"/>
      <c r="J31" s="85">
        <f>IF($E31="Fail",IF(ISNUMBER($H31),"Fixed","OPEN"),"")</f>
        <v/>
      </c>
    </row>
    <row r="32" spans="1:10">
      <c r="A32" s="52"/>
      <c r="B32" s="54"/>
      <c r="C32" s="54"/>
      <c r="D32" s="54"/>
      <c r="E32" s="51"/>
      <c r="F32" s="54"/>
      <c r="G32" s="54"/>
      <c r="H32" s="52"/>
      <c r="I32" s="54"/>
      <c r="J32" s="85">
        <f>IF($E32="Fail",IF(ISNUMBER($H32),"Fixed","OPEN"),"")</f>
        <v/>
      </c>
    </row>
    <row r="33" spans="1:10">
      <c r="A33" s="52"/>
      <c r="B33" s="54"/>
      <c r="C33" s="54"/>
      <c r="D33" s="54"/>
      <c r="E33" s="51"/>
      <c r="F33" s="54"/>
      <c r="G33" s="54"/>
      <c r="H33" s="52"/>
      <c r="I33" s="54"/>
      <c r="J33" s="85">
        <f>IF($E33="Fail",IF(ISNUMBER($H33),"Fixed","OPEN"),"")</f>
        <v/>
      </c>
    </row>
    <row r="34" spans="1:10">
      <c r="A34" s="52"/>
      <c r="B34" s="54"/>
      <c r="C34" s="54"/>
      <c r="D34" s="54"/>
      <c r="E34" s="51"/>
      <c r="F34" s="54"/>
      <c r="G34" s="54"/>
      <c r="H34" s="52"/>
      <c r="I34" s="54"/>
      <c r="J34" s="85">
        <f>IF($E34="Fail",IF(ISNUMBER($H34),"Fixed","OPEN"),"")</f>
        <v/>
      </c>
    </row>
    <row r="35" spans="1:10">
      <c r="A35" s="52"/>
      <c r="B35" s="54"/>
      <c r="C35" s="54"/>
      <c r="D35" s="54"/>
      <c r="E35" s="51"/>
      <c r="F35" s="54"/>
      <c r="G35" s="54"/>
      <c r="H35" s="52"/>
      <c r="I35" s="54"/>
      <c r="J35" s="85">
        <f>IF($E35="Fail",IF(ISNUMBER($H35),"Fixed","OPEN"),"")</f>
        <v/>
      </c>
    </row>
    <row r="36" spans="1:10">
      <c r="A36" s="52"/>
      <c r="B36" s="54"/>
      <c r="C36" s="54"/>
      <c r="D36" s="54"/>
      <c r="E36" s="51"/>
      <c r="F36" s="54"/>
      <c r="G36" s="54"/>
      <c r="H36" s="52"/>
      <c r="I36" s="54"/>
      <c r="J36" s="85">
        <f>IF($E36="Fail",IF(ISNUMBER($H36),"Fixed","OPEN"),"")</f>
        <v/>
      </c>
    </row>
    <row r="37" spans="1:10">
      <c r="A37" s="52"/>
      <c r="B37" s="54"/>
      <c r="C37" s="54"/>
      <c r="D37" s="54"/>
      <c r="E37" s="51"/>
      <c r="F37" s="54"/>
      <c r="G37" s="54"/>
      <c r="H37" s="52"/>
      <c r="I37" s="54"/>
      <c r="J37" s="85">
        <f>IF($E37="Fail",IF(ISNUMBER($H37),"Fixed","OPEN"),"")</f>
        <v/>
      </c>
    </row>
    <row r="38" spans="1:10">
      <c r="A38" s="52"/>
      <c r="B38" s="54"/>
      <c r="C38" s="54"/>
      <c r="D38" s="54"/>
      <c r="E38" s="51"/>
      <c r="F38" s="54"/>
      <c r="G38" s="54"/>
      <c r="H38" s="52"/>
      <c r="I38" s="54"/>
      <c r="J38" s="85">
        <f>IF($E38="Fail",IF(ISNUMBER($H38),"Fixed","OPEN"),"")</f>
        <v/>
      </c>
    </row>
    <row r="39" spans="1:10">
      <c r="A39" s="52"/>
      <c r="B39" s="54"/>
      <c r="C39" s="54"/>
      <c r="D39" s="54"/>
      <c r="E39" s="51"/>
      <c r="F39" s="54"/>
      <c r="G39" s="54"/>
      <c r="H39" s="52"/>
      <c r="I39" s="54"/>
      <c r="J39" s="85">
        <f>IF($E39="Fail",IF(ISNUMBER($H39),"Fixed","OPEN"),"")</f>
        <v/>
      </c>
    </row>
    <row r="40" spans="1:10">
      <c r="A40" s="52"/>
      <c r="B40" s="54"/>
      <c r="C40" s="54"/>
      <c r="D40" s="54"/>
      <c r="E40" s="51"/>
      <c r="F40" s="54"/>
      <c r="G40" s="54"/>
      <c r="H40" s="52"/>
      <c r="I40" s="54"/>
      <c r="J40" s="85">
        <f>IF($E40="Fail",IF(ISNUMBER($H40),"Fixed","OPEN"),"")</f>
        <v/>
      </c>
    </row>
    <row r="41" spans="1:10">
      <c r="A41" s="52"/>
      <c r="B41" s="54"/>
      <c r="C41" s="54"/>
      <c r="D41" s="54"/>
      <c r="E41" s="51"/>
      <c r="F41" s="54"/>
      <c r="G41" s="54"/>
      <c r="H41" s="52"/>
      <c r="I41" s="54"/>
      <c r="J41" s="85">
        <f>IF($E41="Fail",IF(ISNUMBER($H41),"Fixed","OPEN"),"")</f>
        <v/>
      </c>
    </row>
    <row r="42" spans="1:10">
      <c r="A42" s="52"/>
      <c r="B42" s="54"/>
      <c r="C42" s="54"/>
      <c r="D42" s="54"/>
      <c r="E42" s="51"/>
      <c r="F42" s="54"/>
      <c r="G42" s="54"/>
      <c r="H42" s="52"/>
      <c r="I42" s="54"/>
      <c r="J42" s="85">
        <f>IF($E42="Fail",IF(ISNUMBER($H42),"Fixed","OPEN"),"")</f>
        <v/>
      </c>
    </row>
    <row r="43" spans="1:10">
      <c r="A43" s="52"/>
      <c r="B43" s="54"/>
      <c r="C43" s="54"/>
      <c r="D43" s="54"/>
      <c r="E43" s="51"/>
      <c r="F43" s="54"/>
      <c r="G43" s="54"/>
      <c r="H43" s="52"/>
      <c r="I43" s="54"/>
      <c r="J43" s="85">
        <f>IF($E43="Fail",IF(ISNUMBER($H43),"Fixed","OPEN"),"")</f>
        <v/>
      </c>
    </row>
    <row r="44" spans="1:10">
      <c r="A44" s="52"/>
      <c r="B44" s="54"/>
      <c r="C44" s="54"/>
      <c r="D44" s="54"/>
      <c r="E44" s="51"/>
      <c r="F44" s="54"/>
      <c r="G44" s="54"/>
      <c r="H44" s="52"/>
      <c r="I44" s="54"/>
      <c r="J44" s="85">
        <f>IF($E44="Fail",IF(ISNUMBER($H44),"Fixed","OPEN"),"")</f>
        <v/>
      </c>
    </row>
    <row r="45" spans="1:10">
      <c r="A45" s="52"/>
      <c r="B45" s="54"/>
      <c r="C45" s="54"/>
      <c r="D45" s="54"/>
      <c r="E45" s="51"/>
      <c r="F45" s="54"/>
      <c r="G45" s="54"/>
      <c r="H45" s="52"/>
      <c r="I45" s="54"/>
      <c r="J45" s="85">
        <f>IF($E45="Fail",IF(ISNUMBER($H45),"Fixed","OPEN"),"")</f>
        <v/>
      </c>
    </row>
    <row r="46" spans="1:10">
      <c r="A46" s="52"/>
      <c r="B46" s="54"/>
      <c r="C46" s="54"/>
      <c r="D46" s="54"/>
      <c r="E46" s="51"/>
      <c r="F46" s="54"/>
      <c r="G46" s="54"/>
      <c r="H46" s="52"/>
      <c r="I46" s="54"/>
      <c r="J46" s="85">
        <f>IF($E46="Fail",IF(ISNUMBER($H46),"Fixed","OPEN"),"")</f>
        <v/>
      </c>
    </row>
    <row r="47" spans="1:10">
      <c r="A47" s="52"/>
      <c r="B47" s="54"/>
      <c r="C47" s="54"/>
      <c r="D47" s="54"/>
      <c r="E47" s="51"/>
      <c r="F47" s="54"/>
      <c r="G47" s="54"/>
      <c r="H47" s="52"/>
      <c r="I47" s="54"/>
      <c r="J47" s="85">
        <f>IF($E47="Fail",IF(ISNUMBER($H47),"Fixed","OPEN"),"")</f>
        <v/>
      </c>
    </row>
    <row r="48" spans="1:10">
      <c r="A48" s="52"/>
      <c r="B48" s="54"/>
      <c r="C48" s="54"/>
      <c r="D48" s="54"/>
      <c r="E48" s="51"/>
      <c r="F48" s="54"/>
      <c r="G48" s="54"/>
      <c r="H48" s="52"/>
      <c r="I48" s="54"/>
      <c r="J48" s="85">
        <f>IF($E48="Fail",IF(ISNUMBER($H48),"Fixed","OPEN"),"")</f>
        <v/>
      </c>
    </row>
    <row r="49" spans="1:10">
      <c r="A49" s="52"/>
      <c r="B49" s="54"/>
      <c r="C49" s="54"/>
      <c r="D49" s="54"/>
      <c r="E49" s="51"/>
      <c r="F49" s="54"/>
      <c r="G49" s="54"/>
      <c r="H49" s="52"/>
      <c r="I49" s="54"/>
      <c r="J49" s="85">
        <f>IF($E49="Fail",IF(ISNUMBER($H49),"Fixed","OPEN"),"")</f>
        <v/>
      </c>
    </row>
    <row r="50" spans="1:10">
      <c r="A50" s="52"/>
      <c r="B50" s="54"/>
      <c r="C50" s="54"/>
      <c r="D50" s="54"/>
      <c r="E50" s="51"/>
      <c r="F50" s="54"/>
      <c r="G50" s="54"/>
      <c r="H50" s="52"/>
      <c r="I50" s="54"/>
      <c r="J50" s="85">
        <f>IF($E50="Fail",IF(ISNUMBER($H50),"Fixed","OPEN"),"")</f>
        <v/>
      </c>
    </row>
    <row r="51" spans="1:10">
      <c r="A51" s="52"/>
      <c r="B51" s="54"/>
      <c r="C51" s="54"/>
      <c r="D51" s="54"/>
      <c r="E51" s="51"/>
      <c r="F51" s="54"/>
      <c r="G51" s="54"/>
      <c r="H51" s="52"/>
      <c r="I51" s="54"/>
      <c r="J51" s="85">
        <f>IF($E51="Fail",IF(ISNUMBER($H51),"Fixed","OPEN"),"")</f>
        <v/>
      </c>
    </row>
    <row r="52" spans="1:10">
      <c r="A52" s="52"/>
      <c r="B52" s="54"/>
      <c r="C52" s="54"/>
      <c r="D52" s="54"/>
      <c r="E52" s="51"/>
      <c r="F52" s="54"/>
      <c r="G52" s="54"/>
      <c r="H52" s="52"/>
      <c r="I52" s="54"/>
      <c r="J52" s="85">
        <f>IF($E52="Fail",IF(ISNUMBER($H52),"Fixed","OPEN"),"")</f>
        <v/>
      </c>
    </row>
    <row r="53" spans="1:10">
      <c r="A53" s="52"/>
      <c r="B53" s="54"/>
      <c r="C53" s="54"/>
      <c r="D53" s="54"/>
      <c r="E53" s="51"/>
      <c r="F53" s="54"/>
      <c r="G53" s="54"/>
      <c r="H53" s="52"/>
      <c r="I53" s="54"/>
      <c r="J53" s="85">
        <f>IF($E53="Fail",IF(ISNUMBER($H53),"Fixed","OPEN"),"")</f>
        <v/>
      </c>
    </row>
    <row r="54" spans="1:10">
      <c r="A54" s="52"/>
      <c r="B54" s="54"/>
      <c r="C54" s="54"/>
      <c r="D54" s="54"/>
      <c r="E54" s="51"/>
      <c r="F54" s="54"/>
      <c r="G54" s="54"/>
      <c r="H54" s="52"/>
      <c r="I54" s="54"/>
      <c r="J54" s="85">
        <f>IF($E54="Fail",IF(ISNUMBER($H54),"Fixed","OPEN"),"")</f>
        <v/>
      </c>
    </row>
    <row r="55" spans="1:10">
      <c r="A55" s="52"/>
      <c r="B55" s="54"/>
      <c r="C55" s="54"/>
      <c r="D55" s="54"/>
      <c r="E55" s="51"/>
      <c r="F55" s="54"/>
      <c r="G55" s="54"/>
      <c r="H55" s="52"/>
      <c r="I55" s="54"/>
      <c r="J55" s="85">
        <f>IF($E55="Fail",IF(ISNUMBER($H55),"Fixed","OPEN"),"")</f>
        <v/>
      </c>
    </row>
    <row r="56" spans="1:10">
      <c r="A56" s="52"/>
      <c r="B56" s="54"/>
      <c r="C56" s="54"/>
      <c r="D56" s="54"/>
      <c r="E56" s="51"/>
      <c r="F56" s="54"/>
      <c r="G56" s="54"/>
      <c r="H56" s="52"/>
      <c r="I56" s="54"/>
      <c r="J56" s="85">
        <f>IF($E56="Fail",IF(ISNUMBER($H56),"Fixed","OPEN"),"")</f>
        <v/>
      </c>
    </row>
    <row r="57" spans="1:10">
      <c r="A57" s="52"/>
      <c r="B57" s="54"/>
      <c r="C57" s="54"/>
      <c r="D57" s="54"/>
      <c r="E57" s="51"/>
      <c r="F57" s="54"/>
      <c r="G57" s="54"/>
      <c r="H57" s="52"/>
      <c r="I57" s="54"/>
      <c r="J57" s="85">
        <f>IF($E57="Fail",IF(ISNUMBER($H57),"Fixed","OPEN"),"")</f>
        <v/>
      </c>
    </row>
    <row r="58" spans="1:10">
      <c r="A58" s="52"/>
      <c r="B58" s="54"/>
      <c r="C58" s="54"/>
      <c r="D58" s="54"/>
      <c r="E58" s="51"/>
      <c r="F58" s="54"/>
      <c r="G58" s="54"/>
      <c r="H58" s="52"/>
      <c r="I58" s="54"/>
      <c r="J58" s="85">
        <f>IF($E58="Fail",IF(ISNUMBER($H58),"Fixed","OPEN"),"")</f>
        <v/>
      </c>
    </row>
    <row r="59" spans="1:10">
      <c r="A59" s="52"/>
      <c r="B59" s="54"/>
      <c r="C59" s="54"/>
      <c r="D59" s="54"/>
      <c r="E59" s="51"/>
      <c r="F59" s="54"/>
      <c r="G59" s="54"/>
      <c r="H59" s="52"/>
      <c r="I59" s="54"/>
      <c r="J59" s="85">
        <f>IF($E59="Fail",IF(ISNUMBER($H59),"Fixed","OPEN"),"")</f>
        <v/>
      </c>
    </row>
    <row r="60" spans="1:10">
      <c r="A60" s="52"/>
      <c r="B60" s="54"/>
      <c r="C60" s="54"/>
      <c r="D60" s="54"/>
      <c r="E60" s="51"/>
      <c r="F60" s="54"/>
      <c r="G60" s="54"/>
      <c r="H60" s="52"/>
      <c r="I60" s="54"/>
      <c r="J60" s="85">
        <f>IF($E60="Fail",IF(ISNUMBER($H60),"Fixed","OPEN"),"")</f>
        <v/>
      </c>
    </row>
    <row r="61" spans="1:10">
      <c r="A61" s="52"/>
      <c r="B61" s="54"/>
      <c r="C61" s="54"/>
      <c r="D61" s="54"/>
      <c r="E61" s="51"/>
      <c r="F61" s="54"/>
      <c r="G61" s="54"/>
      <c r="H61" s="52"/>
      <c r="I61" s="54"/>
      <c r="J61" s="85">
        <f>IF($E61="Fail",IF(ISNUMBER($H61),"Fixed","OPEN"),"")</f>
        <v/>
      </c>
    </row>
    <row r="62" spans="1:10">
      <c r="A62" s="52"/>
      <c r="B62" s="54"/>
      <c r="C62" s="54"/>
      <c r="D62" s="54"/>
      <c r="E62" s="51"/>
      <c r="F62" s="54"/>
      <c r="G62" s="54"/>
      <c r="H62" s="52"/>
      <c r="I62" s="54"/>
      <c r="J62" s="85">
        <f>IF($E62="Fail",IF(ISNUMBER($H62),"Fixed","OPEN"),"")</f>
        <v/>
      </c>
    </row>
    <row r="63" spans="1:10">
      <c r="A63" s="52"/>
      <c r="B63" s="54"/>
      <c r="C63" s="54"/>
      <c r="D63" s="54"/>
      <c r="E63" s="51"/>
      <c r="F63" s="54"/>
      <c r="G63" s="54"/>
      <c r="H63" s="52"/>
      <c r="I63" s="54"/>
      <c r="J63" s="85">
        <f>IF($E63="Fail",IF(ISNUMBER($H63),"Fixed","OPEN"),"")</f>
        <v/>
      </c>
    </row>
    <row r="64" spans="1:10">
      <c r="A64" s="52"/>
      <c r="B64" s="54"/>
      <c r="C64" s="54"/>
      <c r="D64" s="54"/>
      <c r="E64" s="51"/>
      <c r="F64" s="54"/>
      <c r="G64" s="54"/>
      <c r="H64" s="52"/>
      <c r="I64" s="54"/>
      <c r="J64" s="85">
        <f>IF($E64="Fail",IF(ISNUMBER($H64),"Fixed","OPEN"),"")</f>
        <v/>
      </c>
    </row>
    <row r="65" spans="1:10">
      <c r="A65" s="52"/>
      <c r="B65" s="54"/>
      <c r="C65" s="54"/>
      <c r="D65" s="54"/>
      <c r="E65" s="51"/>
      <c r="F65" s="54"/>
      <c r="G65" s="54"/>
      <c r="H65" s="52"/>
      <c r="I65" s="54"/>
      <c r="J65" s="85">
        <f>IF($E65="Fail",IF(ISNUMBER($H65),"Fixed","OPEN"),"")</f>
        <v/>
      </c>
    </row>
    <row r="66" spans="1:10">
      <c r="A66" s="52"/>
      <c r="B66" s="54"/>
      <c r="C66" s="54"/>
      <c r="D66" s="54"/>
      <c r="E66" s="51"/>
      <c r="F66" s="54"/>
      <c r="G66" s="54"/>
      <c r="H66" s="52"/>
      <c r="I66" s="54"/>
      <c r="J66" s="85">
        <f>IF($E66="Fail",IF(ISNUMBER($H66),"Fixed","OPEN"),"")</f>
        <v/>
      </c>
    </row>
    <row r="67" spans="1:10">
      <c r="A67" s="52"/>
      <c r="B67" s="54"/>
      <c r="C67" s="54"/>
      <c r="D67" s="54"/>
      <c r="E67" s="51"/>
      <c r="F67" s="54"/>
      <c r="G67" s="54"/>
      <c r="H67" s="52"/>
      <c r="I67" s="54"/>
      <c r="J67" s="85">
        <f>IF($E67="Fail",IF(ISNUMBER($H67),"Fixed","OPEN"),"")</f>
        <v/>
      </c>
    </row>
    <row r="68" spans="1:10">
      <c r="A68" s="52"/>
      <c r="B68" s="54"/>
      <c r="C68" s="54"/>
      <c r="D68" s="54"/>
      <c r="E68" s="51"/>
      <c r="F68" s="54"/>
      <c r="G68" s="54"/>
      <c r="H68" s="52"/>
      <c r="I68" s="54"/>
      <c r="J68" s="85">
        <f>IF($E68="Fail",IF(ISNUMBER($H68),"Fixed","OPEN"),"")</f>
        <v/>
      </c>
    </row>
    <row r="69" spans="1:10">
      <c r="A69" s="52"/>
      <c r="B69" s="54"/>
      <c r="C69" s="54"/>
      <c r="D69" s="54"/>
      <c r="E69" s="51"/>
      <c r="F69" s="54"/>
      <c r="G69" s="54"/>
      <c r="H69" s="52"/>
      <c r="I69" s="54"/>
      <c r="J69" s="85">
        <f>IF($E69="Fail",IF(ISNUMBER($H69),"Fixed","OPEN"),"")</f>
        <v/>
      </c>
    </row>
    <row r="70" spans="1:10">
      <c r="A70" s="52"/>
      <c r="B70" s="54"/>
      <c r="C70" s="54"/>
      <c r="D70" s="54"/>
      <c r="E70" s="51"/>
      <c r="F70" s="54"/>
      <c r="G70" s="54"/>
      <c r="H70" s="52"/>
      <c r="I70" s="54"/>
      <c r="J70" s="85">
        <f>IF($E70="Fail",IF(ISNUMBER($H70),"Fixed","OPEN"),"")</f>
        <v/>
      </c>
    </row>
    <row r="71" spans="1:10">
      <c r="A71" s="52"/>
      <c r="B71" s="54"/>
      <c r="C71" s="54"/>
      <c r="D71" s="54"/>
      <c r="E71" s="51"/>
      <c r="F71" s="54"/>
      <c r="G71" s="54"/>
      <c r="H71" s="52"/>
      <c r="I71" s="54"/>
      <c r="J71" s="85">
        <f>IF($E71="Fail",IF(ISNUMBER($H71),"Fixed","OPEN"),"")</f>
        <v/>
      </c>
    </row>
    <row r="72" spans="1:10">
      <c r="A72" s="52"/>
      <c r="B72" s="54"/>
      <c r="C72" s="54"/>
      <c r="D72" s="54"/>
      <c r="E72" s="51"/>
      <c r="F72" s="54"/>
      <c r="G72" s="54"/>
      <c r="H72" s="52"/>
      <c r="I72" s="54"/>
      <c r="J72" s="85">
        <f>IF($E72="Fail",IF(ISNUMBER($H72),"Fixed","OPEN"),"")</f>
        <v/>
      </c>
    </row>
    <row r="73" spans="1:10">
      <c r="A73" s="52"/>
      <c r="B73" s="54"/>
      <c r="C73" s="54"/>
      <c r="D73" s="54"/>
      <c r="E73" s="51"/>
      <c r="F73" s="54"/>
      <c r="G73" s="54"/>
      <c r="H73" s="52"/>
      <c r="I73" s="54"/>
      <c r="J73" s="85">
        <f>IF($E73="Fail",IF(ISNUMBER($H73),"Fixed","OPEN"),"")</f>
        <v/>
      </c>
    </row>
    <row r="74" spans="1:10">
      <c r="A74" s="52"/>
      <c r="B74" s="54"/>
      <c r="C74" s="54"/>
      <c r="D74" s="54"/>
      <c r="E74" s="51"/>
      <c r="F74" s="54"/>
      <c r="G74" s="54"/>
      <c r="H74" s="52"/>
      <c r="I74" s="54"/>
      <c r="J74" s="85">
        <f>IF($E74="Fail",IF(ISNUMBER($H74),"Fixed","OPEN"),"")</f>
        <v/>
      </c>
    </row>
    <row r="75" spans="1:10">
      <c r="A75" s="52"/>
      <c r="B75" s="54"/>
      <c r="C75" s="54"/>
      <c r="D75" s="54"/>
      <c r="E75" s="51"/>
      <c r="F75" s="54"/>
      <c r="G75" s="54"/>
      <c r="H75" s="52"/>
      <c r="I75" s="54"/>
      <c r="J75" s="85">
        <f>IF($E75="Fail",IF(ISNUMBER($H75),"Fixed","OPEN"),"")</f>
        <v/>
      </c>
    </row>
    <row r="76" spans="1:10">
      <c r="A76" s="52"/>
      <c r="B76" s="54"/>
      <c r="C76" s="54"/>
      <c r="D76" s="54"/>
      <c r="E76" s="51"/>
      <c r="F76" s="54"/>
      <c r="G76" s="54"/>
      <c r="H76" s="52"/>
      <c r="I76" s="54"/>
      <c r="J76" s="85">
        <f>IF($E76="Fail",IF(ISNUMBER($H76),"Fixed","OPEN"),"")</f>
        <v/>
      </c>
    </row>
    <row r="77" spans="1:10">
      <c r="A77" s="52"/>
      <c r="B77" s="54"/>
      <c r="C77" s="54"/>
      <c r="D77" s="54"/>
      <c r="E77" s="51"/>
      <c r="F77" s="54"/>
      <c r="G77" s="54"/>
      <c r="H77" s="52"/>
      <c r="I77" s="54"/>
      <c r="J77" s="85">
        <f>IF($E77="Fail",IF(ISNUMBER($H77),"Fixed","OPEN"),"")</f>
        <v/>
      </c>
    </row>
    <row r="78" spans="1:10">
      <c r="A78" s="52"/>
      <c r="B78" s="54"/>
      <c r="C78" s="54"/>
      <c r="D78" s="54"/>
      <c r="E78" s="51"/>
      <c r="F78" s="54"/>
      <c r="G78" s="54"/>
      <c r="H78" s="52"/>
      <c r="I78" s="54"/>
      <c r="J78" s="85">
        <f>IF($E78="Fail",IF(ISNUMBER($H78),"Fixed","OPEN"),"")</f>
        <v/>
      </c>
    </row>
    <row r="79" spans="1:10">
      <c r="A79" s="52"/>
      <c r="B79" s="54"/>
      <c r="C79" s="54"/>
      <c r="D79" s="54"/>
      <c r="E79" s="51"/>
      <c r="F79" s="54"/>
      <c r="G79" s="54"/>
      <c r="H79" s="52"/>
      <c r="I79" s="54"/>
      <c r="J79" s="85">
        <f>IF($E79="Fail",IF(ISNUMBER($H79),"Fixed","OPEN"),"")</f>
        <v/>
      </c>
    </row>
    <row r="80" spans="1:10">
      <c r="A80" s="52"/>
      <c r="B80" s="54"/>
      <c r="C80" s="54"/>
      <c r="D80" s="54"/>
      <c r="E80" s="51"/>
      <c r="F80" s="54"/>
      <c r="G80" s="54"/>
      <c r="H80" s="52"/>
      <c r="I80" s="54"/>
      <c r="J80" s="85">
        <f>IF($E80="Fail",IF(ISNUMBER($H80),"Fixed","OPEN"),"")</f>
        <v/>
      </c>
    </row>
    <row r="81" spans="1:10">
      <c r="A81" s="52"/>
      <c r="B81" s="54"/>
      <c r="C81" s="54"/>
      <c r="D81" s="54"/>
      <c r="E81" s="51"/>
      <c r="F81" s="54"/>
      <c r="G81" s="54"/>
      <c r="H81" s="52"/>
      <c r="I81" s="54"/>
      <c r="J81" s="85">
        <f>IF($E81="Fail",IF(ISNUMBER($H81),"Fixed","OPEN"),"")</f>
        <v/>
      </c>
    </row>
    <row r="82" spans="1:10">
      <c r="A82" s="52"/>
      <c r="B82" s="54"/>
      <c r="C82" s="54"/>
      <c r="D82" s="54"/>
      <c r="E82" s="51"/>
      <c r="F82" s="54"/>
      <c r="G82" s="54"/>
      <c r="H82" s="52"/>
      <c r="I82" s="54"/>
      <c r="J82" s="85">
        <f>IF($E82="Fail",IF(ISNUMBER($H82),"Fixed","OPEN"),"")</f>
        <v/>
      </c>
    </row>
    <row r="83" spans="1:10">
      <c r="A83" s="52"/>
      <c r="B83" s="54"/>
      <c r="C83" s="54"/>
      <c r="D83" s="54"/>
      <c r="E83" s="51"/>
      <c r="F83" s="54"/>
      <c r="G83" s="54"/>
      <c r="H83" s="52"/>
      <c r="I83" s="54"/>
      <c r="J83" s="85">
        <f>IF($E83="Fail",IF(ISNUMBER($H83),"Fixed","OPEN"),"")</f>
        <v/>
      </c>
    </row>
    <row r="84" spans="1:10">
      <c r="A84" s="52"/>
      <c r="B84" s="54"/>
      <c r="C84" s="54"/>
      <c r="D84" s="54"/>
      <c r="E84" s="51"/>
      <c r="F84" s="54"/>
      <c r="G84" s="54"/>
      <c r="H84" s="52"/>
      <c r="I84" s="54"/>
      <c r="J84" s="85">
        <f>IF($E84="Fail",IF(ISNUMBER($H84),"Fixed","OPEN"),"")</f>
        <v/>
      </c>
    </row>
    <row r="85" spans="1:10">
      <c r="A85" s="52"/>
      <c r="B85" s="54"/>
      <c r="C85" s="54"/>
      <c r="D85" s="54"/>
      <c r="E85" s="51"/>
      <c r="F85" s="54"/>
      <c r="G85" s="54"/>
      <c r="H85" s="52"/>
      <c r="I85" s="54"/>
      <c r="J85" s="85">
        <f>IF($E85="Fail",IF(ISNUMBER($H85),"Fixed","OPEN"),"")</f>
        <v/>
      </c>
    </row>
    <row r="86" spans="1:10">
      <c r="A86" s="52"/>
      <c r="B86" s="54"/>
      <c r="C86" s="54"/>
      <c r="D86" s="54"/>
      <c r="E86" s="51"/>
      <c r="F86" s="54"/>
      <c r="G86" s="54"/>
      <c r="H86" s="52"/>
      <c r="I86" s="54"/>
      <c r="J86" s="85">
        <f>IF($E86="Fail",IF(ISNUMBER($H86),"Fixed","OPEN"),"")</f>
        <v/>
      </c>
    </row>
    <row r="87" spans="1:10">
      <c r="A87" s="52"/>
      <c r="B87" s="54"/>
      <c r="C87" s="54"/>
      <c r="D87" s="54"/>
      <c r="E87" s="51"/>
      <c r="F87" s="54"/>
      <c r="G87" s="54"/>
      <c r="H87" s="52"/>
      <c r="I87" s="54"/>
      <c r="J87" s="85">
        <f>IF($E87="Fail",IF(ISNUMBER($H87),"Fixed","OPEN"),"")</f>
        <v/>
      </c>
    </row>
    <row r="88" spans="1:10">
      <c r="A88" s="52"/>
      <c r="B88" s="54"/>
      <c r="C88" s="54"/>
      <c r="D88" s="54"/>
      <c r="E88" s="51"/>
      <c r="F88" s="54"/>
      <c r="G88" s="54"/>
      <c r="H88" s="52"/>
      <c r="I88" s="54"/>
      <c r="J88" s="85">
        <f>IF($E88="Fail",IF(ISNUMBER($H88),"Fixed","OPEN"),"")</f>
        <v/>
      </c>
    </row>
    <row r="89" spans="1:10">
      <c r="A89" s="52"/>
      <c r="B89" s="54"/>
      <c r="C89" s="54"/>
      <c r="D89" s="54"/>
      <c r="E89" s="51"/>
      <c r="F89" s="54"/>
      <c r="G89" s="54"/>
      <c r="H89" s="52"/>
      <c r="I89" s="54"/>
      <c r="J89" s="85">
        <f>IF($E89="Fail",IF(ISNUMBER($H89),"Fixed","OPEN"),"")</f>
        <v/>
      </c>
    </row>
    <row r="90" spans="1:10">
      <c r="A90" s="52"/>
      <c r="B90" s="54"/>
      <c r="C90" s="54"/>
      <c r="D90" s="54"/>
      <c r="E90" s="51"/>
      <c r="F90" s="54"/>
      <c r="G90" s="54"/>
      <c r="H90" s="52"/>
      <c r="I90" s="54"/>
      <c r="J90" s="85">
        <f>IF($E90="Fail",IF(ISNUMBER($H90),"Fixed","OPEN"),"")</f>
        <v/>
      </c>
    </row>
    <row r="91" spans="1:10">
      <c r="A91" s="52"/>
      <c r="B91" s="54"/>
      <c r="C91" s="54"/>
      <c r="D91" s="54"/>
      <c r="E91" s="51"/>
      <c r="F91" s="54"/>
      <c r="G91" s="54"/>
      <c r="H91" s="52"/>
      <c r="I91" s="54"/>
      <c r="J91" s="85">
        <f>IF($E91="Fail",IF(ISNUMBER($H91),"Fixed","OPEN"),"")</f>
        <v/>
      </c>
    </row>
    <row r="92" spans="1:10">
      <c r="A92" s="52"/>
      <c r="B92" s="54"/>
      <c r="C92" s="54"/>
      <c r="D92" s="54"/>
      <c r="E92" s="51"/>
      <c r="F92" s="54"/>
      <c r="G92" s="54"/>
      <c r="H92" s="52"/>
      <c r="I92" s="54"/>
      <c r="J92" s="85">
        <f>IF($E92="Fail",IF(ISNUMBER($H92),"Fixed","OPEN"),"")</f>
        <v/>
      </c>
    </row>
    <row r="93" spans="1:10">
      <c r="A93" s="52"/>
      <c r="B93" s="54"/>
      <c r="C93" s="54"/>
      <c r="D93" s="54"/>
      <c r="E93" s="51"/>
      <c r="F93" s="54"/>
      <c r="G93" s="54"/>
      <c r="H93" s="52"/>
      <c r="I93" s="54"/>
      <c r="J93" s="85">
        <f>IF($E93="Fail",IF(ISNUMBER($H93),"Fixed","OPEN"),"")</f>
        <v/>
      </c>
    </row>
    <row r="94" spans="1:10">
      <c r="A94" s="52"/>
      <c r="B94" s="54"/>
      <c r="C94" s="54"/>
      <c r="D94" s="54"/>
      <c r="E94" s="51"/>
      <c r="F94" s="54"/>
      <c r="G94" s="54"/>
      <c r="H94" s="52"/>
      <c r="I94" s="54"/>
      <c r="J94" s="85">
        <f>IF($E94="Fail",IF(ISNUMBER($H94),"Fixed","OPEN"),"")</f>
        <v/>
      </c>
    </row>
    <row r="95" spans="1:10">
      <c r="A95" s="52"/>
      <c r="B95" s="54"/>
      <c r="C95" s="54"/>
      <c r="D95" s="54"/>
      <c r="E95" s="51"/>
      <c r="F95" s="54"/>
      <c r="G95" s="54"/>
      <c r="H95" s="52"/>
      <c r="I95" s="54"/>
      <c r="J95" s="85">
        <f>IF($E95="Fail",IF(ISNUMBER($H95),"Fixed","OPEN"),"")</f>
        <v/>
      </c>
    </row>
    <row r="96" spans="1:10">
      <c r="A96" s="52"/>
      <c r="B96" s="54"/>
      <c r="C96" s="54"/>
      <c r="D96" s="54"/>
      <c r="E96" s="51"/>
      <c r="F96" s="54"/>
      <c r="G96" s="54"/>
      <c r="H96" s="52"/>
      <c r="I96" s="54"/>
      <c r="J96" s="85">
        <f>IF($E96="Fail",IF(ISNUMBER($H96),"Fixed","OPEN"),"")</f>
        <v/>
      </c>
    </row>
    <row r="97" spans="1:10">
      <c r="A97" s="52"/>
      <c r="B97" s="54"/>
      <c r="C97" s="54"/>
      <c r="D97" s="54"/>
      <c r="E97" s="51"/>
      <c r="F97" s="54"/>
      <c r="G97" s="54"/>
      <c r="H97" s="52"/>
      <c r="I97" s="54"/>
      <c r="J97" s="85">
        <f>IF($E97="Fail",IF(ISNUMBER($H97),"Fixed","OPEN"),"")</f>
        <v/>
      </c>
    </row>
    <row r="98" spans="1:10">
      <c r="A98" s="52"/>
      <c r="B98" s="54"/>
      <c r="C98" s="54"/>
      <c r="D98" s="54"/>
      <c r="E98" s="51"/>
      <c r="F98" s="54"/>
      <c r="G98" s="54"/>
      <c r="H98" s="52"/>
      <c r="I98" s="54"/>
      <c r="J98" s="85">
        <f>IF($E98="Fail",IF(ISNUMBER($H98),"Fixed","OPEN"),"")</f>
        <v/>
      </c>
    </row>
    <row r="99" spans="1:10">
      <c r="A99" s="52"/>
      <c r="B99" s="54"/>
      <c r="C99" s="54"/>
      <c r="D99" s="54"/>
      <c r="E99" s="51"/>
      <c r="F99" s="54"/>
      <c r="G99" s="54"/>
      <c r="H99" s="52"/>
      <c r="I99" s="54"/>
      <c r="J99" s="85">
        <f>IF($E99="Fail",IF(ISNUMBER($H99),"Fixed","OPEN"),"")</f>
        <v/>
      </c>
    </row>
    <row r="100" spans="1:10">
      <c r="A100" s="52"/>
      <c r="B100" s="54"/>
      <c r="C100" s="54"/>
      <c r="D100" s="54"/>
      <c r="E100" s="51"/>
      <c r="F100" s="54"/>
      <c r="G100" s="54"/>
      <c r="H100" s="52"/>
      <c r="I100" s="54"/>
      <c r="J100" s="85">
        <f>IF($E100="Fail",IF(ISNUMBER($H100),"Fixed","OPEN"),"")</f>
        <v/>
      </c>
    </row>
    <row r="101" spans="1:10">
      <c r="A101" s="52"/>
      <c r="B101" s="54"/>
      <c r="C101" s="54"/>
      <c r="D101" s="54"/>
      <c r="E101" s="51"/>
      <c r="F101" s="54"/>
      <c r="G101" s="54"/>
      <c r="H101" s="52"/>
      <c r="I101" s="54"/>
      <c r="J101" s="85">
        <f>IF($E101="Fail",IF(ISNUMBER($H101),"Fixed","OPEN"),"")</f>
        <v/>
      </c>
    </row>
    <row r="102" spans="1:10">
      <c r="A102" s="52"/>
      <c r="B102" s="54"/>
      <c r="C102" s="54"/>
      <c r="D102" s="54"/>
      <c r="E102" s="51"/>
      <c r="F102" s="54"/>
      <c r="G102" s="54"/>
      <c r="H102" s="52"/>
      <c r="I102" s="54"/>
      <c r="J102" s="85">
        <f>IF($E102="Fail",IF(ISNUMBER($H102),"Fixed","OPEN"),"")</f>
        <v/>
      </c>
    </row>
    <row r="103" spans="1:10">
      <c r="A103" s="52"/>
      <c r="B103" s="54"/>
      <c r="C103" s="54"/>
      <c r="D103" s="54"/>
      <c r="E103" s="51"/>
      <c r="F103" s="54"/>
      <c r="G103" s="54"/>
      <c r="H103" s="52"/>
      <c r="I103" s="54"/>
      <c r="J103" s="85">
        <f>IF($E103="Fail",IF(ISNUMBER($H103),"Fixed","OPEN"),"")</f>
        <v/>
      </c>
    </row>
    <row r="104" spans="1:10">
      <c r="A104" s="52"/>
      <c r="B104" s="54"/>
      <c r="C104" s="54"/>
      <c r="D104" s="54"/>
      <c r="E104" s="51"/>
      <c r="F104" s="54"/>
      <c r="G104" s="54"/>
      <c r="H104" s="52"/>
      <c r="I104" s="54"/>
      <c r="J104" s="85">
        <f>IF($E104="Fail",IF(ISNUMBER($H104),"Fixed","OPEN"),"")</f>
        <v/>
      </c>
    </row>
    <row r="105" spans="1:10">
      <c r="A105" s="52"/>
      <c r="B105" s="54"/>
      <c r="C105" s="54"/>
      <c r="D105" s="54"/>
      <c r="E105" s="51"/>
      <c r="F105" s="54"/>
      <c r="G105" s="54"/>
      <c r="H105" s="52"/>
      <c r="I105" s="54"/>
      <c r="J105" s="85">
        <f>IF($E105="Fail",IF(ISNUMBER($H105),"Fixed","OPEN"),"")</f>
        <v/>
      </c>
    </row>
    <row r="106" spans="1:10">
      <c r="A106" s="52"/>
      <c r="B106" s="54"/>
      <c r="C106" s="54"/>
      <c r="D106" s="54"/>
      <c r="E106" s="51"/>
      <c r="F106" s="54"/>
      <c r="G106" s="54"/>
      <c r="H106" s="52"/>
      <c r="I106" s="54"/>
      <c r="J106" s="85">
        <f>IF($E106="Fail",IF(ISNUMBER($H106),"Fixed","OPEN"),"")</f>
        <v/>
      </c>
    </row>
    <row r="107" spans="1:10">
      <c r="A107" s="52"/>
      <c r="B107" s="54"/>
      <c r="C107" s="54"/>
      <c r="D107" s="54"/>
      <c r="E107" s="51"/>
      <c r="F107" s="54"/>
      <c r="G107" s="54"/>
      <c r="H107" s="52"/>
      <c r="I107" s="54"/>
      <c r="J107" s="85">
        <f>IF($E107="Fail",IF(ISNUMBER($H107),"Fixed","OPEN"),"")</f>
        <v/>
      </c>
    </row>
    <row r="108" spans="1:10">
      <c r="A108" s="52"/>
      <c r="B108" s="54"/>
      <c r="C108" s="54"/>
      <c r="D108" s="54"/>
      <c r="E108" s="51"/>
      <c r="F108" s="54"/>
      <c r="G108" s="54"/>
      <c r="H108" s="52"/>
      <c r="I108" s="54"/>
      <c r="J108" s="85">
        <f>IF($E108="Fail",IF(ISNUMBER($H108),"Fixed","OPEN"),"")</f>
        <v/>
      </c>
    </row>
    <row r="109" spans="1:10">
      <c r="A109" s="52"/>
      <c r="B109" s="54"/>
      <c r="C109" s="54"/>
      <c r="D109" s="54"/>
      <c r="E109" s="51"/>
      <c r="F109" s="54"/>
      <c r="G109" s="54"/>
      <c r="H109" s="52"/>
      <c r="I109" s="54"/>
      <c r="J109" s="85">
        <f>IF($E109="Fail",IF(ISNUMBER($H109),"Fixed","OPEN"),"")</f>
        <v/>
      </c>
    </row>
    <row r="110" spans="1:10">
      <c r="A110" s="52"/>
      <c r="B110" s="54"/>
      <c r="C110" s="54"/>
      <c r="D110" s="54"/>
      <c r="E110" s="51"/>
      <c r="F110" s="54"/>
      <c r="G110" s="54"/>
      <c r="H110" s="52"/>
      <c r="I110" s="54"/>
      <c r="J110" s="85">
        <f>IF($E110="Fail",IF(ISNUMBER($H110),"Fixed","OPEN"),"")</f>
        <v/>
      </c>
    </row>
    <row r="111" spans="1:10">
      <c r="A111" s="52"/>
      <c r="B111" s="54"/>
      <c r="C111" s="54"/>
      <c r="D111" s="54"/>
      <c r="E111" s="51"/>
      <c r="F111" s="54"/>
      <c r="G111" s="54"/>
      <c r="H111" s="52"/>
      <c r="I111" s="54"/>
      <c r="J111" s="85">
        <f>IF($E111="Fail",IF(ISNUMBER($H111),"Fixed","OPEN"),"")</f>
        <v/>
      </c>
    </row>
    <row r="112" spans="1:10">
      <c r="A112" s="52"/>
      <c r="B112" s="54"/>
      <c r="C112" s="54"/>
      <c r="D112" s="54"/>
      <c r="E112" s="51"/>
      <c r="F112" s="54"/>
      <c r="G112" s="54"/>
      <c r="H112" s="52"/>
      <c r="I112" s="54"/>
      <c r="J112" s="85">
        <f>IF($E112="Fail",IF(ISNUMBER($H112),"Fixed","OPEN"),"")</f>
        <v/>
      </c>
    </row>
    <row r="113" spans="1:10">
      <c r="A113" s="52"/>
      <c r="B113" s="54"/>
      <c r="C113" s="54"/>
      <c r="D113" s="54"/>
      <c r="E113" s="51"/>
      <c r="F113" s="54"/>
      <c r="G113" s="54"/>
      <c r="H113" s="52"/>
      <c r="I113" s="54"/>
      <c r="J113" s="85">
        <f>IF($E113="Fail",IF(ISNUMBER($H113),"Fixed","OPEN"),"")</f>
        <v/>
      </c>
    </row>
    <row r="114" spans="1:10">
      <c r="A114" s="52"/>
      <c r="B114" s="54"/>
      <c r="C114" s="54"/>
      <c r="D114" s="54"/>
      <c r="E114" s="51"/>
      <c r="F114" s="54"/>
      <c r="G114" s="54"/>
      <c r="H114" s="52"/>
      <c r="I114" s="54"/>
      <c r="J114" s="85">
        <f>IF($E114="Fail",IF(ISNUMBER($H114),"Fixed","OPEN"),"")</f>
        <v/>
      </c>
    </row>
    <row r="115" spans="1:10">
      <c r="A115" s="52"/>
      <c r="B115" s="54"/>
      <c r="C115" s="54"/>
      <c r="D115" s="54"/>
      <c r="E115" s="51"/>
      <c r="F115" s="54"/>
      <c r="G115" s="54"/>
      <c r="H115" s="52"/>
      <c r="I115" s="54"/>
      <c r="J115" s="85">
        <f>IF($E115="Fail",IF(ISNUMBER($H115),"Fixed","OPEN"),"")</f>
        <v/>
      </c>
    </row>
    <row r="116" spans="1:10">
      <c r="A116" s="52"/>
      <c r="B116" s="54"/>
      <c r="C116" s="54"/>
      <c r="D116" s="54"/>
      <c r="E116" s="51"/>
      <c r="F116" s="54"/>
      <c r="G116" s="54"/>
      <c r="H116" s="52"/>
      <c r="I116" s="54"/>
      <c r="J116" s="85">
        <f>IF($E116="Fail",IF(ISNUMBER($H116),"Fixed","OPEN"),"")</f>
        <v/>
      </c>
    </row>
    <row r="117" spans="1:10">
      <c r="A117" s="52"/>
      <c r="B117" s="54"/>
      <c r="C117" s="54"/>
      <c r="D117" s="54"/>
      <c r="E117" s="51"/>
      <c r="F117" s="54"/>
      <c r="G117" s="54"/>
      <c r="H117" s="52"/>
      <c r="I117" s="54"/>
      <c r="J117" s="85">
        <f>IF($E117="Fail",IF(ISNUMBER($H117),"Fixed","OPEN"),"")</f>
        <v/>
      </c>
    </row>
    <row r="118" spans="1:10">
      <c r="A118" s="52"/>
      <c r="B118" s="54"/>
      <c r="C118" s="54"/>
      <c r="D118" s="54"/>
      <c r="E118" s="51"/>
      <c r="F118" s="54"/>
      <c r="G118" s="54"/>
      <c r="H118" s="52"/>
      <c r="I118" s="54"/>
      <c r="J118" s="85">
        <f>IF($E118="Fail",IF(ISNUMBER($H118),"Fixed","OPEN"),"")</f>
        <v/>
      </c>
    </row>
    <row r="119" spans="1:10">
      <c r="A119" s="52"/>
      <c r="B119" s="54"/>
      <c r="C119" s="54"/>
      <c r="D119" s="54"/>
      <c r="E119" s="51"/>
      <c r="F119" s="54"/>
      <c r="G119" s="54"/>
      <c r="H119" s="52"/>
      <c r="I119" s="54"/>
      <c r="J119" s="85">
        <f>IF($E119="Fail",IF(ISNUMBER($H119),"Fixed","OPEN"),"")</f>
        <v/>
      </c>
    </row>
    <row r="120" spans="1:10">
      <c r="A120" s="52"/>
      <c r="B120" s="54"/>
      <c r="C120" s="54"/>
      <c r="D120" s="54"/>
      <c r="E120" s="51"/>
      <c r="F120" s="54"/>
      <c r="G120" s="54"/>
      <c r="H120" s="52"/>
      <c r="I120" s="54"/>
      <c r="J120" s="85">
        <f>IF($E120="Fail",IF(ISNUMBER($H120),"Fixed","OPEN"),"")</f>
        <v/>
      </c>
    </row>
    <row r="121" spans="1:10">
      <c r="A121" s="52"/>
      <c r="B121" s="54"/>
      <c r="C121" s="54"/>
      <c r="D121" s="54"/>
      <c r="E121" s="51"/>
      <c r="F121" s="54"/>
      <c r="G121" s="54"/>
      <c r="H121" s="52"/>
      <c r="I121" s="54"/>
      <c r="J121" s="85">
        <f>IF($E121="Fail",IF(ISNUMBER($H121),"Fixed","OPEN"),"")</f>
        <v/>
      </c>
    </row>
    <row r="122" spans="1:10">
      <c r="A122" s="52"/>
      <c r="B122" s="54"/>
      <c r="C122" s="54"/>
      <c r="D122" s="54"/>
      <c r="E122" s="51"/>
      <c r="F122" s="54"/>
      <c r="G122" s="54"/>
      <c r="H122" s="52"/>
      <c r="I122" s="54"/>
      <c r="J122" s="85">
        <f>IF($E122="Fail",IF(ISNUMBER($H122),"Fixed","OPEN"),"")</f>
        <v/>
      </c>
    </row>
    <row r="123" spans="1:10">
      <c r="A123" s="52"/>
      <c r="B123" s="54"/>
      <c r="C123" s="54"/>
      <c r="D123" s="54"/>
      <c r="E123" s="51"/>
      <c r="F123" s="54"/>
      <c r="G123" s="54"/>
      <c r="H123" s="52"/>
      <c r="I123" s="54"/>
      <c r="J123" s="85">
        <f>IF($E123="Fail",IF(ISNUMBER($H123),"Fixed","OPEN"),"")</f>
        <v/>
      </c>
    </row>
    <row r="124" spans="1:10">
      <c r="A124" s="52"/>
      <c r="B124" s="54"/>
      <c r="C124" s="54"/>
      <c r="D124" s="54"/>
      <c r="E124" s="51"/>
      <c r="F124" s="54"/>
      <c r="G124" s="54"/>
      <c r="H124" s="52"/>
      <c r="I124" s="54"/>
      <c r="J124" s="85">
        <f>IF($E124="Fail",IF(ISNUMBER($H124),"Fixed","OPEN"),"")</f>
        <v/>
      </c>
    </row>
    <row r="125" spans="1:10">
      <c r="A125" s="52"/>
      <c r="B125" s="54"/>
      <c r="C125" s="54"/>
      <c r="D125" s="54"/>
      <c r="E125" s="51"/>
      <c r="F125" s="54"/>
      <c r="G125" s="54"/>
      <c r="H125" s="52"/>
      <c r="I125" s="54"/>
      <c r="J125" s="85">
        <f>IF($E125="Fail",IF(ISNUMBER($H125),"Fixed","OPEN"),"")</f>
        <v/>
      </c>
    </row>
    <row r="126" spans="1:10">
      <c r="A126" s="52"/>
      <c r="B126" s="54"/>
      <c r="C126" s="54"/>
      <c r="D126" s="54"/>
      <c r="E126" s="51"/>
      <c r="F126" s="54"/>
      <c r="G126" s="54"/>
      <c r="H126" s="52"/>
      <c r="I126" s="54"/>
      <c r="J126" s="85">
        <f>IF($E126="Fail",IF(ISNUMBER($H126),"Fixed","OPEN"),"")</f>
        <v/>
      </c>
    </row>
    <row r="127" spans="1:10">
      <c r="A127" s="52"/>
      <c r="B127" s="54"/>
      <c r="C127" s="54"/>
      <c r="D127" s="54"/>
      <c r="E127" s="51"/>
      <c r="F127" s="54"/>
      <c r="G127" s="54"/>
      <c r="H127" s="52"/>
      <c r="I127" s="54"/>
      <c r="J127" s="85">
        <f>IF($E127="Fail",IF(ISNUMBER($H127),"Fixed","OPEN"),"")</f>
        <v/>
      </c>
    </row>
    <row r="128" spans="1:10">
      <c r="A128" s="52"/>
      <c r="B128" s="54"/>
      <c r="C128" s="54"/>
      <c r="D128" s="54"/>
      <c r="E128" s="51"/>
      <c r="F128" s="54"/>
      <c r="G128" s="54"/>
      <c r="H128" s="52"/>
      <c r="I128" s="54"/>
      <c r="J128" s="85">
        <f>IF($E128="Fail",IF(ISNUMBER($H128),"Fixed","OPEN"),"")</f>
        <v/>
      </c>
    </row>
    <row r="129" spans="1:10">
      <c r="A129" s="52"/>
      <c r="B129" s="54"/>
      <c r="C129" s="54"/>
      <c r="D129" s="54"/>
      <c r="E129" s="51"/>
      <c r="F129" s="54"/>
      <c r="G129" s="54"/>
      <c r="H129" s="52"/>
      <c r="I129" s="54"/>
      <c r="J129" s="85">
        <f>IF($E129="Fail",IF(ISNUMBER($H129),"Fixed","OPEN"),"")</f>
        <v/>
      </c>
    </row>
    <row r="130" spans="1:10">
      <c r="A130" s="52"/>
      <c r="B130" s="54"/>
      <c r="C130" s="54"/>
      <c r="D130" s="54"/>
      <c r="E130" s="51"/>
      <c r="F130" s="54"/>
      <c r="G130" s="54"/>
      <c r="H130" s="52"/>
      <c r="I130" s="54"/>
      <c r="J130" s="85">
        <f>IF($E130="Fail",IF(ISNUMBER($H130),"Fixed","OPEN"),"")</f>
        <v/>
      </c>
    </row>
    <row r="131" spans="1:10">
      <c r="A131" s="52"/>
      <c r="B131" s="54"/>
      <c r="C131" s="54"/>
      <c r="D131" s="54"/>
      <c r="E131" s="51"/>
      <c r="F131" s="54"/>
      <c r="G131" s="54"/>
      <c r="H131" s="52"/>
      <c r="I131" s="54"/>
      <c r="J131" s="85">
        <f>IF($E131="Fail",IF(ISNUMBER($H131),"Fixed","OPEN"),"")</f>
        <v/>
      </c>
    </row>
    <row r="132" spans="1:10">
      <c r="A132" s="52"/>
      <c r="B132" s="54"/>
      <c r="C132" s="54"/>
      <c r="D132" s="54"/>
      <c r="E132" s="51"/>
      <c r="F132" s="54"/>
      <c r="G132" s="54"/>
      <c r="H132" s="52"/>
      <c r="I132" s="54"/>
      <c r="J132" s="85">
        <f>IF($E132="Fail",IF(ISNUMBER($H132),"Fixed","OPEN"),"")</f>
        <v/>
      </c>
    </row>
    <row r="133" spans="1:10">
      <c r="A133" s="52"/>
      <c r="B133" s="54"/>
      <c r="C133" s="54"/>
      <c r="D133" s="54"/>
      <c r="E133" s="51"/>
      <c r="F133" s="54"/>
      <c r="G133" s="54"/>
      <c r="H133" s="52"/>
      <c r="I133" s="54"/>
      <c r="J133" s="85">
        <f>IF($E133="Fail",IF(ISNUMBER($H133),"Fixed","OPEN"),"")</f>
        <v/>
      </c>
    </row>
    <row r="134" spans="1:10">
      <c r="A134" s="52"/>
      <c r="B134" s="54"/>
      <c r="C134" s="54"/>
      <c r="D134" s="54"/>
      <c r="E134" s="51"/>
      <c r="F134" s="54"/>
      <c r="G134" s="54"/>
      <c r="H134" s="52"/>
      <c r="I134" s="54"/>
      <c r="J134" s="85">
        <f>IF($E134="Fail",IF(ISNUMBER($H134),"Fixed","OPEN"),"")</f>
        <v/>
      </c>
    </row>
    <row r="135" spans="1:10">
      <c r="A135" s="52"/>
      <c r="B135" s="54"/>
      <c r="C135" s="54"/>
      <c r="D135" s="54"/>
      <c r="E135" s="51"/>
      <c r="F135" s="54"/>
      <c r="G135" s="54"/>
      <c r="H135" s="52"/>
      <c r="I135" s="54"/>
      <c r="J135" s="85">
        <f>IF($E135="Fail",IF(ISNUMBER($H135),"Fixed","OPEN"),"")</f>
        <v/>
      </c>
    </row>
    <row r="136" spans="1:10">
      <c r="A136" s="52"/>
      <c r="B136" s="54"/>
      <c r="C136" s="54"/>
      <c r="D136" s="54"/>
      <c r="E136" s="51"/>
      <c r="F136" s="54"/>
      <c r="G136" s="54"/>
      <c r="H136" s="52"/>
      <c r="I136" s="54"/>
      <c r="J136" s="85">
        <f>IF($E136="Fail",IF(ISNUMBER($H136),"Fixed","OPEN"),"")</f>
        <v/>
      </c>
    </row>
    <row r="137" spans="1:10">
      <c r="A137" s="52"/>
      <c r="B137" s="54"/>
      <c r="C137" s="54"/>
      <c r="D137" s="54"/>
      <c r="E137" s="51"/>
      <c r="F137" s="54"/>
      <c r="G137" s="54"/>
      <c r="H137" s="52"/>
      <c r="I137" s="54"/>
      <c r="J137" s="85">
        <f>IF($E137="Fail",IF(ISNUMBER($H137),"Fixed","OPEN"),"")</f>
        <v/>
      </c>
    </row>
    <row r="138" spans="1:10">
      <c r="A138" s="52"/>
      <c r="B138" s="54"/>
      <c r="C138" s="54"/>
      <c r="D138" s="54"/>
      <c r="E138" s="51"/>
      <c r="F138" s="54"/>
      <c r="G138" s="54"/>
      <c r="H138" s="52"/>
      <c r="I138" s="54"/>
      <c r="J138" s="85">
        <f>IF($E138="Fail",IF(ISNUMBER($H138),"Fixed","OPEN"),"")</f>
        <v/>
      </c>
    </row>
    <row r="139" spans="1:10">
      <c r="A139" s="52"/>
      <c r="B139" s="54"/>
      <c r="C139" s="54"/>
      <c r="D139" s="54"/>
      <c r="E139" s="51"/>
      <c r="F139" s="54"/>
      <c r="G139" s="54"/>
      <c r="H139" s="52"/>
      <c r="I139" s="54"/>
      <c r="J139" s="85">
        <f>IF($E139="Fail",IF(ISNUMBER($H139),"Fixed","OPEN"),"")</f>
        <v/>
      </c>
    </row>
    <row r="140" spans="1:10">
      <c r="A140" s="52"/>
      <c r="B140" s="54"/>
      <c r="C140" s="54"/>
      <c r="D140" s="54"/>
      <c r="E140" s="51"/>
      <c r="F140" s="54"/>
      <c r="G140" s="54"/>
      <c r="H140" s="52"/>
      <c r="I140" s="54"/>
      <c r="J140" s="85">
        <f>IF($E140="Fail",IF(ISNUMBER($H140),"Fixed","OPEN"),"")</f>
        <v/>
      </c>
    </row>
    <row r="141" spans="1:10">
      <c r="A141" s="52"/>
      <c r="B141" s="54"/>
      <c r="C141" s="54"/>
      <c r="D141" s="54"/>
      <c r="E141" s="51"/>
      <c r="F141" s="54"/>
      <c r="G141" s="54"/>
      <c r="H141" s="52"/>
      <c r="I141" s="54"/>
      <c r="J141" s="85">
        <f>IF($E141="Fail",IF(ISNUMBER($H141),"Fixed","OPEN"),"")</f>
        <v/>
      </c>
    </row>
    <row r="142" spans="1:10">
      <c r="A142" s="52"/>
      <c r="B142" s="54"/>
      <c r="C142" s="54"/>
      <c r="D142" s="54"/>
      <c r="E142" s="51"/>
      <c r="F142" s="54"/>
      <c r="G142" s="54"/>
      <c r="H142" s="52"/>
      <c r="I142" s="54"/>
      <c r="J142" s="85">
        <f>IF($E142="Fail",IF(ISNUMBER($H142),"Fixed","OPEN"),"")</f>
        <v/>
      </c>
    </row>
    <row r="143" spans="1:10">
      <c r="A143" s="52"/>
      <c r="B143" s="54"/>
      <c r="C143" s="54"/>
      <c r="D143" s="54"/>
      <c r="E143" s="51"/>
      <c r="F143" s="54"/>
      <c r="G143" s="54"/>
      <c r="H143" s="52"/>
      <c r="I143" s="54"/>
      <c r="J143" s="85">
        <f>IF($E143="Fail",IF(ISNUMBER($H143),"Fixed","OPEN"),"")</f>
        <v/>
      </c>
    </row>
    <row r="144" spans="1:10">
      <c r="A144" s="52"/>
      <c r="B144" s="54"/>
      <c r="C144" s="54"/>
      <c r="D144" s="54"/>
      <c r="E144" s="51"/>
      <c r="F144" s="54"/>
      <c r="G144" s="54"/>
      <c r="H144" s="52"/>
      <c r="I144" s="54"/>
      <c r="J144" s="85">
        <f>IF($E144="Fail",IF(ISNUMBER($H144),"Fixed","OPEN"),"")</f>
        <v/>
      </c>
    </row>
    <row r="145" spans="1:10">
      <c r="A145" s="52"/>
      <c r="B145" s="54"/>
      <c r="C145" s="54"/>
      <c r="D145" s="54"/>
      <c r="E145" s="51"/>
      <c r="F145" s="54"/>
      <c r="G145" s="54"/>
      <c r="H145" s="52"/>
      <c r="I145" s="54"/>
      <c r="J145" s="85">
        <f>IF($E145="Fail",IF(ISNUMBER($H145),"Fixed","OPEN"),"")</f>
        <v/>
      </c>
    </row>
    <row r="146" spans="1:10">
      <c r="A146" s="52"/>
      <c r="B146" s="54"/>
      <c r="C146" s="54"/>
      <c r="D146" s="54"/>
      <c r="E146" s="51"/>
      <c r="F146" s="54"/>
      <c r="G146" s="54"/>
      <c r="H146" s="52"/>
      <c r="I146" s="54"/>
      <c r="J146" s="85">
        <f>IF($E146="Fail",IF(ISNUMBER($H146),"Fixed","OPEN"),"")</f>
        <v/>
      </c>
    </row>
    <row r="147" spans="1:10">
      <c r="A147" s="52"/>
      <c r="B147" s="54"/>
      <c r="C147" s="54"/>
      <c r="D147" s="54"/>
      <c r="E147" s="51"/>
      <c r="F147" s="54"/>
      <c r="G147" s="54"/>
      <c r="H147" s="52"/>
      <c r="I147" s="54"/>
      <c r="J147" s="85">
        <f>IF($E147="Fail",IF(ISNUMBER($H147),"Fixed","OPEN"),"")</f>
        <v/>
      </c>
    </row>
    <row r="148" spans="1:10">
      <c r="A148" s="52"/>
      <c r="B148" s="54"/>
      <c r="C148" s="54"/>
      <c r="D148" s="54"/>
      <c r="E148" s="51"/>
      <c r="F148" s="54"/>
      <c r="G148" s="54"/>
      <c r="H148" s="52"/>
      <c r="I148" s="54"/>
      <c r="J148" s="85">
        <f>IF($E148="Fail",IF(ISNUMBER($H148),"Fixed","OPEN"),"")</f>
        <v/>
      </c>
    </row>
    <row r="149" spans="1:10">
      <c r="A149" s="52"/>
      <c r="B149" s="54"/>
      <c r="C149" s="54"/>
      <c r="D149" s="54"/>
      <c r="E149" s="51"/>
      <c r="F149" s="54"/>
      <c r="G149" s="54"/>
      <c r="H149" s="52"/>
      <c r="I149" s="54"/>
      <c r="J149" s="85">
        <f>IF($E149="Fail",IF(ISNUMBER($H149),"Fixed","OPEN"),"")</f>
        <v/>
      </c>
    </row>
    <row r="150" spans="1:10">
      <c r="A150" s="52"/>
      <c r="B150" s="54"/>
      <c r="C150" s="54"/>
      <c r="D150" s="54"/>
      <c r="E150" s="51"/>
      <c r="F150" s="54"/>
      <c r="G150" s="54"/>
      <c r="H150" s="52"/>
      <c r="I150" s="54"/>
      <c r="J150" s="85">
        <f>IF($E150="Fail",IF(ISNUMBER($H150),"Fixed","OPEN"),"")</f>
        <v/>
      </c>
    </row>
    <row r="151" spans="1:10">
      <c r="A151" s="52"/>
      <c r="B151" s="54"/>
      <c r="C151" s="54"/>
      <c r="D151" s="54"/>
      <c r="E151" s="51"/>
      <c r="F151" s="54"/>
      <c r="G151" s="54"/>
      <c r="H151" s="52"/>
      <c r="I151" s="54"/>
      <c r="J151" s="85">
        <f>IF($E151="Fail",IF(ISNUMBER($H151),"Fixed","OPEN"),"")</f>
        <v/>
      </c>
    </row>
    <row r="152" spans="1:10">
      <c r="A152" s="52"/>
      <c r="B152" s="54"/>
      <c r="C152" s="54"/>
      <c r="D152" s="54"/>
      <c r="E152" s="51"/>
      <c r="F152" s="54"/>
      <c r="G152" s="54"/>
      <c r="H152" s="52"/>
      <c r="I152" s="54"/>
      <c r="J152" s="85">
        <f>IF($E152="Fail",IF(ISNUMBER($H152),"Fixed","OPEN"),"")</f>
        <v/>
      </c>
    </row>
    <row r="153" spans="1:10">
      <c r="A153" s="52"/>
      <c r="B153" s="54"/>
      <c r="C153" s="54"/>
      <c r="D153" s="54"/>
      <c r="E153" s="51"/>
      <c r="F153" s="54"/>
      <c r="G153" s="54"/>
      <c r="H153" s="52"/>
      <c r="I153" s="54"/>
      <c r="J153" s="85">
        <f>IF($E153="Fail",IF(ISNUMBER($H153),"Fixed","OPEN"),"")</f>
        <v/>
      </c>
    </row>
    <row r="154" spans="1:10">
      <c r="A154" s="52"/>
      <c r="B154" s="54"/>
      <c r="C154" s="54"/>
      <c r="D154" s="54"/>
      <c r="E154" s="51"/>
      <c r="F154" s="54"/>
      <c r="G154" s="54"/>
      <c r="H154" s="52"/>
      <c r="I154" s="54"/>
      <c r="J154" s="85">
        <f>IF($E154="Fail",IF(ISNUMBER($H154),"Fixed","OPEN"),"")</f>
        <v/>
      </c>
    </row>
    <row r="155" spans="1:10">
      <c r="A155" s="52"/>
      <c r="B155" s="54"/>
      <c r="C155" s="54"/>
      <c r="D155" s="54"/>
      <c r="E155" s="51"/>
      <c r="F155" s="54"/>
      <c r="G155" s="54"/>
      <c r="H155" s="52"/>
      <c r="I155" s="54"/>
      <c r="J155" s="85">
        <f>IF($E155="Fail",IF(ISNUMBER($H155),"Fixed","OPEN"),"")</f>
        <v/>
      </c>
    </row>
    <row r="156" spans="1:10">
      <c r="A156" s="52"/>
      <c r="B156" s="54"/>
      <c r="C156" s="54"/>
      <c r="D156" s="54"/>
      <c r="E156" s="51"/>
      <c r="F156" s="54"/>
      <c r="G156" s="54"/>
      <c r="H156" s="52"/>
      <c r="I156" s="54"/>
      <c r="J156" s="85">
        <f>IF($E156="Fail",IF(ISNUMBER($H156),"Fixed","OPEN"),"")</f>
        <v/>
      </c>
    </row>
    <row r="157" spans="1:10">
      <c r="A157" s="52"/>
      <c r="B157" s="54"/>
      <c r="C157" s="54"/>
      <c r="D157" s="54"/>
      <c r="E157" s="51"/>
      <c r="F157" s="54"/>
      <c r="G157" s="54"/>
      <c r="H157" s="52"/>
      <c r="I157" s="54"/>
      <c r="J157" s="85">
        <f>IF($E157="Fail",IF(ISNUMBER($H157),"Fixed","OPEN"),"")</f>
        <v/>
      </c>
    </row>
    <row r="158" spans="1:10">
      <c r="A158" s="52"/>
      <c r="B158" s="54"/>
      <c r="C158" s="54"/>
      <c r="D158" s="54"/>
      <c r="E158" s="51"/>
      <c r="F158" s="54"/>
      <c r="G158" s="54"/>
      <c r="H158" s="52"/>
      <c r="I158" s="54"/>
      <c r="J158" s="85">
        <f>IF($E158="Fail",IF(ISNUMBER($H158),"Fixed","OPEN"),"")</f>
        <v/>
      </c>
    </row>
    <row r="159" spans="1:10">
      <c r="A159" s="52"/>
      <c r="B159" s="54"/>
      <c r="C159" s="54"/>
      <c r="D159" s="54"/>
      <c r="E159" s="51"/>
      <c r="F159" s="54"/>
      <c r="G159" s="54"/>
      <c r="H159" s="52"/>
      <c r="I159" s="54"/>
      <c r="J159" s="85">
        <f>IF($E159="Fail",IF(ISNUMBER($H159),"Fixed","OPEN"),"")</f>
        <v/>
      </c>
    </row>
    <row r="160" spans="1:10">
      <c r="A160" s="52"/>
      <c r="B160" s="54"/>
      <c r="C160" s="54"/>
      <c r="D160" s="54"/>
      <c r="E160" s="51"/>
      <c r="F160" s="54"/>
      <c r="G160" s="54"/>
      <c r="H160" s="52"/>
      <c r="I160" s="54"/>
      <c r="J160" s="85">
        <f>IF($E160="Fail",IF(ISNUMBER($H160),"Fixed","OPEN"),"")</f>
        <v/>
      </c>
    </row>
    <row r="161" spans="1:10">
      <c r="A161" s="52"/>
      <c r="B161" s="54"/>
      <c r="C161" s="54"/>
      <c r="D161" s="54"/>
      <c r="E161" s="51"/>
      <c r="F161" s="54"/>
      <c r="G161" s="54"/>
      <c r="H161" s="52"/>
      <c r="I161" s="54"/>
      <c r="J161" s="85">
        <f>IF($E161="Fail",IF(ISNUMBER($H161),"Fixed","OPEN"),"")</f>
        <v/>
      </c>
    </row>
    <row r="162" spans="1:10">
      <c r="A162" s="52"/>
      <c r="B162" s="54"/>
      <c r="C162" s="54"/>
      <c r="D162" s="54"/>
      <c r="E162" s="51"/>
      <c r="F162" s="54"/>
      <c r="G162" s="54"/>
      <c r="H162" s="52"/>
      <c r="I162" s="54"/>
      <c r="J162" s="85">
        <f>IF($E162="Fail",IF(ISNUMBER($H162),"Fixed","OPEN"),"")</f>
        <v/>
      </c>
    </row>
    <row r="163" spans="1:10">
      <c r="A163" s="52"/>
      <c r="B163" s="54"/>
      <c r="C163" s="54"/>
      <c r="D163" s="54"/>
      <c r="E163" s="51"/>
      <c r="F163" s="54"/>
      <c r="G163" s="54"/>
      <c r="H163" s="52"/>
      <c r="I163" s="54"/>
      <c r="J163" s="85">
        <f>IF($E163="Fail",IF(ISNUMBER($H163),"Fixed","OPEN"),"")</f>
        <v/>
      </c>
    </row>
    <row r="164" spans="1:10">
      <c r="A164" s="52"/>
      <c r="B164" s="54"/>
      <c r="C164" s="54"/>
      <c r="D164" s="54"/>
      <c r="E164" s="51"/>
      <c r="F164" s="54"/>
      <c r="G164" s="54"/>
      <c r="H164" s="52"/>
      <c r="I164" s="54"/>
      <c r="J164" s="85">
        <f>IF($E164="Fail",IF(ISNUMBER($H164),"Fixed","OPEN"),"")</f>
        <v/>
      </c>
    </row>
    <row r="165" spans="1:10">
      <c r="A165" s="52"/>
      <c r="B165" s="54"/>
      <c r="C165" s="54"/>
      <c r="D165" s="54"/>
      <c r="E165" s="51"/>
      <c r="F165" s="54"/>
      <c r="G165" s="54"/>
      <c r="H165" s="52"/>
      <c r="I165" s="54"/>
      <c r="J165" s="85">
        <f>IF($E165="Fail",IF(ISNUMBER($H165),"Fixed","OPEN"),"")</f>
        <v/>
      </c>
    </row>
    <row r="166" spans="1:10">
      <c r="A166" s="52"/>
      <c r="B166" s="54"/>
      <c r="C166" s="54"/>
      <c r="D166" s="54"/>
      <c r="E166" s="51"/>
      <c r="F166" s="54"/>
      <c r="G166" s="54"/>
      <c r="H166" s="52"/>
      <c r="I166" s="54"/>
      <c r="J166" s="85">
        <f>IF($E166="Fail",IF(ISNUMBER($H166),"Fixed","OPEN"),"")</f>
        <v/>
      </c>
    </row>
    <row r="167" spans="1:10">
      <c r="A167" s="52"/>
      <c r="B167" s="54"/>
      <c r="C167" s="54"/>
      <c r="D167" s="54"/>
      <c r="E167" s="51"/>
      <c r="F167" s="54"/>
      <c r="G167" s="54"/>
      <c r="H167" s="52"/>
      <c r="I167" s="54"/>
      <c r="J167" s="85">
        <f>IF($E167="Fail",IF(ISNUMBER($H167),"Fixed","OPEN"),"")</f>
        <v/>
      </c>
    </row>
    <row r="168" spans="1:10">
      <c r="A168" s="52"/>
      <c r="B168" s="54"/>
      <c r="C168" s="54"/>
      <c r="D168" s="54"/>
      <c r="E168" s="51"/>
      <c r="F168" s="54"/>
      <c r="G168" s="54"/>
      <c r="H168" s="52"/>
      <c r="I168" s="54"/>
      <c r="J168" s="85">
        <f>IF($E168="Fail",IF(ISNUMBER($H168),"Fixed","OPEN"),"")</f>
        <v/>
      </c>
    </row>
    <row r="169" spans="1:10">
      <c r="A169" s="52"/>
      <c r="B169" s="54"/>
      <c r="C169" s="54"/>
      <c r="D169" s="54"/>
      <c r="E169" s="51"/>
      <c r="F169" s="54"/>
      <c r="G169" s="54"/>
      <c r="H169" s="52"/>
      <c r="I169" s="54"/>
      <c r="J169" s="85">
        <f>IF($E169="Fail",IF(ISNUMBER($H169),"Fixed","OPEN"),"")</f>
        <v/>
      </c>
    </row>
    <row r="170" spans="1:10">
      <c r="A170" s="52"/>
      <c r="B170" s="54"/>
      <c r="C170" s="54"/>
      <c r="D170" s="54"/>
      <c r="E170" s="51"/>
      <c r="F170" s="54"/>
      <c r="G170" s="54"/>
      <c r="H170" s="52"/>
      <c r="I170" s="54"/>
      <c r="J170" s="85">
        <f>IF($E170="Fail",IF(ISNUMBER($H170),"Fixed","OPEN"),"")</f>
        <v/>
      </c>
    </row>
    <row r="171" spans="1:10">
      <c r="A171" s="52"/>
      <c r="B171" s="54"/>
      <c r="C171" s="54"/>
      <c r="D171" s="54"/>
      <c r="E171" s="51"/>
      <c r="F171" s="54"/>
      <c r="G171" s="54"/>
      <c r="H171" s="52"/>
      <c r="I171" s="54"/>
      <c r="J171" s="85">
        <f>IF($E171="Fail",IF(ISNUMBER($H171),"Fixed","OPEN"),"")</f>
        <v/>
      </c>
    </row>
    <row r="172" spans="1:10">
      <c r="A172" s="52"/>
      <c r="B172" s="54"/>
      <c r="C172" s="54"/>
      <c r="D172" s="54"/>
      <c r="E172" s="51"/>
      <c r="F172" s="54"/>
      <c r="G172" s="54"/>
      <c r="H172" s="52"/>
      <c r="I172" s="54"/>
      <c r="J172" s="85">
        <f>IF($E172="Fail",IF(ISNUMBER($H172),"Fixed","OPEN"),"")</f>
        <v/>
      </c>
    </row>
    <row r="173" spans="1:10">
      <c r="A173" s="52"/>
      <c r="B173" s="54"/>
      <c r="C173" s="54"/>
      <c r="D173" s="54"/>
      <c r="E173" s="51"/>
      <c r="F173" s="54"/>
      <c r="G173" s="54"/>
      <c r="H173" s="52"/>
      <c r="I173" s="54"/>
      <c r="J173" s="85">
        <f>IF($E173="Fail",IF(ISNUMBER($H173),"Fixed","OPEN"),"")</f>
        <v/>
      </c>
    </row>
    <row r="174" spans="1:10">
      <c r="A174" s="52"/>
      <c r="B174" s="54"/>
      <c r="C174" s="54"/>
      <c r="D174" s="54"/>
      <c r="E174" s="51"/>
      <c r="F174" s="54"/>
      <c r="G174" s="54"/>
      <c r="H174" s="52"/>
      <c r="I174" s="54"/>
      <c r="J174" s="85">
        <f>IF($E174="Fail",IF(ISNUMBER($H174),"Fixed","OPEN"),"")</f>
        <v/>
      </c>
    </row>
    <row r="175" spans="1:10">
      <c r="A175" s="52"/>
      <c r="B175" s="54"/>
      <c r="C175" s="54"/>
      <c r="D175" s="54"/>
      <c r="E175" s="51"/>
      <c r="F175" s="54"/>
      <c r="G175" s="54"/>
      <c r="H175" s="52"/>
      <c r="I175" s="54"/>
      <c r="J175" s="85">
        <f>IF($E175="Fail",IF(ISNUMBER($H175),"Fixed","OPEN"),"")</f>
        <v/>
      </c>
    </row>
    <row r="176" spans="1:10">
      <c r="A176" s="52"/>
      <c r="B176" s="54"/>
      <c r="C176" s="54"/>
      <c r="D176" s="54"/>
      <c r="E176" s="51"/>
      <c r="F176" s="54"/>
      <c r="G176" s="54"/>
      <c r="H176" s="52"/>
      <c r="I176" s="54"/>
      <c r="J176" s="85">
        <f>IF($E176="Fail",IF(ISNUMBER($H176),"Fixed","OPEN"),"")</f>
        <v/>
      </c>
    </row>
    <row r="177" spans="1:10">
      <c r="A177" s="52"/>
      <c r="B177" s="54"/>
      <c r="C177" s="54"/>
      <c r="D177" s="54"/>
      <c r="E177" s="51"/>
      <c r="F177" s="54"/>
      <c r="G177" s="54"/>
      <c r="H177" s="52"/>
      <c r="I177" s="54"/>
      <c r="J177" s="85">
        <f>IF($E177="Fail",IF(ISNUMBER($H177),"Fixed","OPEN"),"")</f>
        <v/>
      </c>
    </row>
    <row r="178" spans="1:10">
      <c r="A178" s="52"/>
      <c r="B178" s="54"/>
      <c r="C178" s="54"/>
      <c r="D178" s="54"/>
      <c r="E178" s="51"/>
      <c r="F178" s="54"/>
      <c r="G178" s="54"/>
      <c r="H178" s="52"/>
      <c r="I178" s="54"/>
      <c r="J178" s="85">
        <f>IF($E178="Fail",IF(ISNUMBER($H178),"Fixed","OPEN"),"")</f>
        <v/>
      </c>
    </row>
    <row r="179" spans="1:10">
      <c r="A179" s="52"/>
      <c r="B179" s="54"/>
      <c r="C179" s="54"/>
      <c r="D179" s="54"/>
      <c r="E179" s="51"/>
      <c r="F179" s="54"/>
      <c r="G179" s="54"/>
      <c r="H179" s="52"/>
      <c r="I179" s="54"/>
      <c r="J179" s="85">
        <f>IF($E179="Fail",IF(ISNUMBER($H179),"Fixed","OPEN"),"")</f>
        <v/>
      </c>
    </row>
    <row r="180" spans="1:10">
      <c r="A180" s="52"/>
      <c r="B180" s="54"/>
      <c r="C180" s="54"/>
      <c r="D180" s="54"/>
      <c r="E180" s="51"/>
      <c r="F180" s="54"/>
      <c r="G180" s="54"/>
      <c r="H180" s="52"/>
      <c r="I180" s="54"/>
      <c r="J180" s="85">
        <f>IF($E180="Fail",IF(ISNUMBER($H180),"Fixed","OPEN"),"")</f>
        <v/>
      </c>
    </row>
    <row r="181" spans="1:10">
      <c r="A181" s="52"/>
      <c r="B181" s="54"/>
      <c r="C181" s="54"/>
      <c r="D181" s="54"/>
      <c r="E181" s="51"/>
      <c r="F181" s="54"/>
      <c r="G181" s="54"/>
      <c r="H181" s="52"/>
      <c r="I181" s="54"/>
      <c r="J181" s="85">
        <f>IF($E181="Fail",IF(ISNUMBER($H181),"Fixed","OPEN"),"")</f>
        <v/>
      </c>
    </row>
    <row r="182" spans="1:10">
      <c r="A182" s="52"/>
      <c r="B182" s="54"/>
      <c r="C182" s="54"/>
      <c r="D182" s="54"/>
      <c r="E182" s="51"/>
      <c r="F182" s="54"/>
      <c r="G182" s="54"/>
      <c r="H182" s="52"/>
      <c r="I182" s="54"/>
      <c r="J182" s="85">
        <f>IF($E182="Fail",IF(ISNUMBER($H182),"Fixed","OPEN"),"")</f>
        <v/>
      </c>
    </row>
    <row r="183" spans="1:10">
      <c r="A183" s="52"/>
      <c r="B183" s="54"/>
      <c r="C183" s="54"/>
      <c r="D183" s="54"/>
      <c r="E183" s="51"/>
      <c r="F183" s="54"/>
      <c r="G183" s="54"/>
      <c r="H183" s="52"/>
      <c r="I183" s="54"/>
      <c r="J183" s="85">
        <f>IF($E183="Fail",IF(ISNUMBER($H183),"Fixed","OPEN"),"")</f>
        <v/>
      </c>
    </row>
    <row r="184" spans="1:10">
      <c r="A184" s="52"/>
      <c r="B184" s="54"/>
      <c r="C184" s="54"/>
      <c r="D184" s="54"/>
      <c r="E184" s="51"/>
      <c r="F184" s="54"/>
      <c r="G184" s="54"/>
      <c r="H184" s="52"/>
      <c r="I184" s="54"/>
      <c r="J184" s="85">
        <f>IF($E184="Fail",IF(ISNUMBER($H184),"Fixed","OPEN"),"")</f>
        <v/>
      </c>
    </row>
    <row r="185" spans="1:10">
      <c r="A185" s="52"/>
      <c r="B185" s="54"/>
      <c r="C185" s="54"/>
      <c r="D185" s="54"/>
      <c r="E185" s="51"/>
      <c r="F185" s="54"/>
      <c r="G185" s="54"/>
      <c r="H185" s="52"/>
      <c r="I185" s="54"/>
      <c r="J185" s="85">
        <f>IF($E185="Fail",IF(ISNUMBER($H185),"Fixed","OPEN"),"")</f>
        <v/>
      </c>
    </row>
    <row r="186" spans="1:10">
      <c r="A186" s="52"/>
      <c r="B186" s="54"/>
      <c r="C186" s="54"/>
      <c r="D186" s="54"/>
      <c r="E186" s="51"/>
      <c r="F186" s="54"/>
      <c r="G186" s="54"/>
      <c r="H186" s="52"/>
      <c r="I186" s="54"/>
      <c r="J186" s="85">
        <f>IF($E186="Fail",IF(ISNUMBER($H186),"Fixed","OPEN"),"")</f>
        <v/>
      </c>
    </row>
    <row r="187" spans="1:10">
      <c r="A187" s="52"/>
      <c r="B187" s="54"/>
      <c r="C187" s="54"/>
      <c r="D187" s="54"/>
      <c r="E187" s="51"/>
      <c r="F187" s="54"/>
      <c r="G187" s="54"/>
      <c r="H187" s="52"/>
      <c r="I187" s="54"/>
      <c r="J187" s="85">
        <f>IF($E187="Fail",IF(ISNUMBER($H187),"Fixed","OPEN"),"")</f>
        <v/>
      </c>
    </row>
    <row r="188" spans="1:10">
      <c r="A188" s="52"/>
      <c r="B188" s="54"/>
      <c r="C188" s="54"/>
      <c r="D188" s="54"/>
      <c r="E188" s="51"/>
      <c r="F188" s="54"/>
      <c r="G188" s="54"/>
      <c r="H188" s="52"/>
      <c r="I188" s="54"/>
      <c r="J188" s="85">
        <f>IF($E188="Fail",IF(ISNUMBER($H188),"Fixed","OPEN"),"")</f>
        <v/>
      </c>
    </row>
    <row r="189" spans="1:10">
      <c r="A189" s="52"/>
      <c r="B189" s="54"/>
      <c r="C189" s="54"/>
      <c r="D189" s="54"/>
      <c r="E189" s="51"/>
      <c r="F189" s="54"/>
      <c r="G189" s="54"/>
      <c r="H189" s="52"/>
      <c r="I189" s="54"/>
      <c r="J189" s="85">
        <f>IF($E189="Fail",IF(ISNUMBER($H189),"Fixed","OPEN"),"")</f>
        <v/>
      </c>
    </row>
    <row r="190" spans="1:10">
      <c r="A190" s="52"/>
      <c r="B190" s="54"/>
      <c r="C190" s="54"/>
      <c r="D190" s="54"/>
      <c r="E190" s="51"/>
      <c r="F190" s="54"/>
      <c r="G190" s="54"/>
      <c r="H190" s="52"/>
      <c r="I190" s="54"/>
      <c r="J190" s="85">
        <f>IF($E190="Fail",IF(ISNUMBER($H190),"Fixed","OPEN"),"")</f>
        <v/>
      </c>
    </row>
    <row r="191" spans="1:10">
      <c r="A191" s="52"/>
      <c r="B191" s="54"/>
      <c r="C191" s="54"/>
      <c r="D191" s="54"/>
      <c r="E191" s="51"/>
      <c r="F191" s="54"/>
      <c r="G191" s="54"/>
      <c r="H191" s="52"/>
      <c r="I191" s="54"/>
      <c r="J191" s="85">
        <f>IF($E191="Fail",IF(ISNUMBER($H191),"Fixed","OPEN"),"")</f>
        <v/>
      </c>
    </row>
    <row r="192" spans="1:10">
      <c r="A192" s="52"/>
      <c r="B192" s="54"/>
      <c r="C192" s="54"/>
      <c r="D192" s="54"/>
      <c r="E192" s="51"/>
      <c r="F192" s="54"/>
      <c r="G192" s="54"/>
      <c r="H192" s="52"/>
      <c r="I192" s="54"/>
      <c r="J192" s="85">
        <f>IF($E192="Fail",IF(ISNUMBER($H192),"Fixed","OPEN"),"")</f>
        <v/>
      </c>
    </row>
    <row r="193" spans="1:10">
      <c r="A193" s="52"/>
      <c r="B193" s="54"/>
      <c r="C193" s="54"/>
      <c r="D193" s="54"/>
      <c r="E193" s="51"/>
      <c r="F193" s="54"/>
      <c r="G193" s="54"/>
      <c r="H193" s="52"/>
      <c r="I193" s="54"/>
      <c r="J193" s="85">
        <f>IF($E193="Fail",IF(ISNUMBER($H193),"Fixed","OPEN"),"")</f>
        <v/>
      </c>
    </row>
    <row r="194" spans="1:10">
      <c r="A194" s="52"/>
      <c r="B194" s="54"/>
      <c r="C194" s="54"/>
      <c r="D194" s="54"/>
      <c r="E194" s="51"/>
      <c r="F194" s="54"/>
      <c r="G194" s="54"/>
      <c r="H194" s="52"/>
      <c r="I194" s="54"/>
      <c r="J194" s="85">
        <f>IF($E194="Fail",IF(ISNUMBER($H194),"Fixed","OPEN"),"")</f>
        <v/>
      </c>
    </row>
    <row r="195" spans="1:10">
      <c r="A195" s="52"/>
      <c r="B195" s="54"/>
      <c r="C195" s="54"/>
      <c r="D195" s="54"/>
      <c r="E195" s="51"/>
      <c r="F195" s="54"/>
      <c r="G195" s="54"/>
      <c r="H195" s="52"/>
      <c r="I195" s="54"/>
      <c r="J195" s="85">
        <f>IF($E195="Fail",IF(ISNUMBER($H195),"Fixed","OPEN"),"")</f>
        <v/>
      </c>
    </row>
    <row r="196" spans="1:10">
      <c r="A196" s="52"/>
      <c r="B196" s="54"/>
      <c r="C196" s="54"/>
      <c r="D196" s="54"/>
      <c r="E196" s="51"/>
      <c r="F196" s="54"/>
      <c r="G196" s="54"/>
      <c r="H196" s="52"/>
      <c r="I196" s="54"/>
      <c r="J196" s="85">
        <f>IF($E196="Fail",IF(ISNUMBER($H196),"Fixed","OPEN"),"")</f>
        <v/>
      </c>
    </row>
    <row r="197" spans="1:10">
      <c r="A197" s="52"/>
      <c r="B197" s="54"/>
      <c r="C197" s="54"/>
      <c r="D197" s="54"/>
      <c r="E197" s="51"/>
      <c r="F197" s="54"/>
      <c r="G197" s="54"/>
      <c r="H197" s="52"/>
      <c r="I197" s="54"/>
      <c r="J197" s="85">
        <f>IF($E197="Fail",IF(ISNUMBER($H197),"Fixed","OPEN"),"")</f>
        <v/>
      </c>
    </row>
    <row r="198" spans="1:10">
      <c r="A198" s="52"/>
      <c r="B198" s="54"/>
      <c r="C198" s="54"/>
      <c r="D198" s="54"/>
      <c r="E198" s="51"/>
      <c r="F198" s="54"/>
      <c r="G198" s="54"/>
      <c r="H198" s="52"/>
      <c r="I198" s="54"/>
      <c r="J198" s="85">
        <f>IF($E198="Fail",IF(ISNUMBER($H198),"Fixed","OPEN"),"")</f>
        <v/>
      </c>
    </row>
    <row r="199" spans="1:10">
      <c r="A199" s="52"/>
      <c r="B199" s="54"/>
      <c r="C199" s="54"/>
      <c r="D199" s="54"/>
      <c r="E199" s="51"/>
      <c r="F199" s="54"/>
      <c r="G199" s="54"/>
      <c r="H199" s="52"/>
      <c r="I199" s="54"/>
      <c r="J199" s="85">
        <f>IF($E199="Fail",IF(ISNUMBER($H199),"Fixed","OPEN"),"")</f>
        <v/>
      </c>
    </row>
    <row r="200" spans="1:10">
      <c r="A200" s="52"/>
      <c r="B200" s="54"/>
      <c r="C200" s="54"/>
      <c r="D200" s="54"/>
      <c r="E200" s="51"/>
      <c r="F200" s="54"/>
      <c r="G200" s="54"/>
      <c r="H200" s="52"/>
      <c r="I200" s="54"/>
      <c r="J200" s="85">
        <f>IF($E200="Fail",IF(ISNUMBER($H200),"Fixed","OPEN"),"")</f>
        <v/>
      </c>
    </row>
    <row r="201" spans="1:10">
      <c r="A201" s="52"/>
      <c r="B201" s="54"/>
      <c r="C201" s="54"/>
      <c r="D201" s="54"/>
      <c r="E201" s="51"/>
      <c r="F201" s="54"/>
      <c r="G201" s="54"/>
      <c r="H201" s="52"/>
      <c r="I201" s="54"/>
      <c r="J201" s="85">
        <f>IF($E201="Fail",IF(ISNUMBER($H201),"Fixed","OPEN"),"")</f>
        <v/>
      </c>
    </row>
    <row r="202" spans="1:10">
      <c r="A202" s="52"/>
      <c r="B202" s="54"/>
      <c r="C202" s="54"/>
      <c r="D202" s="54"/>
      <c r="E202" s="51"/>
      <c r="F202" s="54"/>
      <c r="G202" s="54"/>
      <c r="H202" s="52"/>
      <c r="I202" s="54"/>
      <c r="J202" s="85">
        <f>IF($E202="Fail",IF(ISNUMBER($H202),"Fixed","OPEN"),"")</f>
        <v/>
      </c>
    </row>
    <row r="203" spans="1:10">
      <c r="A203" s="52"/>
      <c r="B203" s="54"/>
      <c r="C203" s="54"/>
      <c r="D203" s="54"/>
      <c r="E203" s="51"/>
      <c r="F203" s="54"/>
      <c r="G203" s="54"/>
      <c r="H203" s="52"/>
      <c r="I203" s="54"/>
      <c r="J203" s="85">
        <f>IF($E203="Fail",IF(ISNUMBER($H203),"Fixed","OPEN"),"")</f>
        <v/>
      </c>
    </row>
    <row r="204" spans="1:10">
      <c r="A204" s="52"/>
      <c r="B204" s="54"/>
      <c r="C204" s="54"/>
      <c r="D204" s="54"/>
      <c r="E204" s="51"/>
      <c r="F204" s="54"/>
      <c r="G204" s="54"/>
      <c r="H204" s="52"/>
      <c r="I204" s="54"/>
      <c r="J204" s="85">
        <f>IF($E204="Fail",IF(ISNUMBER($H204),"Fixed","OPEN"),"")</f>
        <v/>
      </c>
    </row>
    <row r="205" spans="1:10">
      <c r="A205" s="52"/>
      <c r="B205" s="54"/>
      <c r="C205" s="54"/>
      <c r="D205" s="54"/>
      <c r="E205" s="51"/>
      <c r="F205" s="54"/>
      <c r="G205" s="54"/>
      <c r="H205" s="52"/>
      <c r="I205" s="54"/>
      <c r="J205" s="85">
        <f>IF($E205="Fail",IF(ISNUMBER($H205),"Fixed","OPEN"),"")</f>
        <v/>
      </c>
    </row>
    <row r="206" spans="1:10">
      <c r="A206" s="52"/>
      <c r="B206" s="54"/>
      <c r="C206" s="54"/>
      <c r="D206" s="54"/>
      <c r="E206" s="51"/>
      <c r="F206" s="54"/>
      <c r="G206" s="54"/>
      <c r="H206" s="52"/>
      <c r="I206" s="54"/>
      <c r="J206" s="85">
        <f>IF($E206="Fail",IF(ISNUMBER($H206),"Fixed","OPEN"),"")</f>
        <v/>
      </c>
    </row>
    <row r="207" spans="1:10">
      <c r="A207" s="52"/>
      <c r="B207" s="54"/>
      <c r="C207" s="54"/>
      <c r="D207" s="54"/>
      <c r="E207" s="51"/>
      <c r="F207" s="54"/>
      <c r="G207" s="54"/>
      <c r="H207" s="52"/>
      <c r="I207" s="54"/>
      <c r="J207" s="85">
        <f>IF($E207="Fail",IF(ISNUMBER($H207),"Fixed","OPEN"),"")</f>
        <v/>
      </c>
    </row>
    <row r="208" spans="1:10">
      <c r="A208" s="52"/>
      <c r="B208" s="54"/>
      <c r="C208" s="54"/>
      <c r="D208" s="54"/>
      <c r="E208" s="51"/>
      <c r="F208" s="54"/>
      <c r="G208" s="54"/>
      <c r="H208" s="52"/>
      <c r="I208" s="54"/>
      <c r="J208" s="85">
        <f>IF($E208="Fail",IF(ISNUMBER($H208),"Fixed","OPEN"),"")</f>
        <v/>
      </c>
    </row>
    <row r="209" spans="1:10">
      <c r="A209" s="52"/>
      <c r="B209" s="54"/>
      <c r="C209" s="54"/>
      <c r="D209" s="54"/>
      <c r="E209" s="51"/>
      <c r="F209" s="54"/>
      <c r="G209" s="54"/>
      <c r="H209" s="52"/>
      <c r="I209" s="54"/>
      <c r="J209" s="85">
        <f>IF($E209="Fail",IF(ISNUMBER($H209),"Fixed","OPEN"),"")</f>
        <v/>
      </c>
    </row>
    <row r="210" spans="1:10">
      <c r="A210" s="52"/>
      <c r="B210" s="54"/>
      <c r="C210" s="54"/>
      <c r="D210" s="54"/>
      <c r="E210" s="51"/>
      <c r="F210" s="54"/>
      <c r="G210" s="54"/>
      <c r="H210" s="52"/>
      <c r="I210" s="54"/>
      <c r="J210" s="85">
        <f>IF($E210="Fail",IF(ISNUMBER($H210),"Fixed","OPEN"),"")</f>
        <v/>
      </c>
    </row>
    <row r="211" spans="1:10">
      <c r="A211" s="52"/>
      <c r="B211" s="54"/>
      <c r="C211" s="54"/>
      <c r="D211" s="54"/>
      <c r="E211" s="51"/>
      <c r="F211" s="54"/>
      <c r="G211" s="54"/>
      <c r="H211" s="52"/>
      <c r="I211" s="54"/>
      <c r="J211" s="85">
        <f>IF($E211="Fail",IF(ISNUMBER($H211),"Fixed","OPEN"),"")</f>
        <v/>
      </c>
    </row>
    <row r="212" spans="1:10">
      <c r="A212" s="52"/>
      <c r="B212" s="54"/>
      <c r="C212" s="54"/>
      <c r="D212" s="54"/>
      <c r="E212" s="51"/>
      <c r="F212" s="54"/>
      <c r="G212" s="54"/>
      <c r="H212" s="52"/>
      <c r="I212" s="54"/>
      <c r="J212" s="85">
        <f>IF($E212="Fail",IF(ISNUMBER($H212),"Fixed","OPEN"),"")</f>
        <v/>
      </c>
    </row>
    <row r="213" spans="1:10">
      <c r="A213" s="52"/>
      <c r="B213" s="54"/>
      <c r="C213" s="54"/>
      <c r="D213" s="54"/>
      <c r="E213" s="51"/>
      <c r="F213" s="54"/>
      <c r="G213" s="54"/>
      <c r="H213" s="52"/>
      <c r="I213" s="54"/>
      <c r="J213" s="85">
        <f>IF($E213="Fail",IF(ISNUMBER($H213),"Fixed","OPEN"),"")</f>
        <v/>
      </c>
    </row>
    <row r="214" spans="1:10">
      <c r="A214" s="52"/>
      <c r="B214" s="54"/>
      <c r="C214" s="54"/>
      <c r="D214" s="54"/>
      <c r="E214" s="51"/>
      <c r="F214" s="54"/>
      <c r="G214" s="54"/>
      <c r="H214" s="52"/>
      <c r="I214" s="54"/>
      <c r="J214" s="85">
        <f>IF($E214="Fail",IF(ISNUMBER($H214),"Fixed","OPEN"),"")</f>
        <v/>
      </c>
    </row>
    <row r="215" spans="1:10">
      <c r="A215" s="52"/>
      <c r="B215" s="54"/>
      <c r="C215" s="54"/>
      <c r="D215" s="54"/>
      <c r="E215" s="51"/>
      <c r="F215" s="54"/>
      <c r="G215" s="54"/>
      <c r="H215" s="52"/>
      <c r="I215" s="54"/>
      <c r="J215" s="85">
        <f>IF($E215="Fail",IF(ISNUMBER($H215),"Fixed","OPEN"),"")</f>
        <v/>
      </c>
    </row>
    <row r="216" spans="1:10">
      <c r="A216" s="52"/>
      <c r="B216" s="54"/>
      <c r="C216" s="54"/>
      <c r="D216" s="54"/>
      <c r="E216" s="51"/>
      <c r="F216" s="54"/>
      <c r="G216" s="54"/>
      <c r="H216" s="52"/>
      <c r="I216" s="54"/>
      <c r="J216" s="85">
        <f>IF($E216="Fail",IF(ISNUMBER($H216),"Fixed","OPEN"),"")</f>
        <v/>
      </c>
    </row>
    <row r="217" spans="1:10">
      <c r="A217" s="52"/>
      <c r="B217" s="54"/>
      <c r="C217" s="54"/>
      <c r="D217" s="54"/>
      <c r="E217" s="51"/>
      <c r="F217" s="54"/>
      <c r="G217" s="54"/>
      <c r="H217" s="52"/>
      <c r="I217" s="54"/>
      <c r="J217" s="85">
        <f>IF($E217="Fail",IF(ISNUMBER($H217),"Fixed","OPEN"),"")</f>
        <v/>
      </c>
    </row>
    <row r="218" spans="1:10">
      <c r="A218" s="52"/>
      <c r="B218" s="54"/>
      <c r="C218" s="54"/>
      <c r="D218" s="54"/>
      <c r="E218" s="51"/>
      <c r="F218" s="54"/>
      <c r="G218" s="54"/>
      <c r="H218" s="52"/>
      <c r="I218" s="54"/>
      <c r="J218" s="85">
        <f>IF($E218="Fail",IF(ISNUMBER($H218),"Fixed","OPEN"),"")</f>
        <v/>
      </c>
    </row>
    <row r="219" spans="1:10">
      <c r="A219" s="52"/>
      <c r="B219" s="54"/>
      <c r="C219" s="54"/>
      <c r="D219" s="54"/>
      <c r="E219" s="51"/>
      <c r="F219" s="54"/>
      <c r="G219" s="54"/>
      <c r="H219" s="52"/>
      <c r="I219" s="54"/>
      <c r="J219" s="85">
        <f>IF($E219="Fail",IF(ISNUMBER($H219),"Fixed","OPEN"),"")</f>
        <v/>
      </c>
    </row>
    <row r="220" spans="1:10">
      <c r="A220" s="52"/>
      <c r="B220" s="54"/>
      <c r="C220" s="54"/>
      <c r="D220" s="54"/>
      <c r="E220" s="51"/>
      <c r="F220" s="54"/>
      <c r="G220" s="54"/>
      <c r="H220" s="52"/>
      <c r="I220" s="54"/>
      <c r="J220" s="85">
        <f>IF($E220="Fail",IF(ISNUMBER($H220),"Fixed","OPEN"),"")</f>
        <v/>
      </c>
    </row>
    <row r="221" spans="1:10">
      <c r="A221" s="52"/>
      <c r="B221" s="54"/>
      <c r="C221" s="54"/>
      <c r="D221" s="54"/>
      <c r="E221" s="51"/>
      <c r="F221" s="54"/>
      <c r="G221" s="54"/>
      <c r="H221" s="52"/>
      <c r="I221" s="54"/>
      <c r="J221" s="85">
        <f>IF($E221="Fail",IF(ISNUMBER($H221),"Fixed","OPEN"),"")</f>
        <v/>
      </c>
    </row>
    <row r="222" spans="1:10">
      <c r="A222" s="52"/>
      <c r="B222" s="54"/>
      <c r="C222" s="54"/>
      <c r="D222" s="54"/>
      <c r="E222" s="51"/>
      <c r="F222" s="54"/>
      <c r="G222" s="54"/>
      <c r="H222" s="52"/>
      <c r="I222" s="54"/>
      <c r="J222" s="85">
        <f>IF($E222="Fail",IF(ISNUMBER($H222),"Fixed","OPEN"),"")</f>
        <v/>
      </c>
    </row>
    <row r="223" spans="1:10">
      <c r="A223" s="52"/>
      <c r="B223" s="54"/>
      <c r="C223" s="54"/>
      <c r="D223" s="54"/>
      <c r="E223" s="51"/>
      <c r="F223" s="54"/>
      <c r="G223" s="54"/>
      <c r="H223" s="52"/>
      <c r="I223" s="54"/>
      <c r="J223" s="85">
        <f>IF($E223="Fail",IF(ISNUMBER($H223),"Fixed","OPEN"),"")</f>
        <v/>
      </c>
    </row>
    <row r="224" spans="1:10">
      <c r="A224" s="52"/>
      <c r="B224" s="54"/>
      <c r="C224" s="54"/>
      <c r="D224" s="54"/>
      <c r="E224" s="51"/>
      <c r="F224" s="54"/>
      <c r="G224" s="54"/>
      <c r="H224" s="52"/>
      <c r="I224" s="54"/>
      <c r="J224" s="85">
        <f>IF($E224="Fail",IF(ISNUMBER($H224),"Fixed","OPEN"),"")</f>
        <v/>
      </c>
    </row>
    <row r="225" spans="1:10">
      <c r="A225" s="52"/>
      <c r="B225" s="54"/>
      <c r="C225" s="54"/>
      <c r="D225" s="54"/>
      <c r="E225" s="51"/>
      <c r="F225" s="54"/>
      <c r="G225" s="54"/>
      <c r="H225" s="52"/>
      <c r="I225" s="54"/>
      <c r="J225" s="85">
        <f>IF($E225="Fail",IF(ISNUMBER($H225),"Fixed","OPEN"),"")</f>
        <v/>
      </c>
    </row>
    <row r="226" spans="1:10">
      <c r="A226" s="52"/>
      <c r="B226" s="54"/>
      <c r="C226" s="54"/>
      <c r="D226" s="54"/>
      <c r="E226" s="51"/>
      <c r="F226" s="54"/>
      <c r="G226" s="54"/>
      <c r="H226" s="52"/>
      <c r="I226" s="54"/>
      <c r="J226" s="85">
        <f>IF($E226="Fail",IF(ISNUMBER($H226),"Fixed","OPEN"),"")</f>
        <v/>
      </c>
    </row>
    <row r="227" spans="1:10">
      <c r="A227" s="52"/>
      <c r="B227" s="54"/>
      <c r="C227" s="54"/>
      <c r="D227" s="54"/>
      <c r="E227" s="51"/>
      <c r="F227" s="54"/>
      <c r="G227" s="54"/>
      <c r="H227" s="52"/>
      <c r="I227" s="54"/>
      <c r="J227" s="85">
        <f>IF($E227="Fail",IF(ISNUMBER($H227),"Fixed","OPEN"),"")</f>
        <v/>
      </c>
    </row>
    <row r="228" spans="1:10">
      <c r="A228" s="52"/>
      <c r="B228" s="54"/>
      <c r="C228" s="54"/>
      <c r="D228" s="54"/>
      <c r="E228" s="51"/>
      <c r="F228" s="54"/>
      <c r="G228" s="54"/>
      <c r="H228" s="52"/>
      <c r="I228" s="54"/>
      <c r="J228" s="85">
        <f>IF($E228="Fail",IF(ISNUMBER($H228),"Fixed","OPEN"),"")</f>
        <v/>
      </c>
    </row>
    <row r="229" spans="1:10">
      <c r="A229" s="52"/>
      <c r="B229" s="54"/>
      <c r="C229" s="54"/>
      <c r="D229" s="54"/>
      <c r="E229" s="51"/>
      <c r="F229" s="54"/>
      <c r="G229" s="54"/>
      <c r="H229" s="52"/>
      <c r="I229" s="54"/>
      <c r="J229" s="85">
        <f>IF($E229="Fail",IF(ISNUMBER($H229),"Fixed","OPEN"),"")</f>
        <v/>
      </c>
    </row>
    <row r="230" spans="1:10">
      <c r="A230" s="52"/>
      <c r="B230" s="54"/>
      <c r="C230" s="54"/>
      <c r="D230" s="54"/>
      <c r="E230" s="51"/>
      <c r="F230" s="54"/>
      <c r="G230" s="54"/>
      <c r="H230" s="52"/>
      <c r="I230" s="54"/>
      <c r="J230" s="85">
        <f>IF($E230="Fail",IF(ISNUMBER($H230),"Fixed","OPEN"),"")</f>
        <v/>
      </c>
    </row>
    <row r="231" spans="1:10">
      <c r="A231" s="52"/>
      <c r="B231" s="54"/>
      <c r="C231" s="54"/>
      <c r="D231" s="54"/>
      <c r="E231" s="51"/>
      <c r="F231" s="54"/>
      <c r="G231" s="54"/>
      <c r="H231" s="52"/>
      <c r="I231" s="54"/>
      <c r="J231" s="85">
        <f>IF($E231="Fail",IF(ISNUMBER($H231),"Fixed","OPEN"),"")</f>
        <v/>
      </c>
    </row>
    <row r="232" spans="1:10">
      <c r="A232" s="52"/>
      <c r="B232" s="54"/>
      <c r="C232" s="54"/>
      <c r="D232" s="54"/>
      <c r="E232" s="51"/>
      <c r="F232" s="54"/>
      <c r="G232" s="54"/>
      <c r="H232" s="52"/>
      <c r="I232" s="54"/>
      <c r="J232" s="85">
        <f>IF($E232="Fail",IF(ISNUMBER($H232),"Fixed","OPEN"),"")</f>
        <v/>
      </c>
    </row>
    <row r="233" spans="1:10">
      <c r="A233" s="52"/>
      <c r="B233" s="54"/>
      <c r="C233" s="54"/>
      <c r="D233" s="54"/>
      <c r="E233" s="51"/>
      <c r="F233" s="54"/>
      <c r="G233" s="54"/>
      <c r="H233" s="52"/>
      <c r="I233" s="54"/>
      <c r="J233" s="85">
        <f>IF($E233="Fail",IF(ISNUMBER($H233),"Fixed","OPEN"),"")</f>
        <v/>
      </c>
    </row>
    <row r="234" spans="1:10">
      <c r="A234" s="52"/>
      <c r="B234" s="54"/>
      <c r="C234" s="54"/>
      <c r="D234" s="54"/>
      <c r="E234" s="51"/>
      <c r="F234" s="54"/>
      <c r="G234" s="54"/>
      <c r="H234" s="52"/>
      <c r="I234" s="54"/>
      <c r="J234" s="85">
        <f>IF($E234="Fail",IF(ISNUMBER($H234),"Fixed","OPEN"),"")</f>
        <v/>
      </c>
    </row>
    <row r="235" spans="1:10">
      <c r="A235" s="52"/>
      <c r="B235" s="54"/>
      <c r="C235" s="54"/>
      <c r="D235" s="54"/>
      <c r="E235" s="51"/>
      <c r="F235" s="54"/>
      <c r="G235" s="54"/>
      <c r="H235" s="52"/>
      <c r="I235" s="54"/>
      <c r="J235" s="85">
        <f>IF($E235="Fail",IF(ISNUMBER($H235),"Fixed","OPEN"),"")</f>
        <v/>
      </c>
    </row>
    <row r="236" spans="1:10">
      <c r="A236" s="52"/>
      <c r="B236" s="54"/>
      <c r="C236" s="54"/>
      <c r="D236" s="54"/>
      <c r="E236" s="51"/>
      <c r="F236" s="54"/>
      <c r="G236" s="54"/>
      <c r="H236" s="52"/>
      <c r="I236" s="54"/>
      <c r="J236" s="85">
        <f>IF($E236="Fail",IF(ISNUMBER($H236),"Fixed","OPEN"),"")</f>
        <v/>
      </c>
    </row>
    <row r="237" spans="1:10">
      <c r="A237" s="52"/>
      <c r="B237" s="54"/>
      <c r="C237" s="54"/>
      <c r="D237" s="54"/>
      <c r="E237" s="51"/>
      <c r="F237" s="54"/>
      <c r="G237" s="54"/>
      <c r="H237" s="52"/>
      <c r="I237" s="54"/>
      <c r="J237" s="85">
        <f>IF($E237="Fail",IF(ISNUMBER($H237),"Fixed","OPEN"),"")</f>
        <v/>
      </c>
    </row>
    <row r="238" spans="1:10">
      <c r="A238" s="52"/>
      <c r="B238" s="54"/>
      <c r="C238" s="54"/>
      <c r="D238" s="54"/>
      <c r="E238" s="51"/>
      <c r="F238" s="54"/>
      <c r="G238" s="54"/>
      <c r="H238" s="52"/>
      <c r="I238" s="54"/>
      <c r="J238" s="85">
        <f>IF($E238="Fail",IF(ISNUMBER($H238),"Fixed","OPEN"),"")</f>
        <v/>
      </c>
    </row>
    <row r="239" spans="1:10">
      <c r="A239" s="52"/>
      <c r="B239" s="54"/>
      <c r="C239" s="54"/>
      <c r="D239" s="54"/>
      <c r="E239" s="51"/>
      <c r="F239" s="54"/>
      <c r="G239" s="54"/>
      <c r="H239" s="52"/>
      <c r="I239" s="54"/>
      <c r="J239" s="85">
        <f>IF($E239="Fail",IF(ISNUMBER($H239),"Fixed","OPEN"),"")</f>
        <v/>
      </c>
    </row>
    <row r="240" spans="1:10">
      <c r="A240" s="52"/>
      <c r="B240" s="54"/>
      <c r="C240" s="54"/>
      <c r="D240" s="54"/>
      <c r="E240" s="51"/>
      <c r="F240" s="54"/>
      <c r="G240" s="54"/>
      <c r="H240" s="52"/>
      <c r="I240" s="54"/>
      <c r="J240" s="85">
        <f>IF($E240="Fail",IF(ISNUMBER($H240),"Fixed","OPEN"),"")</f>
        <v/>
      </c>
    </row>
    <row r="241" spans="1:10">
      <c r="A241" s="52"/>
      <c r="B241" s="54"/>
      <c r="C241" s="54"/>
      <c r="D241" s="54"/>
      <c r="E241" s="51"/>
      <c r="F241" s="54"/>
      <c r="G241" s="54"/>
      <c r="H241" s="52"/>
      <c r="I241" s="54"/>
      <c r="J241" s="85">
        <f>IF($E241="Fail",IF(ISNUMBER($H241),"Fixed","OPEN"),"")</f>
        <v/>
      </c>
    </row>
    <row r="242" spans="1:10">
      <c r="A242" s="52"/>
      <c r="B242" s="54"/>
      <c r="C242" s="54"/>
      <c r="D242" s="54"/>
      <c r="E242" s="51"/>
      <c r="F242" s="54"/>
      <c r="G242" s="54"/>
      <c r="H242" s="52"/>
      <c r="I242" s="54"/>
      <c r="J242" s="85">
        <f>IF($E242="Fail",IF(ISNUMBER($H242),"Fixed","OPEN"),"")</f>
        <v/>
      </c>
    </row>
    <row r="243" spans="1:10">
      <c r="A243" s="52"/>
      <c r="B243" s="54"/>
      <c r="C243" s="54"/>
      <c r="D243" s="54"/>
      <c r="E243" s="51"/>
      <c r="F243" s="54"/>
      <c r="G243" s="54"/>
      <c r="H243" s="52"/>
      <c r="I243" s="54"/>
      <c r="J243" s="85">
        <f>IF($E243="Fail",IF(ISNUMBER($H243),"Fixed","OPEN"),"")</f>
        <v/>
      </c>
    </row>
    <row r="244" spans="1:10">
      <c r="A244" s="52"/>
      <c r="B244" s="54"/>
      <c r="C244" s="54"/>
      <c r="D244" s="54"/>
      <c r="E244" s="51"/>
      <c r="F244" s="54"/>
      <c r="G244" s="54"/>
      <c r="H244" s="52"/>
      <c r="I244" s="54"/>
      <c r="J244" s="85">
        <f>IF($E244="Fail",IF(ISNUMBER($H244),"Fixed","OPEN"),"")</f>
        <v/>
      </c>
    </row>
    <row r="245" spans="1:10">
      <c r="A245" s="52"/>
      <c r="B245" s="54"/>
      <c r="C245" s="54"/>
      <c r="D245" s="54"/>
      <c r="E245" s="51"/>
      <c r="F245" s="54"/>
      <c r="G245" s="54"/>
      <c r="H245" s="52"/>
      <c r="I245" s="54"/>
      <c r="J245" s="85">
        <f>IF($E245="Fail",IF(ISNUMBER($H245),"Fixed","OPEN"),"")</f>
        <v/>
      </c>
    </row>
    <row r="246" spans="1:10">
      <c r="A246" s="52"/>
      <c r="B246" s="54"/>
      <c r="C246" s="54"/>
      <c r="D246" s="54"/>
      <c r="E246" s="51"/>
      <c r="F246" s="54"/>
      <c r="G246" s="54"/>
      <c r="H246" s="52"/>
      <c r="I246" s="54"/>
      <c r="J246" s="85">
        <f>IF($E246="Fail",IF(ISNUMBER($H246),"Fixed","OPEN"),"")</f>
        <v/>
      </c>
    </row>
    <row r="247" spans="1:10">
      <c r="A247" s="52"/>
      <c r="B247" s="54"/>
      <c r="C247" s="54"/>
      <c r="D247" s="54"/>
      <c r="E247" s="51"/>
      <c r="F247" s="54"/>
      <c r="G247" s="54"/>
      <c r="H247" s="52"/>
      <c r="I247" s="54"/>
      <c r="J247" s="85">
        <f>IF($E247="Fail",IF(ISNUMBER($H247),"Fixed","OPEN"),"")</f>
        <v/>
      </c>
    </row>
    <row r="248" spans="1:10">
      <c r="A248" s="52"/>
      <c r="B248" s="54"/>
      <c r="C248" s="54"/>
      <c r="D248" s="54"/>
      <c r="E248" s="51"/>
      <c r="F248" s="54"/>
      <c r="G248" s="54"/>
      <c r="H248" s="52"/>
      <c r="I248" s="54"/>
      <c r="J248" s="85">
        <f>IF($E248="Fail",IF(ISNUMBER($H248),"Fixed","OPEN"),"")</f>
        <v/>
      </c>
    </row>
    <row r="249" spans="1:10">
      <c r="A249" s="52"/>
      <c r="B249" s="54"/>
      <c r="C249" s="54"/>
      <c r="D249" s="54"/>
      <c r="E249" s="51"/>
      <c r="F249" s="54"/>
      <c r="G249" s="54"/>
      <c r="H249" s="52"/>
      <c r="I249" s="54"/>
      <c r="J249" s="85">
        <f>IF($E249="Fail",IF(ISNUMBER($H249),"Fixed","OPEN"),"")</f>
        <v/>
      </c>
    </row>
    <row r="250" spans="1:10">
      <c r="A250" s="52"/>
      <c r="B250" s="54"/>
      <c r="C250" s="54"/>
      <c r="D250" s="54"/>
      <c r="E250" s="51"/>
      <c r="F250" s="54"/>
      <c r="G250" s="54"/>
      <c r="H250" s="52"/>
      <c r="I250" s="54"/>
      <c r="J250" s="85">
        <f>IF($E250="Fail",IF(ISNUMBER($H250),"Fixed","OPEN"),"")</f>
        <v/>
      </c>
    </row>
    <row r="251" spans="1:10">
      <c r="A251" s="52"/>
      <c r="B251" s="54"/>
      <c r="C251" s="54"/>
      <c r="D251" s="54"/>
      <c r="E251" s="51"/>
      <c r="F251" s="54"/>
      <c r="G251" s="54"/>
      <c r="H251" s="52"/>
      <c r="I251" s="54"/>
      <c r="J251" s="85">
        <f>IF($E251="Fail",IF(ISNUMBER($H251),"Fixed","OPEN"),"")</f>
        <v/>
      </c>
    </row>
    <row r="252" spans="1:10">
      <c r="A252" s="52"/>
      <c r="B252" s="54"/>
      <c r="C252" s="54"/>
      <c r="D252" s="54"/>
      <c r="E252" s="51"/>
      <c r="F252" s="54"/>
      <c r="G252" s="54"/>
      <c r="H252" s="52"/>
      <c r="I252" s="54"/>
      <c r="J252" s="85">
        <f>IF($E252="Fail",IF(ISNUMBER($H252),"Fixed","OPEN"),"")</f>
        <v/>
      </c>
    </row>
    <row r="253" spans="1:10">
      <c r="A253" s="52"/>
      <c r="B253" s="54"/>
      <c r="C253" s="54"/>
      <c r="D253" s="54"/>
      <c r="E253" s="51"/>
      <c r="F253" s="54"/>
      <c r="G253" s="54"/>
      <c r="H253" s="52"/>
      <c r="I253" s="54"/>
      <c r="J253" s="85">
        <f>IF($E253="Fail",IF(ISNUMBER($H253),"Fixed","OPEN"),"")</f>
        <v/>
      </c>
    </row>
    <row r="254" spans="1:10">
      <c r="A254" s="52"/>
      <c r="B254" s="54"/>
      <c r="C254" s="54"/>
      <c r="D254" s="54"/>
      <c r="E254" s="51"/>
      <c r="F254" s="54"/>
      <c r="G254" s="54"/>
      <c r="H254" s="52"/>
      <c r="I254" s="54"/>
      <c r="J254" s="85">
        <f>IF($E254="Fail",IF(ISNUMBER($H254),"Fixed","OPEN"),"")</f>
        <v/>
      </c>
    </row>
    <row r="255" spans="1:10">
      <c r="A255" s="52"/>
      <c r="B255" s="54"/>
      <c r="C255" s="54"/>
      <c r="D255" s="54"/>
      <c r="E255" s="51"/>
      <c r="F255" s="54"/>
      <c r="G255" s="54"/>
      <c r="H255" s="52"/>
      <c r="I255" s="54"/>
      <c r="J255" s="85">
        <f>IF($E255="Fail",IF(ISNUMBER($H255),"Fixed","OPEN"),"")</f>
        <v/>
      </c>
    </row>
    <row r="256" spans="1:10">
      <c r="A256" s="52"/>
      <c r="B256" s="54"/>
      <c r="C256" s="54"/>
      <c r="D256" s="54"/>
      <c r="E256" s="51"/>
      <c r="F256" s="54"/>
      <c r="G256" s="54"/>
      <c r="H256" s="52"/>
      <c r="I256" s="54"/>
      <c r="J256" s="85">
        <f>IF($E256="Fail",IF(ISNUMBER($H256),"Fixed","OPEN"),"")</f>
        <v/>
      </c>
    </row>
    <row r="257" spans="1:10">
      <c r="A257" s="52"/>
      <c r="B257" s="54"/>
      <c r="C257" s="54"/>
      <c r="D257" s="54"/>
      <c r="E257" s="51"/>
      <c r="F257" s="54"/>
      <c r="G257" s="54"/>
      <c r="H257" s="52"/>
      <c r="I257" s="54"/>
      <c r="J257" s="85">
        <f>IF($E257="Fail",IF(ISNUMBER($H257),"Fixed","OPEN"),"")</f>
        <v/>
      </c>
    </row>
    <row r="258" spans="1:10">
      <c r="A258" s="52"/>
      <c r="B258" s="54"/>
      <c r="C258" s="54"/>
      <c r="D258" s="54"/>
      <c r="E258" s="51"/>
      <c r="F258" s="54"/>
      <c r="G258" s="54"/>
      <c r="H258" s="52"/>
      <c r="I258" s="54"/>
      <c r="J258" s="85">
        <f>IF($E258="Fail",IF(ISNUMBER($H258),"Fixed","OPEN"),"")</f>
        <v/>
      </c>
    </row>
    <row r="259" spans="1:10">
      <c r="A259" s="52"/>
      <c r="B259" s="54"/>
      <c r="C259" s="54"/>
      <c r="D259" s="54"/>
      <c r="E259" s="51"/>
      <c r="F259" s="54"/>
      <c r="G259" s="54"/>
      <c r="H259" s="52"/>
      <c r="I259" s="54"/>
      <c r="J259" s="85">
        <f>IF($E259="Fail",IF(ISNUMBER($H259),"Fixed","OPEN"),"")</f>
        <v/>
      </c>
    </row>
    <row r="260" spans="1:10">
      <c r="A260" s="52"/>
      <c r="B260" s="54"/>
      <c r="C260" s="54"/>
      <c r="D260" s="54"/>
      <c r="E260" s="51"/>
      <c r="F260" s="54"/>
      <c r="G260" s="54"/>
      <c r="H260" s="52"/>
      <c r="I260" s="54"/>
      <c r="J260" s="85">
        <f>IF($E260="Fail",IF(ISNUMBER($H260),"Fixed","OPEN"),"")</f>
        <v/>
      </c>
    </row>
    <row r="261" spans="1:10">
      <c r="A261" s="52"/>
      <c r="B261" s="54"/>
      <c r="C261" s="54"/>
      <c r="D261" s="54"/>
      <c r="E261" s="51"/>
      <c r="F261" s="54"/>
      <c r="G261" s="54"/>
      <c r="H261" s="52"/>
      <c r="I261" s="54"/>
      <c r="J261" s="85">
        <f>IF($E261="Fail",IF(ISNUMBER($H261),"Fixed","OPEN"),"")</f>
        <v/>
      </c>
    </row>
    <row r="262" spans="1:10">
      <c r="A262" s="52"/>
      <c r="B262" s="54"/>
      <c r="C262" s="54"/>
      <c r="D262" s="54"/>
      <c r="E262" s="51"/>
      <c r="F262" s="54"/>
      <c r="G262" s="54"/>
      <c r="H262" s="52"/>
      <c r="I262" s="54"/>
      <c r="J262" s="85">
        <f>IF($E262="Fail",IF(ISNUMBER($H262),"Fixed","OPEN"),"")</f>
        <v/>
      </c>
    </row>
    <row r="263" spans="1:10">
      <c r="A263" s="52"/>
      <c r="B263" s="54"/>
      <c r="C263" s="54"/>
      <c r="D263" s="54"/>
      <c r="E263" s="51"/>
      <c r="F263" s="54"/>
      <c r="G263" s="54"/>
      <c r="H263" s="52"/>
      <c r="I263" s="54"/>
      <c r="J263" s="85">
        <f>IF($E263="Fail",IF(ISNUMBER($H263),"Fixed","OPEN"),"")</f>
        <v/>
      </c>
    </row>
    <row r="264" spans="1:10">
      <c r="A264" s="52"/>
      <c r="B264" s="54"/>
      <c r="C264" s="54"/>
      <c r="D264" s="54"/>
      <c r="E264" s="51"/>
      <c r="F264" s="54"/>
      <c r="G264" s="54"/>
      <c r="H264" s="52"/>
      <c r="I264" s="54"/>
      <c r="J264" s="85">
        <f>IF($E264="Fail",IF(ISNUMBER($H264),"Fixed","OPEN"),"")</f>
        <v/>
      </c>
    </row>
    <row r="265" spans="1:10">
      <c r="A265" s="52"/>
      <c r="B265" s="54"/>
      <c r="C265" s="54"/>
      <c r="D265" s="54"/>
      <c r="E265" s="51"/>
      <c r="F265" s="54"/>
      <c r="G265" s="54"/>
      <c r="H265" s="52"/>
      <c r="I265" s="54"/>
      <c r="J265" s="85">
        <f>IF($E265="Fail",IF(ISNUMBER($H265),"Fixed","OPEN"),"")</f>
        <v/>
      </c>
    </row>
    <row r="266" spans="1:10">
      <c r="A266" s="52"/>
      <c r="B266" s="54"/>
      <c r="C266" s="54"/>
      <c r="D266" s="54"/>
      <c r="E266" s="51"/>
      <c r="F266" s="54"/>
      <c r="G266" s="54"/>
      <c r="H266" s="52"/>
      <c r="I266" s="54"/>
      <c r="J266" s="85">
        <f>IF($E266="Fail",IF(ISNUMBER($H266),"Fixed","OPEN"),"")</f>
        <v/>
      </c>
    </row>
    <row r="267" spans="1:10">
      <c r="A267" s="52"/>
      <c r="B267" s="54"/>
      <c r="C267" s="54"/>
      <c r="D267" s="54"/>
      <c r="E267" s="51"/>
      <c r="F267" s="54"/>
      <c r="G267" s="54"/>
      <c r="H267" s="52"/>
      <c r="I267" s="54"/>
      <c r="J267" s="85">
        <f>IF($E267="Fail",IF(ISNUMBER($H267),"Fixed","OPEN"),"")</f>
        <v/>
      </c>
    </row>
    <row r="268" spans="1:10">
      <c r="A268" s="52"/>
      <c r="B268" s="54"/>
      <c r="C268" s="54"/>
      <c r="D268" s="54"/>
      <c r="E268" s="51"/>
      <c r="F268" s="54"/>
      <c r="G268" s="54"/>
      <c r="H268" s="52"/>
      <c r="I268" s="54"/>
      <c r="J268" s="85">
        <f>IF($E268="Fail",IF(ISNUMBER($H268),"Fixed","OPEN"),"")</f>
        <v/>
      </c>
    </row>
    <row r="269" spans="1:10">
      <c r="A269" s="52"/>
      <c r="B269" s="54"/>
      <c r="C269" s="54"/>
      <c r="D269" s="54"/>
      <c r="E269" s="51"/>
      <c r="F269" s="54"/>
      <c r="G269" s="54"/>
      <c r="H269" s="52"/>
      <c r="I269" s="54"/>
      <c r="J269" s="85">
        <f>IF($E269="Fail",IF(ISNUMBER($H269),"Fixed","OPEN"),"")</f>
        <v/>
      </c>
    </row>
    <row r="270" spans="1:10">
      <c r="A270" s="52"/>
      <c r="B270" s="54"/>
      <c r="C270" s="54"/>
      <c r="D270" s="54"/>
      <c r="E270" s="51"/>
      <c r="F270" s="54"/>
      <c r="G270" s="54"/>
      <c r="H270" s="52"/>
      <c r="I270" s="54"/>
      <c r="J270" s="85">
        <f>IF($E270="Fail",IF(ISNUMBER($H270),"Fixed","OPEN"),"")</f>
        <v/>
      </c>
    </row>
    <row r="271" spans="1:10">
      <c r="A271" s="52"/>
      <c r="B271" s="54"/>
      <c r="C271" s="54"/>
      <c r="D271" s="54"/>
      <c r="E271" s="51"/>
      <c r="F271" s="54"/>
      <c r="G271" s="54"/>
      <c r="H271" s="52"/>
      <c r="I271" s="54"/>
      <c r="J271" s="85">
        <f>IF($E271="Fail",IF(ISNUMBER($H271),"Fixed","OPEN"),"")</f>
        <v/>
      </c>
    </row>
    <row r="272" spans="1:10">
      <c r="A272" s="52"/>
      <c r="B272" s="54"/>
      <c r="C272" s="54"/>
      <c r="D272" s="54"/>
      <c r="E272" s="51"/>
      <c r="F272" s="54"/>
      <c r="G272" s="54"/>
      <c r="H272" s="52"/>
      <c r="I272" s="54"/>
      <c r="J272" s="85">
        <f>IF($E272="Fail",IF(ISNUMBER($H272),"Fixed","OPEN"),"")</f>
        <v/>
      </c>
    </row>
    <row r="273" spans="1:10">
      <c r="A273" s="52"/>
      <c r="B273" s="54"/>
      <c r="C273" s="54"/>
      <c r="D273" s="54"/>
      <c r="E273" s="51"/>
      <c r="F273" s="54"/>
      <c r="G273" s="54"/>
      <c r="H273" s="52"/>
      <c r="I273" s="54"/>
      <c r="J273" s="85">
        <f>IF($E273="Fail",IF(ISNUMBER($H273),"Fixed","OPEN"),"")</f>
        <v/>
      </c>
    </row>
    <row r="274" spans="1:10">
      <c r="A274" s="52"/>
      <c r="B274" s="54"/>
      <c r="C274" s="54"/>
      <c r="D274" s="54"/>
      <c r="E274" s="51"/>
      <c r="F274" s="54"/>
      <c r="G274" s="54"/>
      <c r="H274" s="52"/>
      <c r="I274" s="54"/>
      <c r="J274" s="85">
        <f>IF($E274="Fail",IF(ISNUMBER($H274),"Fixed","OPEN"),"")</f>
        <v/>
      </c>
    </row>
    <row r="275" spans="1:10">
      <c r="A275" s="52"/>
      <c r="B275" s="54"/>
      <c r="C275" s="54"/>
      <c r="D275" s="54"/>
      <c r="E275" s="51"/>
      <c r="F275" s="54"/>
      <c r="G275" s="54"/>
      <c r="H275" s="52"/>
      <c r="I275" s="54"/>
      <c r="J275" s="85">
        <f>IF($E275="Fail",IF(ISNUMBER($H275),"Fixed","OPEN"),"")</f>
        <v/>
      </c>
    </row>
    <row r="276" spans="1:10">
      <c r="A276" s="52"/>
      <c r="B276" s="54"/>
      <c r="C276" s="54"/>
      <c r="D276" s="54"/>
      <c r="E276" s="51"/>
      <c r="F276" s="54"/>
      <c r="G276" s="54"/>
      <c r="H276" s="52"/>
      <c r="I276" s="54"/>
      <c r="J276" s="85">
        <f>IF($E276="Fail",IF(ISNUMBER($H276),"Fixed","OPEN"),"")</f>
        <v/>
      </c>
    </row>
    <row r="277" spans="1:10">
      <c r="A277" s="52"/>
      <c r="B277" s="54"/>
      <c r="C277" s="54"/>
      <c r="D277" s="54"/>
      <c r="E277" s="51"/>
      <c r="F277" s="54"/>
      <c r="G277" s="54"/>
      <c r="H277" s="52"/>
      <c r="I277" s="54"/>
      <c r="J277" s="85">
        <f>IF($E277="Fail",IF(ISNUMBER($H277),"Fixed","OPEN"),"")</f>
        <v/>
      </c>
    </row>
    <row r="278" spans="1:10">
      <c r="A278" s="52"/>
      <c r="B278" s="54"/>
      <c r="C278" s="54"/>
      <c r="D278" s="54"/>
      <c r="E278" s="51"/>
      <c r="F278" s="54"/>
      <c r="G278" s="54"/>
      <c r="H278" s="52"/>
      <c r="I278" s="54"/>
      <c r="J278" s="85">
        <f>IF($E278="Fail",IF(ISNUMBER($H278),"Fixed","OPEN"),"")</f>
        <v/>
      </c>
    </row>
    <row r="279" spans="1:10">
      <c r="A279" s="52"/>
      <c r="B279" s="54"/>
      <c r="C279" s="54"/>
      <c r="D279" s="54"/>
      <c r="E279" s="51"/>
      <c r="F279" s="54"/>
      <c r="G279" s="54"/>
      <c r="H279" s="52"/>
      <c r="I279" s="54"/>
      <c r="J279" s="85">
        <f>IF($E279="Fail",IF(ISNUMBER($H279),"Fixed","OPEN"),"")</f>
        <v/>
      </c>
    </row>
    <row r="280" spans="1:10">
      <c r="A280" s="52"/>
      <c r="B280" s="54"/>
      <c r="C280" s="54"/>
      <c r="D280" s="54"/>
      <c r="E280" s="51"/>
      <c r="F280" s="54"/>
      <c r="G280" s="54"/>
      <c r="H280" s="52"/>
      <c r="I280" s="54"/>
      <c r="J280" s="85">
        <f>IF($E280="Fail",IF(ISNUMBER($H280),"Fixed","OPEN"),"")</f>
        <v/>
      </c>
    </row>
    <row r="281" spans="1:10">
      <c r="A281" s="52"/>
      <c r="B281" s="54"/>
      <c r="C281" s="54"/>
      <c r="D281" s="54"/>
      <c r="E281" s="51"/>
      <c r="F281" s="54"/>
      <c r="G281" s="54"/>
      <c r="H281" s="52"/>
      <c r="I281" s="54"/>
      <c r="J281" s="85">
        <f>IF($E281="Fail",IF(ISNUMBER($H281),"Fixed","OPEN"),"")</f>
        <v/>
      </c>
    </row>
    <row r="282" spans="1:10">
      <c r="A282" s="52"/>
      <c r="B282" s="54"/>
      <c r="C282" s="54"/>
      <c r="D282" s="54"/>
      <c r="E282" s="51"/>
      <c r="F282" s="54"/>
      <c r="G282" s="54"/>
      <c r="H282" s="52"/>
      <c r="I282" s="54"/>
      <c r="J282" s="85">
        <f>IF($E282="Fail",IF(ISNUMBER($H282),"Fixed","OPEN"),"")</f>
        <v/>
      </c>
    </row>
    <row r="283" spans="1:10">
      <c r="A283" s="52"/>
      <c r="B283" s="54"/>
      <c r="C283" s="54"/>
      <c r="D283" s="54"/>
      <c r="E283" s="51"/>
      <c r="F283" s="54"/>
      <c r="G283" s="54"/>
      <c r="H283" s="52"/>
      <c r="I283" s="54"/>
      <c r="J283" s="85">
        <f>IF($E283="Fail",IF(ISNUMBER($H283),"Fixed","OPEN"),"")</f>
        <v/>
      </c>
    </row>
    <row r="284" spans="1:10">
      <c r="A284" s="52"/>
      <c r="B284" s="54"/>
      <c r="C284" s="54"/>
      <c r="D284" s="54"/>
      <c r="E284" s="51"/>
      <c r="F284" s="54"/>
      <c r="G284" s="54"/>
      <c r="H284" s="52"/>
      <c r="I284" s="54"/>
      <c r="J284" s="85">
        <f>IF($E284="Fail",IF(ISNUMBER($H284),"Fixed","OPEN"),"")</f>
        <v/>
      </c>
    </row>
    <row r="285" spans="1:10">
      <c r="A285" s="52"/>
      <c r="B285" s="54"/>
      <c r="C285" s="54"/>
      <c r="D285" s="54"/>
      <c r="E285" s="51"/>
      <c r="F285" s="54"/>
      <c r="G285" s="54"/>
      <c r="H285" s="52"/>
      <c r="I285" s="54"/>
      <c r="J285" s="85">
        <f>IF($E285="Fail",IF(ISNUMBER($H285),"Fixed","OPEN"),"")</f>
        <v/>
      </c>
    </row>
    <row r="286" spans="1:10">
      <c r="A286" s="52"/>
      <c r="B286" s="54"/>
      <c r="C286" s="54"/>
      <c r="D286" s="54"/>
      <c r="E286" s="51"/>
      <c r="F286" s="54"/>
      <c r="G286" s="54"/>
      <c r="H286" s="52"/>
      <c r="I286" s="54"/>
      <c r="J286" s="85">
        <f>IF($E286="Fail",IF(ISNUMBER($H286),"Fixed","OPEN"),"")</f>
        <v/>
      </c>
    </row>
    <row r="287" spans="1:10">
      <c r="A287" s="52"/>
      <c r="B287" s="54"/>
      <c r="C287" s="54"/>
      <c r="D287" s="54"/>
      <c r="E287" s="51"/>
      <c r="F287" s="54"/>
      <c r="G287" s="54"/>
      <c r="H287" s="52"/>
      <c r="I287" s="54"/>
      <c r="J287" s="85">
        <f>IF($E287="Fail",IF(ISNUMBER($H287),"Fixed","OPEN"),"")</f>
        <v/>
      </c>
    </row>
    <row r="288" spans="1:10">
      <c r="A288" s="52"/>
      <c r="B288" s="54"/>
      <c r="C288" s="54"/>
      <c r="D288" s="54"/>
      <c r="E288" s="51"/>
      <c r="F288" s="54"/>
      <c r="G288" s="54"/>
      <c r="H288" s="52"/>
      <c r="I288" s="54"/>
      <c r="J288" s="85">
        <f>IF($E288="Fail",IF(ISNUMBER($H288),"Fixed","OPEN"),"")</f>
        <v/>
      </c>
    </row>
    <row r="289" spans="1:10">
      <c r="A289" s="52"/>
      <c r="B289" s="54"/>
      <c r="C289" s="54"/>
      <c r="D289" s="54"/>
      <c r="E289" s="51"/>
      <c r="F289" s="54"/>
      <c r="G289" s="54"/>
      <c r="H289" s="52"/>
      <c r="I289" s="54"/>
      <c r="J289" s="85">
        <f>IF($E289="Fail",IF(ISNUMBER($H289),"Fixed","OPEN"),"")</f>
        <v/>
      </c>
    </row>
    <row r="290" spans="1:10">
      <c r="A290" s="52"/>
      <c r="B290" s="54"/>
      <c r="C290" s="54"/>
      <c r="D290" s="54"/>
      <c r="E290" s="51"/>
      <c r="F290" s="54"/>
      <c r="G290" s="54"/>
      <c r="H290" s="52"/>
      <c r="I290" s="54"/>
      <c r="J290" s="85">
        <f>IF($E290="Fail",IF(ISNUMBER($H290),"Fixed","OPEN"),"")</f>
        <v/>
      </c>
    </row>
    <row r="291" spans="1:10">
      <c r="A291" s="52"/>
      <c r="B291" s="54"/>
      <c r="C291" s="54"/>
      <c r="D291" s="54"/>
      <c r="E291" s="51"/>
      <c r="F291" s="54"/>
      <c r="G291" s="54"/>
      <c r="H291" s="52"/>
      <c r="I291" s="54"/>
      <c r="J291" s="85">
        <f>IF($E291="Fail",IF(ISNUMBER($H291),"Fixed","OPEN"),"")</f>
        <v/>
      </c>
    </row>
    <row r="292" spans="1:10">
      <c r="A292" s="52"/>
      <c r="B292" s="54"/>
      <c r="C292" s="54"/>
      <c r="D292" s="54"/>
      <c r="E292" s="51"/>
      <c r="F292" s="54"/>
      <c r="G292" s="54"/>
      <c r="H292" s="52"/>
      <c r="I292" s="54"/>
      <c r="J292" s="85">
        <f>IF($E292="Fail",IF(ISNUMBER($H292),"Fixed","OPEN"),"")</f>
        <v/>
      </c>
    </row>
    <row r="293" spans="1:10">
      <c r="A293" s="52"/>
      <c r="B293" s="54"/>
      <c r="C293" s="54"/>
      <c r="D293" s="54"/>
      <c r="E293" s="51"/>
      <c r="F293" s="54"/>
      <c r="G293" s="54"/>
      <c r="H293" s="52"/>
      <c r="I293" s="54"/>
      <c r="J293" s="85">
        <f>IF($E293="Fail",IF(ISNUMBER($H293),"Fixed","OPEN"),"")</f>
        <v/>
      </c>
    </row>
    <row r="294" spans="1:10">
      <c r="A294" s="52"/>
      <c r="B294" s="54"/>
      <c r="C294" s="54"/>
      <c r="D294" s="54"/>
      <c r="E294" s="51"/>
      <c r="F294" s="54"/>
      <c r="G294" s="54"/>
      <c r="H294" s="52"/>
      <c r="I294" s="54"/>
      <c r="J294" s="85">
        <f>IF($E294="Fail",IF(ISNUMBER($H294),"Fixed","OPEN"),"")</f>
        <v/>
      </c>
    </row>
    <row r="295" spans="1:10">
      <c r="A295" s="52"/>
      <c r="B295" s="54"/>
      <c r="C295" s="54"/>
      <c r="D295" s="54"/>
      <c r="E295" s="51"/>
      <c r="F295" s="54"/>
      <c r="G295" s="54"/>
      <c r="H295" s="52"/>
      <c r="I295" s="54"/>
      <c r="J295" s="85">
        <f>IF($E295="Fail",IF(ISNUMBER($H295),"Fixed","OPEN"),"")</f>
        <v/>
      </c>
    </row>
    <row r="296" spans="1:10">
      <c r="A296" s="52"/>
      <c r="B296" s="54"/>
      <c r="C296" s="54"/>
      <c r="D296" s="54"/>
      <c r="E296" s="51"/>
      <c r="F296" s="54"/>
      <c r="G296" s="54"/>
      <c r="H296" s="52"/>
      <c r="I296" s="54"/>
      <c r="J296" s="85">
        <f>IF($E296="Fail",IF(ISNUMBER($H296),"Fixed","OPEN"),"")</f>
        <v/>
      </c>
    </row>
    <row r="297" spans="1:10">
      <c r="A297" s="52"/>
      <c r="B297" s="54"/>
      <c r="C297" s="54"/>
      <c r="D297" s="54"/>
      <c r="E297" s="51"/>
      <c r="F297" s="54"/>
      <c r="G297" s="54"/>
      <c r="H297" s="52"/>
      <c r="I297" s="54"/>
      <c r="J297" s="85">
        <f>IF($E297="Fail",IF(ISNUMBER($H297),"Fixed","OPEN"),"")</f>
        <v/>
      </c>
    </row>
    <row r="298" spans="1:10">
      <c r="A298" s="52"/>
      <c r="B298" s="54"/>
      <c r="C298" s="54"/>
      <c r="D298" s="54"/>
      <c r="E298" s="51"/>
      <c r="F298" s="54"/>
      <c r="G298" s="54"/>
      <c r="H298" s="52"/>
      <c r="I298" s="54"/>
      <c r="J298" s="85">
        <f>IF($E298="Fail",IF(ISNUMBER($H298),"Fixed","OPEN"),"")</f>
        <v/>
      </c>
    </row>
    <row r="299" spans="1:10">
      <c r="A299" s="52"/>
      <c r="B299" s="54"/>
      <c r="C299" s="54"/>
      <c r="D299" s="54"/>
      <c r="E299" s="51"/>
      <c r="F299" s="54"/>
      <c r="G299" s="54"/>
      <c r="H299" s="52"/>
      <c r="I299" s="54"/>
      <c r="J299" s="85">
        <f>IF($E299="Fail",IF(ISNUMBER($H299),"Fixed","OPEN"),"")</f>
        <v/>
      </c>
    </row>
    <row r="300" spans="1:10">
      <c r="A300" s="52"/>
      <c r="B300" s="54"/>
      <c r="C300" s="54"/>
      <c r="D300" s="54"/>
      <c r="E300" s="51"/>
      <c r="F300" s="54"/>
      <c r="G300" s="54"/>
      <c r="H300" s="52"/>
      <c r="I300" s="54"/>
      <c r="J300" s="85">
        <f>IF($E300="Fail",IF(ISNUMBER($H300),"Fixed","OPEN"),"")</f>
        <v/>
      </c>
    </row>
    <row r="301" spans="1:10">
      <c r="A301" s="52"/>
      <c r="B301" s="54"/>
      <c r="C301" s="54"/>
      <c r="D301" s="54"/>
      <c r="E301" s="51"/>
      <c r="F301" s="54"/>
      <c r="G301" s="54"/>
      <c r="H301" s="52"/>
      <c r="I301" s="54"/>
      <c r="J301" s="85">
        <f>IF($E301="Fail",IF(ISNUMBER($H301),"Fixed","OPEN"),"")</f>
        <v/>
      </c>
    </row>
    <row r="302" spans="1:10">
      <c r="A302" s="52"/>
      <c r="B302" s="54"/>
      <c r="C302" s="54"/>
      <c r="D302" s="54"/>
      <c r="E302" s="51"/>
      <c r="F302" s="54"/>
      <c r="G302" s="54"/>
      <c r="H302" s="52"/>
      <c r="I302" s="54"/>
      <c r="J302" s="85">
        <f>IF($E302="Fail",IF(ISNUMBER($H302),"Fixed","OPEN"),"")</f>
        <v/>
      </c>
    </row>
    <row r="303" spans="1:10">
      <c r="A303" s="52"/>
      <c r="B303" s="54"/>
      <c r="C303" s="54"/>
      <c r="D303" s="54"/>
      <c r="E303" s="51"/>
      <c r="F303" s="54"/>
      <c r="G303" s="54"/>
      <c r="H303" s="52"/>
      <c r="I303" s="54"/>
      <c r="J303" s="85">
        <f>IF($E303="Fail",IF(ISNUMBER($H303),"Fixed","OPEN"),"")</f>
        <v/>
      </c>
    </row>
    <row r="304" spans="1:10">
      <c r="A304" s="52"/>
      <c r="B304" s="54"/>
      <c r="C304" s="54"/>
      <c r="D304" s="54"/>
      <c r="E304" s="51"/>
      <c r="F304" s="54"/>
      <c r="G304" s="54"/>
      <c r="H304" s="52"/>
      <c r="I304" s="54"/>
      <c r="J304" s="85">
        <f>IF($E304="Fail",IF(ISNUMBER($H304),"Fixed","OPEN"),"")</f>
        <v/>
      </c>
    </row>
    <row r="305" spans="1:10">
      <c r="A305" s="52"/>
      <c r="B305" s="54"/>
      <c r="C305" s="54"/>
      <c r="D305" s="54"/>
      <c r="E305" s="51"/>
      <c r="F305" s="54"/>
      <c r="G305" s="54"/>
      <c r="H305" s="52"/>
      <c r="I305" s="54"/>
      <c r="J305" s="85">
        <f>IF($E305="Fail",IF(ISNUMBER($H305),"Fixed","OPEN"),"")</f>
        <v/>
      </c>
    </row>
    <row r="306" spans="1:10">
      <c r="A306" s="52"/>
      <c r="B306" s="54"/>
      <c r="C306" s="54"/>
      <c r="D306" s="54"/>
      <c r="E306" s="51"/>
      <c r="F306" s="54"/>
      <c r="G306" s="54"/>
      <c r="H306" s="52"/>
      <c r="I306" s="54"/>
      <c r="J306" s="85">
        <f>IF($E306="Fail",IF(ISNUMBER($H306),"Fixed","OPEN"),"")</f>
        <v/>
      </c>
    </row>
    <row r="307" spans="1:10">
      <c r="A307" s="52"/>
      <c r="B307" s="54"/>
      <c r="C307" s="54"/>
      <c r="D307" s="54"/>
      <c r="E307" s="51"/>
      <c r="F307" s="54"/>
      <c r="G307" s="54"/>
      <c r="H307" s="52"/>
      <c r="I307" s="54"/>
      <c r="J307" s="85">
        <f>IF($E307="Fail",IF(ISNUMBER($H307),"Fixed","OPEN"),"")</f>
        <v/>
      </c>
    </row>
    <row r="308" spans="1:10">
      <c r="A308" s="52"/>
      <c r="B308" s="54"/>
      <c r="C308" s="54"/>
      <c r="D308" s="54"/>
      <c r="E308" s="51"/>
      <c r="F308" s="54"/>
      <c r="G308" s="54"/>
      <c r="H308" s="52"/>
      <c r="I308" s="54"/>
      <c r="J308" s="85">
        <f>IF($E308="Fail",IF(ISNUMBER($H308),"Fixed","OPEN"),"")</f>
        <v/>
      </c>
    </row>
    <row r="309" spans="1:10">
      <c r="A309" s="52"/>
      <c r="B309" s="54"/>
      <c r="C309" s="54"/>
      <c r="D309" s="54"/>
      <c r="E309" s="51"/>
      <c r="F309" s="54"/>
      <c r="G309" s="54"/>
      <c r="H309" s="52"/>
      <c r="I309" s="54"/>
      <c r="J309" s="85">
        <f>IF($E309="Fail",IF(ISNUMBER($H309),"Fixed","OPEN"),"")</f>
        <v/>
      </c>
    </row>
    <row r="310" spans="1:10">
      <c r="A310" s="52"/>
      <c r="B310" s="54"/>
      <c r="C310" s="54"/>
      <c r="D310" s="54"/>
      <c r="E310" s="51"/>
      <c r="F310" s="54"/>
      <c r="G310" s="54"/>
      <c r="H310" s="52"/>
      <c r="I310" s="54"/>
      <c r="J310" s="85">
        <f>IF($E310="Fail",IF(ISNUMBER($H310),"Fixed","OPEN"),"")</f>
        <v/>
      </c>
    </row>
    <row r="311" spans="1:10">
      <c r="A311" s="52"/>
      <c r="B311" s="54"/>
      <c r="C311" s="54"/>
      <c r="D311" s="54"/>
      <c r="E311" s="51"/>
      <c r="F311" s="54"/>
      <c r="G311" s="54"/>
      <c r="H311" s="52"/>
      <c r="I311" s="54"/>
      <c r="J311" s="85">
        <f>IF($E311="Fail",IF(ISNUMBER($H311),"Fixed","OPEN"),"")</f>
        <v/>
      </c>
    </row>
    <row r="312" spans="1:10">
      <c r="A312" s="52"/>
      <c r="B312" s="54"/>
      <c r="C312" s="54"/>
      <c r="D312" s="54"/>
      <c r="E312" s="51"/>
      <c r="F312" s="54"/>
      <c r="G312" s="54"/>
      <c r="H312" s="52"/>
      <c r="I312" s="54"/>
      <c r="J312" s="85">
        <f>IF($E312="Fail",IF(ISNUMBER($H312),"Fixed","OPEN"),"")</f>
        <v/>
      </c>
    </row>
    <row r="313" spans="1:10">
      <c r="A313" s="52"/>
      <c r="B313" s="54"/>
      <c r="C313" s="54"/>
      <c r="D313" s="54"/>
      <c r="E313" s="51"/>
      <c r="F313" s="54"/>
      <c r="G313" s="54"/>
      <c r="H313" s="52"/>
      <c r="I313" s="54"/>
      <c r="J313" s="85">
        <f>IF($E313="Fail",IF(ISNUMBER($H313),"Fixed","OPEN"),"")</f>
        <v/>
      </c>
    </row>
    <row r="314" spans="1:10">
      <c r="A314" s="52"/>
      <c r="B314" s="54"/>
      <c r="C314" s="54"/>
      <c r="D314" s="54"/>
      <c r="E314" s="51"/>
      <c r="F314" s="54"/>
      <c r="G314" s="54"/>
      <c r="H314" s="52"/>
      <c r="I314" s="54"/>
      <c r="J314" s="85">
        <f>IF($E314="Fail",IF(ISNUMBER($H314),"Fixed","OPEN"),"")</f>
        <v/>
      </c>
    </row>
    <row r="315" spans="1:10">
      <c r="A315" s="52"/>
      <c r="B315" s="54"/>
      <c r="C315" s="54"/>
      <c r="D315" s="54"/>
      <c r="E315" s="51"/>
      <c r="F315" s="54"/>
      <c r="G315" s="54"/>
      <c r="H315" s="52"/>
      <c r="I315" s="54"/>
      <c r="J315" s="85">
        <f>IF($E315="Fail",IF(ISNUMBER($H315),"Fixed","OPEN"),"")</f>
        <v/>
      </c>
    </row>
    <row r="316" spans="1:10">
      <c r="A316" s="52"/>
      <c r="B316" s="54"/>
      <c r="C316" s="54"/>
      <c r="D316" s="54"/>
      <c r="E316" s="51"/>
      <c r="F316" s="54"/>
      <c r="G316" s="54"/>
      <c r="H316" s="52"/>
      <c r="I316" s="54"/>
      <c r="J316" s="85">
        <f>IF($E316="Fail",IF(ISNUMBER($H316),"Fixed","OPEN"),"")</f>
        <v/>
      </c>
    </row>
    <row r="317" spans="1:10">
      <c r="A317" s="52"/>
      <c r="B317" s="54"/>
      <c r="C317" s="54"/>
      <c r="D317" s="54"/>
      <c r="E317" s="51"/>
      <c r="F317" s="54"/>
      <c r="G317" s="54"/>
      <c r="H317" s="52"/>
      <c r="I317" s="54"/>
      <c r="J317" s="85">
        <f>IF($E317="Fail",IF(ISNUMBER($H317),"Fixed","OPEN"),"")</f>
        <v/>
      </c>
    </row>
    <row r="318" spans="1:10">
      <c r="A318" s="52"/>
      <c r="B318" s="54"/>
      <c r="C318" s="54"/>
      <c r="D318" s="54"/>
      <c r="E318" s="51"/>
      <c r="F318" s="54"/>
      <c r="G318" s="54"/>
      <c r="H318" s="52"/>
      <c r="I318" s="54"/>
      <c r="J318" s="85">
        <f>IF($E318="Fail",IF(ISNUMBER($H318),"Fixed","OPEN"),"")</f>
        <v/>
      </c>
    </row>
    <row r="319" spans="1:10">
      <c r="A319" s="52"/>
      <c r="B319" s="54"/>
      <c r="C319" s="54"/>
      <c r="D319" s="54"/>
      <c r="E319" s="51"/>
      <c r="F319" s="54"/>
      <c r="G319" s="54"/>
      <c r="H319" s="52"/>
      <c r="I319" s="54"/>
      <c r="J319" s="85">
        <f>IF($E319="Fail",IF(ISNUMBER($H319),"Fixed","OPEN"),"")</f>
        <v/>
      </c>
    </row>
    <row r="320" spans="1:10">
      <c r="A320" s="52"/>
      <c r="B320" s="54"/>
      <c r="C320" s="54"/>
      <c r="D320" s="54"/>
      <c r="E320" s="51"/>
      <c r="F320" s="54"/>
      <c r="G320" s="54"/>
      <c r="H320" s="52"/>
      <c r="I320" s="54"/>
      <c r="J320" s="85">
        <f>IF($E320="Fail",IF(ISNUMBER($H320),"Fixed","OPEN"),"")</f>
        <v/>
      </c>
    </row>
    <row r="321" spans="1:10">
      <c r="A321" s="52"/>
      <c r="B321" s="54"/>
      <c r="C321" s="54"/>
      <c r="D321" s="54"/>
      <c r="E321" s="51"/>
      <c r="F321" s="54"/>
      <c r="G321" s="54"/>
      <c r="H321" s="52"/>
      <c r="I321" s="54"/>
      <c r="J321" s="85">
        <f>IF($E321="Fail",IF(ISNUMBER($H321),"Fixed","OPEN"),"")</f>
        <v/>
      </c>
    </row>
    <row r="322" spans="1:10">
      <c r="A322" s="52"/>
      <c r="B322" s="54"/>
      <c r="C322" s="54"/>
      <c r="D322" s="54"/>
      <c r="E322" s="51"/>
      <c r="F322" s="54"/>
      <c r="G322" s="54"/>
      <c r="H322" s="52"/>
      <c r="I322" s="54"/>
      <c r="J322" s="85">
        <f>IF($E322="Fail",IF(ISNUMBER($H322),"Fixed","OPEN"),"")</f>
        <v/>
      </c>
    </row>
    <row r="323" spans="1:10">
      <c r="A323" s="52"/>
      <c r="B323" s="54"/>
      <c r="C323" s="54"/>
      <c r="D323" s="54"/>
      <c r="E323" s="51"/>
      <c r="F323" s="54"/>
      <c r="G323" s="54"/>
      <c r="H323" s="52"/>
      <c r="I323" s="54"/>
      <c r="J323" s="85">
        <f>IF($E323="Fail",IF(ISNUMBER($H323),"Fixed","OPEN"),"")</f>
        <v/>
      </c>
    </row>
    <row r="324" spans="1:10">
      <c r="A324" s="52"/>
      <c r="B324" s="54"/>
      <c r="C324" s="54"/>
      <c r="D324" s="54"/>
      <c r="E324" s="51"/>
      <c r="F324" s="54"/>
      <c r="G324" s="54"/>
      <c r="H324" s="52"/>
      <c r="I324" s="54"/>
      <c r="J324" s="85">
        <f>IF($E324="Fail",IF(ISNUMBER($H324),"Fixed","OPEN"),"")</f>
        <v/>
      </c>
    </row>
    <row r="325" spans="1:10">
      <c r="A325" s="52"/>
      <c r="B325" s="54"/>
      <c r="C325" s="54"/>
      <c r="D325" s="54"/>
      <c r="E325" s="51"/>
      <c r="F325" s="54"/>
      <c r="G325" s="54"/>
      <c r="H325" s="52"/>
      <c r="I325" s="54"/>
      <c r="J325" s="85">
        <f>IF($E325="Fail",IF(ISNUMBER($H325),"Fixed","OPEN"),"")</f>
        <v/>
      </c>
    </row>
    <row r="326" spans="1:10">
      <c r="A326" s="52"/>
      <c r="B326" s="54"/>
      <c r="C326" s="54"/>
      <c r="D326" s="54"/>
      <c r="E326" s="51"/>
      <c r="F326" s="54"/>
      <c r="G326" s="54"/>
      <c r="H326" s="52"/>
      <c r="I326" s="54"/>
      <c r="J326" s="85">
        <f>IF($E326="Fail",IF(ISNUMBER($H326),"Fixed","OPEN"),"")</f>
        <v/>
      </c>
    </row>
    <row r="327" spans="1:10">
      <c r="A327" s="52"/>
      <c r="B327" s="54"/>
      <c r="C327" s="54"/>
      <c r="D327" s="54"/>
      <c r="E327" s="51"/>
      <c r="F327" s="54"/>
      <c r="G327" s="54"/>
      <c r="H327" s="52"/>
      <c r="I327" s="54"/>
      <c r="J327" s="85">
        <f>IF($E327="Fail",IF(ISNUMBER($H327),"Fixed","OPEN"),"")</f>
        <v/>
      </c>
    </row>
    <row r="328" spans="1:10">
      <c r="A328" s="52"/>
      <c r="B328" s="54"/>
      <c r="C328" s="54"/>
      <c r="D328" s="54"/>
      <c r="E328" s="51"/>
      <c r="F328" s="54"/>
      <c r="G328" s="54"/>
      <c r="H328" s="52"/>
      <c r="I328" s="54"/>
      <c r="J328" s="85">
        <f>IF($E328="Fail",IF(ISNUMBER($H328),"Fixed","OPEN"),"")</f>
        <v/>
      </c>
    </row>
    <row r="329" spans="1:10">
      <c r="A329" s="52"/>
      <c r="B329" s="54"/>
      <c r="C329" s="54"/>
      <c r="D329" s="54"/>
      <c r="E329" s="51"/>
      <c r="F329" s="54"/>
      <c r="G329" s="54"/>
      <c r="H329" s="52"/>
      <c r="I329" s="54"/>
      <c r="J329" s="85">
        <f>IF($E329="Fail",IF(ISNUMBER($H329),"Fixed","OPEN"),"")</f>
        <v/>
      </c>
    </row>
    <row r="330" spans="1:10">
      <c r="A330" s="52"/>
      <c r="B330" s="54"/>
      <c r="C330" s="54"/>
      <c r="D330" s="54"/>
      <c r="E330" s="51"/>
      <c r="F330" s="54"/>
      <c r="G330" s="54"/>
      <c r="H330" s="52"/>
      <c r="I330" s="54"/>
      <c r="J330" s="85">
        <f>IF($E330="Fail",IF(ISNUMBER($H330),"Fixed","OPEN"),"")</f>
        <v/>
      </c>
    </row>
    <row r="331" spans="1:10">
      <c r="A331" s="52"/>
      <c r="B331" s="54"/>
      <c r="C331" s="54"/>
      <c r="D331" s="54"/>
      <c r="E331" s="51"/>
      <c r="F331" s="54"/>
      <c r="G331" s="54"/>
      <c r="H331" s="52"/>
      <c r="I331" s="54"/>
      <c r="J331" s="85">
        <f>IF($E331="Fail",IF(ISNUMBER($H331),"Fixed","OPEN"),"")</f>
        <v/>
      </c>
    </row>
    <row r="332" spans="1:10">
      <c r="A332" s="52"/>
      <c r="B332" s="54"/>
      <c r="C332" s="54"/>
      <c r="D332" s="54"/>
      <c r="E332" s="51"/>
      <c r="F332" s="54"/>
      <c r="G332" s="54"/>
      <c r="H332" s="52"/>
      <c r="I332" s="54"/>
      <c r="J332" s="85">
        <f>IF($E332="Fail",IF(ISNUMBER($H332),"Fixed","OPEN"),"")</f>
        <v/>
      </c>
    </row>
    <row r="333" spans="1:10">
      <c r="A333" s="52"/>
      <c r="B333" s="54"/>
      <c r="C333" s="54"/>
      <c r="D333" s="54"/>
      <c r="E333" s="51"/>
      <c r="F333" s="54"/>
      <c r="G333" s="54"/>
      <c r="H333" s="52"/>
      <c r="I333" s="54"/>
      <c r="J333" s="85">
        <f>IF($E333="Fail",IF(ISNUMBER($H333),"Fixed","OPEN"),"")</f>
        <v/>
      </c>
    </row>
    <row r="334" spans="1:10">
      <c r="A334" s="52"/>
      <c r="B334" s="54"/>
      <c r="C334" s="54"/>
      <c r="D334" s="54"/>
      <c r="E334" s="51"/>
      <c r="F334" s="54"/>
      <c r="G334" s="54"/>
      <c r="H334" s="52"/>
      <c r="I334" s="54"/>
      <c r="J334" s="85">
        <f>IF($E334="Fail",IF(ISNUMBER($H334),"Fixed","OPEN"),"")</f>
        <v/>
      </c>
    </row>
    <row r="335" spans="1:10">
      <c r="A335" s="52"/>
      <c r="B335" s="54"/>
      <c r="C335" s="54"/>
      <c r="D335" s="54"/>
      <c r="E335" s="51"/>
      <c r="F335" s="54"/>
      <c r="G335" s="54"/>
      <c r="H335" s="52"/>
      <c r="I335" s="54"/>
      <c r="J335" s="85">
        <f>IF($E335="Fail",IF(ISNUMBER($H335),"Fixed","OPEN"),"")</f>
        <v/>
      </c>
    </row>
    <row r="336" spans="1:10">
      <c r="A336" s="52"/>
      <c r="B336" s="54"/>
      <c r="C336" s="54"/>
      <c r="D336" s="54"/>
      <c r="E336" s="51"/>
      <c r="F336" s="54"/>
      <c r="G336" s="54"/>
      <c r="H336" s="52"/>
      <c r="I336" s="54"/>
      <c r="J336" s="85">
        <f>IF($E336="Fail",IF(ISNUMBER($H336),"Fixed","OPEN"),"")</f>
        <v/>
      </c>
    </row>
    <row r="337" spans="1:10">
      <c r="A337" s="52"/>
      <c r="B337" s="54"/>
      <c r="C337" s="54"/>
      <c r="D337" s="54"/>
      <c r="E337" s="51"/>
      <c r="F337" s="54"/>
      <c r="G337" s="54"/>
      <c r="H337" s="52"/>
      <c r="I337" s="54"/>
      <c r="J337" s="85">
        <f>IF($E337="Fail",IF(ISNUMBER($H337),"Fixed","OPEN"),"")</f>
        <v/>
      </c>
    </row>
    <row r="338" spans="1:10">
      <c r="A338" s="52"/>
      <c r="B338" s="54"/>
      <c r="C338" s="54"/>
      <c r="D338" s="54"/>
      <c r="E338" s="51"/>
      <c r="F338" s="54"/>
      <c r="G338" s="54"/>
      <c r="H338" s="52"/>
      <c r="I338" s="54"/>
      <c r="J338" s="85">
        <f>IF($E338="Fail",IF(ISNUMBER($H338),"Fixed","OPEN"),"")</f>
        <v/>
      </c>
    </row>
    <row r="339" spans="1:10">
      <c r="A339" s="52"/>
      <c r="B339" s="54"/>
      <c r="C339" s="54"/>
      <c r="D339" s="54"/>
      <c r="E339" s="51"/>
      <c r="F339" s="54"/>
      <c r="G339" s="54"/>
      <c r="H339" s="52"/>
      <c r="I339" s="54"/>
      <c r="J339" s="85">
        <f>IF($E339="Fail",IF(ISNUMBER($H339),"Fixed","OPEN"),"")</f>
        <v/>
      </c>
    </row>
    <row r="340" spans="1:10">
      <c r="A340" s="52"/>
      <c r="B340" s="54"/>
      <c r="C340" s="54"/>
      <c r="D340" s="54"/>
      <c r="E340" s="51"/>
      <c r="F340" s="54"/>
      <c r="G340" s="54"/>
      <c r="H340" s="52"/>
      <c r="I340" s="54"/>
      <c r="J340" s="85">
        <f>IF($E340="Fail",IF(ISNUMBER($H340),"Fixed","OPEN"),"")</f>
        <v/>
      </c>
    </row>
    <row r="341" spans="1:10">
      <c r="A341" s="52"/>
      <c r="B341" s="54"/>
      <c r="C341" s="54"/>
      <c r="D341" s="54"/>
      <c r="E341" s="51"/>
      <c r="F341" s="54"/>
      <c r="G341" s="54"/>
      <c r="H341" s="52"/>
      <c r="I341" s="54"/>
      <c r="J341" s="85">
        <f>IF($E341="Fail",IF(ISNUMBER($H341),"Fixed","OPEN"),"")</f>
        <v/>
      </c>
    </row>
    <row r="342" spans="1:10">
      <c r="A342" s="52"/>
      <c r="B342" s="54"/>
      <c r="C342" s="54"/>
      <c r="D342" s="54"/>
      <c r="E342" s="51"/>
      <c r="F342" s="54"/>
      <c r="G342" s="54"/>
      <c r="H342" s="52"/>
      <c r="I342" s="54"/>
      <c r="J342" s="85">
        <f>IF($E342="Fail",IF(ISNUMBER($H342),"Fixed","OPEN"),"")</f>
        <v/>
      </c>
    </row>
    <row r="343" spans="1:10">
      <c r="A343" s="52"/>
      <c r="B343" s="54"/>
      <c r="C343" s="54"/>
      <c r="D343" s="54"/>
      <c r="E343" s="51"/>
      <c r="F343" s="54"/>
      <c r="G343" s="54"/>
      <c r="H343" s="52"/>
      <c r="I343" s="54"/>
      <c r="J343" s="85">
        <f>IF($E343="Fail",IF(ISNUMBER($H343),"Fixed","OPEN"),"")</f>
        <v/>
      </c>
    </row>
    <row r="344" spans="1:10">
      <c r="A344" s="52"/>
      <c r="B344" s="54"/>
      <c r="C344" s="54"/>
      <c r="D344" s="54"/>
      <c r="E344" s="51"/>
      <c r="F344" s="54"/>
      <c r="G344" s="54"/>
      <c r="H344" s="52"/>
      <c r="I344" s="54"/>
      <c r="J344" s="85">
        <f>IF($E344="Fail",IF(ISNUMBER($H344),"Fixed","OPEN"),"")</f>
        <v/>
      </c>
    </row>
    <row r="345" spans="1:10">
      <c r="A345" s="52"/>
      <c r="B345" s="54"/>
      <c r="C345" s="54"/>
      <c r="D345" s="54"/>
      <c r="E345" s="51"/>
      <c r="F345" s="54"/>
      <c r="G345" s="54"/>
      <c r="H345" s="52"/>
      <c r="I345" s="54"/>
      <c r="J345" s="85">
        <f>IF($E345="Fail",IF(ISNUMBER($H345),"Fixed","OPEN"),"")</f>
        <v/>
      </c>
    </row>
    <row r="346" spans="1:10">
      <c r="A346" s="52"/>
      <c r="B346" s="54"/>
      <c r="C346" s="54"/>
      <c r="D346" s="54"/>
      <c r="E346" s="51"/>
      <c r="F346" s="54"/>
      <c r="G346" s="54"/>
      <c r="H346" s="52"/>
      <c r="I346" s="54"/>
      <c r="J346" s="85">
        <f>IF($E346="Fail",IF(ISNUMBER($H346),"Fixed","OPEN"),"")</f>
        <v/>
      </c>
    </row>
    <row r="347" spans="1:10">
      <c r="A347" s="52"/>
      <c r="B347" s="54"/>
      <c r="C347" s="54"/>
      <c r="D347" s="54"/>
      <c r="E347" s="51"/>
      <c r="F347" s="54"/>
      <c r="G347" s="54"/>
      <c r="H347" s="52"/>
      <c r="I347" s="54"/>
      <c r="J347" s="85">
        <f>IF($E347="Fail",IF(ISNUMBER($H347),"Fixed","OPEN"),"")</f>
        <v/>
      </c>
    </row>
    <row r="348" spans="1:10">
      <c r="A348" s="52"/>
      <c r="B348" s="54"/>
      <c r="C348" s="54"/>
      <c r="D348" s="54"/>
      <c r="E348" s="51"/>
      <c r="F348" s="54"/>
      <c r="G348" s="54"/>
      <c r="H348" s="52"/>
      <c r="I348" s="54"/>
      <c r="J348" s="85">
        <f>IF($E348="Fail",IF(ISNUMBER($H348),"Fixed","OPEN"),"")</f>
        <v/>
      </c>
    </row>
    <row r="349" spans="1:10">
      <c r="A349" s="52"/>
      <c r="B349" s="54"/>
      <c r="C349" s="54"/>
      <c r="D349" s="54"/>
      <c r="E349" s="51"/>
      <c r="F349" s="54"/>
      <c r="G349" s="54"/>
      <c r="H349" s="52"/>
      <c r="I349" s="54"/>
      <c r="J349" s="85">
        <f>IF($E349="Fail",IF(ISNUMBER($H349),"Fixed","OPEN"),"")</f>
        <v/>
      </c>
    </row>
    <row r="350" spans="1:10">
      <c r="A350" s="52"/>
      <c r="B350" s="54"/>
      <c r="C350" s="54"/>
      <c r="D350" s="54"/>
      <c r="E350" s="51"/>
      <c r="F350" s="54"/>
      <c r="G350" s="54"/>
      <c r="H350" s="52"/>
      <c r="I350" s="54"/>
      <c r="J350" s="85">
        <f>IF($E350="Fail",IF(ISNUMBER($H350),"Fixed","OPEN"),"")</f>
        <v/>
      </c>
    </row>
    <row r="351" spans="1:10">
      <c r="A351" s="52"/>
      <c r="B351" s="54"/>
      <c r="C351" s="54"/>
      <c r="D351" s="54"/>
      <c r="E351" s="51"/>
      <c r="F351" s="54"/>
      <c r="G351" s="54"/>
      <c r="H351" s="52"/>
      <c r="I351" s="54"/>
      <c r="J351" s="85">
        <f>IF($E351="Fail",IF(ISNUMBER($H351),"Fixed","OPEN"),"")</f>
        <v/>
      </c>
    </row>
    <row r="352" spans="1:10">
      <c r="A352" s="52"/>
      <c r="B352" s="54"/>
      <c r="C352" s="54"/>
      <c r="D352" s="54"/>
      <c r="E352" s="51"/>
      <c r="F352" s="54"/>
      <c r="G352" s="54"/>
      <c r="H352" s="52"/>
      <c r="I352" s="54"/>
      <c r="J352" s="85">
        <f>IF($E352="Fail",IF(ISNUMBER($H352),"Fixed","OPEN"),"")</f>
        <v/>
      </c>
    </row>
    <row r="353" spans="1:10">
      <c r="A353" s="52"/>
      <c r="B353" s="54"/>
      <c r="C353" s="54"/>
      <c r="D353" s="54"/>
      <c r="E353" s="51"/>
      <c r="F353" s="54"/>
      <c r="G353" s="54"/>
      <c r="H353" s="52"/>
      <c r="I353" s="54"/>
      <c r="J353" s="85">
        <f>IF($E353="Fail",IF(ISNUMBER($H353),"Fixed","OPEN"),"")</f>
        <v/>
      </c>
    </row>
    <row r="354" spans="1:10">
      <c r="A354" s="52"/>
      <c r="B354" s="54"/>
      <c r="C354" s="54"/>
      <c r="D354" s="54"/>
      <c r="E354" s="51"/>
      <c r="F354" s="54"/>
      <c r="G354" s="54"/>
      <c r="H354" s="52"/>
      <c r="I354" s="54"/>
      <c r="J354" s="85">
        <f>IF($E354="Fail",IF(ISNUMBER($H354),"Fixed","OPEN"),"")</f>
        <v/>
      </c>
    </row>
    <row r="355" spans="1:10">
      <c r="A355" s="52"/>
      <c r="B355" s="54"/>
      <c r="C355" s="54"/>
      <c r="D355" s="54"/>
      <c r="E355" s="51"/>
      <c r="F355" s="54"/>
      <c r="G355" s="54"/>
      <c r="H355" s="52"/>
      <c r="I355" s="54"/>
      <c r="J355" s="85">
        <f>IF($E355="Fail",IF(ISNUMBER($H355),"Fixed","OPEN"),"")</f>
        <v/>
      </c>
    </row>
    <row r="356" spans="1:10">
      <c r="A356" s="52"/>
      <c r="B356" s="54"/>
      <c r="C356" s="54"/>
      <c r="D356" s="54"/>
      <c r="E356" s="51"/>
      <c r="F356" s="54"/>
      <c r="G356" s="54"/>
      <c r="H356" s="52"/>
      <c r="I356" s="54"/>
      <c r="J356" s="85">
        <f>IF($E356="Fail",IF(ISNUMBER($H356),"Fixed","OPEN"),"")</f>
        <v/>
      </c>
    </row>
    <row r="357" spans="1:10">
      <c r="A357" s="52"/>
      <c r="B357" s="54"/>
      <c r="C357" s="54"/>
      <c r="D357" s="54"/>
      <c r="E357" s="51"/>
      <c r="F357" s="54"/>
      <c r="G357" s="54"/>
      <c r="H357" s="52"/>
      <c r="I357" s="54"/>
      <c r="J357" s="85">
        <f>IF($E357="Fail",IF(ISNUMBER($H357),"Fixed","OPEN"),"")</f>
        <v/>
      </c>
    </row>
    <row r="358" spans="1:10">
      <c r="A358" s="52"/>
      <c r="B358" s="54"/>
      <c r="C358" s="54"/>
      <c r="D358" s="54"/>
      <c r="E358" s="51"/>
      <c r="F358" s="54"/>
      <c r="G358" s="54"/>
      <c r="H358" s="52"/>
      <c r="I358" s="54"/>
      <c r="J358" s="85">
        <f>IF($E358="Fail",IF(ISNUMBER($H358),"Fixed","OPEN"),"")</f>
        <v/>
      </c>
    </row>
    <row r="359" spans="1:10">
      <c r="A359" s="52"/>
      <c r="B359" s="54"/>
      <c r="C359" s="54"/>
      <c r="D359" s="54"/>
      <c r="E359" s="51"/>
      <c r="F359" s="54"/>
      <c r="G359" s="54"/>
      <c r="H359" s="52"/>
      <c r="I359" s="54"/>
      <c r="J359" s="85">
        <f>IF($E359="Fail",IF(ISNUMBER($H359),"Fixed","OPEN"),"")</f>
        <v/>
      </c>
    </row>
    <row r="360" spans="1:10">
      <c r="A360" s="52"/>
      <c r="B360" s="54"/>
      <c r="C360" s="54"/>
      <c r="D360" s="54"/>
      <c r="E360" s="51"/>
      <c r="F360" s="54"/>
      <c r="G360" s="54"/>
      <c r="H360" s="52"/>
      <c r="I360" s="54"/>
      <c r="J360" s="85">
        <f>IF($E360="Fail",IF(ISNUMBER($H360),"Fixed","OPEN"),"")</f>
        <v/>
      </c>
    </row>
    <row r="361" spans="1:10">
      <c r="A361" s="52"/>
      <c r="B361" s="54"/>
      <c r="C361" s="54"/>
      <c r="D361" s="54"/>
      <c r="E361" s="51"/>
      <c r="F361" s="54"/>
      <c r="G361" s="54"/>
      <c r="H361" s="52"/>
      <c r="I361" s="54"/>
      <c r="J361" s="85">
        <f>IF($E361="Fail",IF(ISNUMBER($H361),"Fixed","OPEN"),"")</f>
        <v/>
      </c>
    </row>
    <row r="362" spans="1:10">
      <c r="A362" s="52"/>
      <c r="B362" s="54"/>
      <c r="C362" s="54"/>
      <c r="D362" s="54"/>
      <c r="E362" s="51"/>
      <c r="F362" s="54"/>
      <c r="G362" s="54"/>
      <c r="H362" s="52"/>
      <c r="I362" s="54"/>
      <c r="J362" s="85">
        <f>IF($E362="Fail",IF(ISNUMBER($H362),"Fixed","OPEN"),"")</f>
        <v/>
      </c>
    </row>
    <row r="363" spans="1:10">
      <c r="A363" s="52"/>
      <c r="B363" s="54"/>
      <c r="C363" s="54"/>
      <c r="D363" s="54"/>
      <c r="E363" s="51"/>
      <c r="F363" s="54"/>
      <c r="G363" s="54"/>
      <c r="H363" s="52"/>
      <c r="I363" s="54"/>
      <c r="J363" s="85">
        <f>IF($E363="Fail",IF(ISNUMBER($H363),"Fixed","OPEN"),"")</f>
        <v/>
      </c>
    </row>
    <row r="364" spans="1:10">
      <c r="A364" s="52"/>
      <c r="B364" s="54"/>
      <c r="C364" s="54"/>
      <c r="D364" s="54"/>
      <c r="E364" s="51"/>
      <c r="F364" s="54"/>
      <c r="G364" s="54"/>
      <c r="H364" s="52"/>
      <c r="I364" s="54"/>
      <c r="J364" s="85">
        <f>IF($E364="Fail",IF(ISNUMBER($H364),"Fixed","OPEN"),"")</f>
        <v/>
      </c>
    </row>
    <row r="365" spans="1:10">
      <c r="A365" s="52"/>
      <c r="B365" s="54"/>
      <c r="C365" s="54"/>
      <c r="D365" s="54"/>
      <c r="E365" s="51"/>
      <c r="F365" s="54"/>
      <c r="G365" s="54"/>
      <c r="H365" s="52"/>
      <c r="I365" s="54"/>
      <c r="J365" s="85">
        <f>IF($E365="Fail",IF(ISNUMBER($H365),"Fixed","OPEN"),"")</f>
        <v/>
      </c>
    </row>
    <row r="366" spans="1:10">
      <c r="A366" s="52"/>
      <c r="B366" s="54"/>
      <c r="C366" s="54"/>
      <c r="D366" s="54"/>
      <c r="E366" s="51"/>
      <c r="F366" s="54"/>
      <c r="G366" s="54"/>
      <c r="H366" s="52"/>
      <c r="I366" s="54"/>
      <c r="J366" s="85">
        <f>IF($E366="Fail",IF(ISNUMBER($H366),"Fixed","OPEN"),"")</f>
        <v/>
      </c>
    </row>
    <row r="367" spans="1:10">
      <c r="A367" s="52"/>
      <c r="B367" s="54"/>
      <c r="C367" s="54"/>
      <c r="D367" s="54"/>
      <c r="E367" s="51"/>
      <c r="F367" s="54"/>
      <c r="G367" s="54"/>
      <c r="H367" s="52"/>
      <c r="I367" s="54"/>
      <c r="J367" s="85">
        <f>IF($E367="Fail",IF(ISNUMBER($H367),"Fixed","OPEN"),"")</f>
        <v/>
      </c>
    </row>
    <row r="368" spans="1:10">
      <c r="A368" s="52"/>
      <c r="B368" s="54"/>
      <c r="C368" s="54"/>
      <c r="D368" s="54"/>
      <c r="E368" s="51"/>
      <c r="F368" s="54"/>
      <c r="G368" s="54"/>
      <c r="H368" s="52"/>
      <c r="I368" s="54"/>
      <c r="J368" s="85">
        <f>IF($E368="Fail",IF(ISNUMBER($H368),"Fixed","OPEN"),"")</f>
        <v/>
      </c>
    </row>
    <row r="369" spans="1:10">
      <c r="A369" s="52"/>
      <c r="B369" s="54"/>
      <c r="C369" s="54"/>
      <c r="D369" s="54"/>
      <c r="E369" s="51"/>
      <c r="F369" s="54"/>
      <c r="G369" s="54"/>
      <c r="H369" s="52"/>
      <c r="I369" s="54"/>
      <c r="J369" s="85">
        <f>IF($E369="Fail",IF(ISNUMBER($H369),"Fixed","OPEN"),"")</f>
        <v/>
      </c>
    </row>
    <row r="370" spans="1:10">
      <c r="A370" s="52"/>
      <c r="B370" s="54"/>
      <c r="C370" s="54"/>
      <c r="D370" s="54"/>
      <c r="E370" s="51"/>
      <c r="F370" s="54"/>
      <c r="G370" s="54"/>
      <c r="H370" s="52"/>
      <c r="I370" s="54"/>
      <c r="J370" s="85">
        <f>IF($E370="Fail",IF(ISNUMBER($H370),"Fixed","OPEN"),"")</f>
        <v/>
      </c>
    </row>
    <row r="371" spans="1:10">
      <c r="A371" s="52"/>
      <c r="B371" s="54"/>
      <c r="C371" s="54"/>
      <c r="D371" s="54"/>
      <c r="E371" s="51"/>
      <c r="F371" s="54"/>
      <c r="G371" s="54"/>
      <c r="H371" s="52"/>
      <c r="I371" s="54"/>
      <c r="J371" s="85">
        <f>IF($E371="Fail",IF(ISNUMBER($H371),"Fixed","OPEN"),"")</f>
        <v/>
      </c>
    </row>
    <row r="372" spans="1:10">
      <c r="A372" s="52"/>
      <c r="B372" s="54"/>
      <c r="C372" s="54"/>
      <c r="D372" s="54"/>
      <c r="E372" s="51"/>
      <c r="F372" s="54"/>
      <c r="G372" s="54"/>
      <c r="H372" s="52"/>
      <c r="I372" s="54"/>
      <c r="J372" s="85">
        <f>IF($E372="Fail",IF(ISNUMBER($H372),"Fixed","OPEN"),"")</f>
        <v/>
      </c>
    </row>
    <row r="373" spans="1:10">
      <c r="A373" s="52"/>
      <c r="B373" s="54"/>
      <c r="C373" s="54"/>
      <c r="D373" s="54"/>
      <c r="E373" s="51"/>
      <c r="F373" s="54"/>
      <c r="G373" s="54"/>
      <c r="H373" s="52"/>
      <c r="I373" s="54"/>
      <c r="J373" s="85">
        <f>IF($E373="Fail",IF(ISNUMBER($H373),"Fixed","OPEN"),"")</f>
        <v/>
      </c>
    </row>
    <row r="374" spans="1:10">
      <c r="A374" s="52"/>
      <c r="B374" s="54"/>
      <c r="C374" s="54"/>
      <c r="D374" s="54"/>
      <c r="E374" s="51"/>
      <c r="F374" s="54"/>
      <c r="G374" s="54"/>
      <c r="H374" s="52"/>
      <c r="I374" s="54"/>
      <c r="J374" s="85">
        <f>IF($E374="Fail",IF(ISNUMBER($H374),"Fixed","OPEN"),"")</f>
        <v/>
      </c>
    </row>
    <row r="375" spans="1:10">
      <c r="A375" s="52"/>
      <c r="B375" s="54"/>
      <c r="C375" s="54"/>
      <c r="D375" s="54"/>
      <c r="E375" s="51"/>
      <c r="F375" s="54"/>
      <c r="G375" s="54"/>
      <c r="H375" s="52"/>
      <c r="I375" s="54"/>
      <c r="J375" s="85">
        <f>IF($E375="Fail",IF(ISNUMBER($H375),"Fixed","OPEN"),"")</f>
        <v/>
      </c>
    </row>
    <row r="376" spans="1:10">
      <c r="A376" s="52"/>
      <c r="B376" s="54"/>
      <c r="C376" s="54"/>
      <c r="D376" s="54"/>
      <c r="E376" s="51"/>
      <c r="F376" s="54"/>
      <c r="G376" s="54"/>
      <c r="H376" s="52"/>
      <c r="I376" s="54"/>
      <c r="J376" s="85">
        <f>IF($E376="Fail",IF(ISNUMBER($H376),"Fixed","OPEN"),"")</f>
        <v/>
      </c>
    </row>
    <row r="377" spans="1:10">
      <c r="A377" s="52"/>
      <c r="B377" s="54"/>
      <c r="C377" s="54"/>
      <c r="D377" s="54"/>
      <c r="E377" s="51"/>
      <c r="F377" s="54"/>
      <c r="G377" s="54"/>
      <c r="H377" s="52"/>
      <c r="I377" s="54"/>
      <c r="J377" s="85">
        <f>IF($E377="Fail",IF(ISNUMBER($H377),"Fixed","OPEN"),"")</f>
        <v/>
      </c>
    </row>
    <row r="378" spans="1:10">
      <c r="A378" s="52"/>
      <c r="B378" s="54"/>
      <c r="C378" s="54"/>
      <c r="D378" s="54"/>
      <c r="E378" s="51"/>
      <c r="F378" s="54"/>
      <c r="G378" s="54"/>
      <c r="H378" s="52"/>
      <c r="I378" s="54"/>
      <c r="J378" s="85">
        <f>IF($E378="Fail",IF(ISNUMBER($H378),"Fixed","OPEN"),"")</f>
        <v/>
      </c>
    </row>
    <row r="379" spans="1:10">
      <c r="A379" s="52"/>
      <c r="B379" s="54"/>
      <c r="C379" s="54"/>
      <c r="D379" s="54"/>
      <c r="E379" s="51"/>
      <c r="F379" s="54"/>
      <c r="G379" s="54"/>
      <c r="H379" s="52"/>
      <c r="I379" s="54"/>
      <c r="J379" s="85">
        <f>IF($E379="Fail",IF(ISNUMBER($H379),"Fixed","OPEN"),"")</f>
        <v/>
      </c>
    </row>
    <row r="380" spans="1:10">
      <c r="A380" s="52"/>
      <c r="B380" s="54"/>
      <c r="C380" s="54"/>
      <c r="D380" s="54"/>
      <c r="E380" s="51"/>
      <c r="F380" s="54"/>
      <c r="G380" s="54"/>
      <c r="H380" s="52"/>
      <c r="I380" s="54"/>
      <c r="J380" s="85">
        <f>IF($E380="Fail",IF(ISNUMBER($H380),"Fixed","OPEN"),"")</f>
        <v/>
      </c>
    </row>
    <row r="381" spans="1:10">
      <c r="A381" s="52"/>
      <c r="B381" s="54"/>
      <c r="C381" s="54"/>
      <c r="D381" s="54"/>
      <c r="E381" s="51"/>
      <c r="F381" s="54"/>
      <c r="G381" s="54"/>
      <c r="H381" s="52"/>
      <c r="I381" s="54"/>
      <c r="J381" s="85">
        <f>IF($E381="Fail",IF(ISNUMBER($H381),"Fixed","OPEN"),"")</f>
        <v/>
      </c>
    </row>
    <row r="382" spans="1:10">
      <c r="A382" s="52"/>
      <c r="B382" s="54"/>
      <c r="C382" s="54"/>
      <c r="D382" s="54"/>
      <c r="E382" s="51"/>
      <c r="F382" s="54"/>
      <c r="G382" s="54"/>
      <c r="H382" s="52"/>
      <c r="I382" s="54"/>
      <c r="J382" s="85">
        <f>IF($E382="Fail",IF(ISNUMBER($H382),"Fixed","OPEN"),"")</f>
        <v/>
      </c>
    </row>
    <row r="383" spans="1:10">
      <c r="A383" s="52"/>
      <c r="B383" s="54"/>
      <c r="C383" s="54"/>
      <c r="D383" s="54"/>
      <c r="E383" s="51"/>
      <c r="F383" s="54"/>
      <c r="G383" s="54"/>
      <c r="H383" s="52"/>
      <c r="I383" s="54"/>
      <c r="J383" s="85">
        <f>IF($E383="Fail",IF(ISNUMBER($H383),"Fixed","OPEN"),"")</f>
        <v/>
      </c>
    </row>
    <row r="384" spans="1:10">
      <c r="A384" s="52"/>
      <c r="B384" s="54"/>
      <c r="C384" s="54"/>
      <c r="D384" s="54"/>
      <c r="E384" s="51"/>
      <c r="F384" s="54"/>
      <c r="G384" s="54"/>
      <c r="H384" s="52"/>
      <c r="I384" s="54"/>
      <c r="J384" s="85">
        <f>IF($E384="Fail",IF(ISNUMBER($H384),"Fixed","OPEN"),"")</f>
        <v/>
      </c>
    </row>
    <row r="385" spans="1:10">
      <c r="A385" s="52"/>
      <c r="B385" s="54"/>
      <c r="C385" s="54"/>
      <c r="D385" s="54"/>
      <c r="E385" s="51"/>
      <c r="F385" s="54"/>
      <c r="G385" s="54"/>
      <c r="H385" s="52"/>
      <c r="I385" s="54"/>
      <c r="J385" s="85">
        <f>IF($E385="Fail",IF(ISNUMBER($H385),"Fixed","OPEN"),"")</f>
        <v/>
      </c>
    </row>
    <row r="386" spans="1:10">
      <c r="A386" s="52"/>
      <c r="B386" s="54"/>
      <c r="C386" s="54"/>
      <c r="D386" s="54"/>
      <c r="E386" s="51"/>
      <c r="F386" s="54"/>
      <c r="G386" s="54"/>
      <c r="H386" s="52"/>
      <c r="I386" s="54"/>
      <c r="J386" s="85">
        <f>IF($E386="Fail",IF(ISNUMBER($H386),"Fixed","OPEN"),"")</f>
        <v/>
      </c>
    </row>
    <row r="387" spans="1:10">
      <c r="A387" s="52"/>
      <c r="B387" s="54"/>
      <c r="C387" s="54"/>
      <c r="D387" s="54"/>
      <c r="E387" s="51"/>
      <c r="F387" s="54"/>
      <c r="G387" s="54"/>
      <c r="H387" s="52"/>
      <c r="I387" s="54"/>
      <c r="J387" s="85">
        <f>IF($E387="Fail",IF(ISNUMBER($H387),"Fixed","OPEN"),"")</f>
        <v/>
      </c>
    </row>
    <row r="388" spans="1:10">
      <c r="A388" s="52"/>
      <c r="B388" s="54"/>
      <c r="C388" s="54"/>
      <c r="D388" s="54"/>
      <c r="E388" s="51"/>
      <c r="F388" s="54"/>
      <c r="G388" s="54"/>
      <c r="H388" s="52"/>
      <c r="I388" s="54"/>
      <c r="J388" s="85">
        <f>IF($E388="Fail",IF(ISNUMBER($H388),"Fixed","OPEN"),"")</f>
        <v/>
      </c>
    </row>
    <row r="389" spans="1:10">
      <c r="A389" s="52"/>
      <c r="B389" s="54"/>
      <c r="C389" s="54"/>
      <c r="D389" s="54"/>
      <c r="E389" s="51"/>
      <c r="F389" s="54"/>
      <c r="G389" s="54"/>
      <c r="H389" s="52"/>
      <c r="I389" s="54"/>
      <c r="J389" s="85">
        <f>IF($E389="Fail",IF(ISNUMBER($H389),"Fixed","OPEN"),"")</f>
        <v/>
      </c>
    </row>
    <row r="390" spans="1:10">
      <c r="A390" s="52"/>
      <c r="B390" s="54"/>
      <c r="C390" s="54"/>
      <c r="D390" s="54"/>
      <c r="E390" s="51"/>
      <c r="F390" s="54"/>
      <c r="G390" s="54"/>
      <c r="H390" s="52"/>
      <c r="I390" s="54"/>
      <c r="J390" s="85">
        <f>IF($E390="Fail",IF(ISNUMBER($H390),"Fixed","OPEN"),"")</f>
        <v/>
      </c>
    </row>
    <row r="391" spans="1:10">
      <c r="A391" s="52"/>
      <c r="B391" s="54"/>
      <c r="C391" s="54"/>
      <c r="D391" s="54"/>
      <c r="E391" s="51"/>
      <c r="F391" s="54"/>
      <c r="G391" s="54"/>
      <c r="H391" s="52"/>
      <c r="I391" s="54"/>
      <c r="J391" s="85">
        <f>IF($E391="Fail",IF(ISNUMBER($H391),"Fixed","OPEN"),"")</f>
        <v/>
      </c>
    </row>
    <row r="392" spans="1:10">
      <c r="A392" s="52"/>
      <c r="B392" s="54"/>
      <c r="C392" s="54"/>
      <c r="D392" s="54"/>
      <c r="E392" s="51"/>
      <c r="F392" s="54"/>
      <c r="G392" s="54"/>
      <c r="H392" s="52"/>
      <c r="I392" s="54"/>
      <c r="J392" s="85">
        <f>IF($E392="Fail",IF(ISNUMBER($H392),"Fixed","OPEN"),"")</f>
        <v/>
      </c>
    </row>
    <row r="393" spans="1:10">
      <c r="A393" s="52"/>
      <c r="B393" s="54"/>
      <c r="C393" s="54"/>
      <c r="D393" s="54"/>
      <c r="E393" s="51"/>
      <c r="F393" s="54"/>
      <c r="G393" s="54"/>
      <c r="H393" s="52"/>
      <c r="I393" s="54"/>
      <c r="J393" s="85">
        <f>IF($E393="Fail",IF(ISNUMBER($H393),"Fixed","OPEN"),"")</f>
        <v/>
      </c>
    </row>
    <row r="394" spans="1:10">
      <c r="A394" s="52"/>
      <c r="B394" s="54"/>
      <c r="C394" s="54"/>
      <c r="D394" s="54"/>
      <c r="E394" s="51"/>
      <c r="F394" s="54"/>
      <c r="G394" s="54"/>
      <c r="H394" s="52"/>
      <c r="I394" s="54"/>
      <c r="J394" s="85">
        <f>IF($E394="Fail",IF(ISNUMBER($H394),"Fixed","OPEN"),"")</f>
        <v/>
      </c>
    </row>
    <row r="395" spans="1:10">
      <c r="A395" s="52"/>
      <c r="B395" s="54"/>
      <c r="C395" s="54"/>
      <c r="D395" s="54"/>
      <c r="E395" s="51"/>
      <c r="F395" s="54"/>
      <c r="G395" s="54"/>
      <c r="H395" s="52"/>
      <c r="I395" s="54"/>
      <c r="J395" s="85">
        <f>IF($E395="Fail",IF(ISNUMBER($H395),"Fixed","OPEN"),"")</f>
        <v/>
      </c>
    </row>
    <row r="396" spans="1:10">
      <c r="A396" s="52"/>
      <c r="B396" s="54"/>
      <c r="C396" s="54"/>
      <c r="D396" s="54"/>
      <c r="E396" s="51"/>
      <c r="F396" s="54"/>
      <c r="G396" s="54"/>
      <c r="H396" s="52"/>
      <c r="I396" s="54"/>
      <c r="J396" s="85">
        <f>IF($E396="Fail",IF(ISNUMBER($H396),"Fixed","OPEN"),"")</f>
        <v/>
      </c>
    </row>
    <row r="397" spans="1:10">
      <c r="A397" s="52"/>
      <c r="B397" s="54"/>
      <c r="C397" s="54"/>
      <c r="D397" s="54"/>
      <c r="E397" s="51"/>
      <c r="F397" s="54"/>
      <c r="G397" s="54"/>
      <c r="H397" s="52"/>
      <c r="I397" s="54"/>
      <c r="J397" s="85">
        <f>IF($E397="Fail",IF(ISNUMBER($H397),"Fixed","OPEN"),"")</f>
        <v/>
      </c>
    </row>
    <row r="398" spans="1:10">
      <c r="A398" s="52"/>
      <c r="B398" s="54"/>
      <c r="C398" s="54"/>
      <c r="D398" s="54"/>
      <c r="E398" s="51"/>
      <c r="F398" s="54"/>
      <c r="G398" s="54"/>
      <c r="H398" s="52"/>
      <c r="I398" s="54"/>
      <c r="J398" s="85">
        <f>IF($E398="Fail",IF(ISNUMBER($H398),"Fixed","OPEN"),"")</f>
        <v/>
      </c>
    </row>
    <row r="399" spans="1:10">
      <c r="A399" s="52"/>
      <c r="B399" s="54"/>
      <c r="C399" s="54"/>
      <c r="D399" s="54"/>
      <c r="E399" s="51"/>
      <c r="F399" s="54"/>
      <c r="G399" s="54"/>
      <c r="H399" s="52"/>
      <c r="I399" s="54"/>
      <c r="J399" s="85">
        <f>IF($E399="Fail",IF(ISNUMBER($H399),"Fixed","OPEN"),"")</f>
        <v/>
      </c>
    </row>
    <row r="400" spans="1:10">
      <c r="A400" s="52"/>
      <c r="B400" s="54"/>
      <c r="C400" s="54"/>
      <c r="D400" s="54"/>
      <c r="E400" s="51"/>
      <c r="F400" s="54"/>
      <c r="G400" s="54"/>
      <c r="H400" s="52"/>
      <c r="I400" s="54"/>
      <c r="J400" s="85">
        <f>IF($E400="Fail",IF(ISNUMBER($H400),"Fixed","OPEN"),"")</f>
        <v/>
      </c>
    </row>
    <row r="401" spans="1:10">
      <c r="A401" s="52"/>
      <c r="B401" s="54"/>
      <c r="C401" s="54"/>
      <c r="D401" s="54"/>
      <c r="E401" s="51"/>
      <c r="F401" s="54"/>
      <c r="G401" s="54"/>
      <c r="H401" s="52"/>
      <c r="I401" s="54"/>
      <c r="J401" s="85">
        <f>IF($E401="Fail",IF(ISNUMBER($H401),"Fixed","OPEN"),"")</f>
        <v/>
      </c>
    </row>
    <row r="402" spans="1:10">
      <c r="A402" s="52"/>
      <c r="B402" s="54"/>
      <c r="C402" s="54"/>
      <c r="D402" s="54"/>
      <c r="E402" s="51"/>
      <c r="F402" s="54"/>
      <c r="G402" s="54"/>
      <c r="H402" s="52"/>
      <c r="I402" s="54"/>
      <c r="J402" s="85">
        <f>IF($E402="Fail",IF(ISNUMBER($H402),"Fixed","OPEN"),"")</f>
        <v/>
      </c>
    </row>
    <row r="403" spans="1:10">
      <c r="A403" s="52"/>
      <c r="B403" s="54"/>
      <c r="C403" s="54"/>
      <c r="D403" s="54"/>
      <c r="E403" s="51"/>
      <c r="F403" s="54"/>
      <c r="G403" s="54"/>
      <c r="H403" s="52"/>
      <c r="I403" s="54"/>
      <c r="J403" s="85">
        <f>IF($E403="Fail",IF(ISNUMBER($H403),"Fixed","OPEN"),"")</f>
        <v/>
      </c>
    </row>
    <row r="404" spans="1:10">
      <c r="A404" s="52"/>
      <c r="B404" s="54"/>
      <c r="C404" s="54"/>
      <c r="D404" s="54"/>
      <c r="E404" s="51"/>
      <c r="F404" s="54"/>
      <c r="G404" s="54"/>
      <c r="H404" s="52"/>
      <c r="I404" s="54"/>
      <c r="J404" s="85">
        <f>IF($E404="Fail",IF(ISNUMBER($H404),"Fixed","OPEN"),"")</f>
        <v/>
      </c>
    </row>
    <row r="405" spans="1:10">
      <c r="A405" s="52"/>
      <c r="B405" s="54"/>
      <c r="C405" s="54"/>
      <c r="D405" s="54"/>
      <c r="E405" s="51"/>
      <c r="F405" s="54"/>
      <c r="G405" s="54"/>
      <c r="H405" s="52"/>
      <c r="I405" s="54"/>
      <c r="J405" s="85">
        <f>IF($E405="Fail",IF(ISNUMBER($H405),"Fixed","OPEN"),"")</f>
        <v/>
      </c>
    </row>
    <row r="406" spans="1:10">
      <c r="A406" s="52"/>
      <c r="B406" s="54"/>
      <c r="C406" s="54"/>
      <c r="D406" s="54"/>
      <c r="E406" s="51"/>
      <c r="F406" s="54"/>
      <c r="G406" s="54"/>
      <c r="H406" s="52"/>
      <c r="I406" s="54"/>
      <c r="J406" s="85">
        <f>IF($E406="Fail",IF(ISNUMBER($H406),"Fixed","OPEN"),"")</f>
        <v/>
      </c>
    </row>
    <row r="407" spans="1:10">
      <c r="A407" s="52"/>
      <c r="B407" s="54"/>
      <c r="C407" s="54"/>
      <c r="D407" s="54"/>
      <c r="E407" s="51"/>
      <c r="F407" s="54"/>
      <c r="G407" s="54"/>
      <c r="H407" s="52"/>
      <c r="I407" s="54"/>
      <c r="J407" s="85">
        <f>IF($E407="Fail",IF(ISNUMBER($H407),"Fixed","OPEN"),"")</f>
        <v/>
      </c>
    </row>
    <row r="408" spans="1:10">
      <c r="A408" s="52"/>
      <c r="B408" s="54"/>
      <c r="C408" s="54"/>
      <c r="D408" s="54"/>
      <c r="E408" s="51"/>
      <c r="F408" s="54"/>
      <c r="G408" s="54"/>
      <c r="H408" s="52"/>
      <c r="I408" s="54"/>
      <c r="J408" s="85">
        <f>IF($E408="Fail",IF(ISNUMBER($H408),"Fixed","OPEN"),"")</f>
        <v/>
      </c>
    </row>
    <row r="409" spans="1:10">
      <c r="A409" s="52"/>
      <c r="B409" s="54"/>
      <c r="C409" s="54"/>
      <c r="D409" s="54"/>
      <c r="E409" s="51"/>
      <c r="F409" s="54"/>
      <c r="G409" s="54"/>
      <c r="H409" s="52"/>
      <c r="I409" s="54"/>
      <c r="J409" s="85">
        <f>IF($E409="Fail",IF(ISNUMBER($H409),"Fixed","OPEN"),"")</f>
        <v/>
      </c>
    </row>
    <row r="410" spans="1:10">
      <c r="A410" s="52"/>
      <c r="B410" s="54"/>
      <c r="C410" s="54"/>
      <c r="D410" s="54"/>
      <c r="E410" s="51"/>
      <c r="F410" s="54"/>
      <c r="G410" s="54"/>
      <c r="H410" s="52"/>
      <c r="I410" s="54"/>
      <c r="J410" s="85">
        <f>IF($E410="Fail",IF(ISNUMBER($H410),"Fixed","OPEN"),"")</f>
        <v/>
      </c>
    </row>
    <row r="411" spans="1:10">
      <c r="A411" s="52"/>
      <c r="B411" s="54"/>
      <c r="C411" s="54"/>
      <c r="D411" s="54"/>
      <c r="E411" s="51"/>
      <c r="F411" s="54"/>
      <c r="G411" s="54"/>
      <c r="H411" s="52"/>
      <c r="I411" s="54"/>
      <c r="J411" s="85">
        <f>IF($E411="Fail",IF(ISNUMBER($H411),"Fixed","OPEN"),"")</f>
        <v/>
      </c>
    </row>
    <row r="412" spans="1:10">
      <c r="A412" s="52"/>
      <c r="B412" s="54"/>
      <c r="C412" s="54"/>
      <c r="D412" s="54"/>
      <c r="E412" s="51"/>
      <c r="F412" s="54"/>
      <c r="G412" s="54"/>
      <c r="H412" s="52"/>
      <c r="I412" s="54"/>
      <c r="J412" s="85">
        <f>IF($E412="Fail",IF(ISNUMBER($H412),"Fixed","OPEN"),"")</f>
        <v/>
      </c>
    </row>
    <row r="413" spans="1:10">
      <c r="A413" s="52"/>
      <c r="B413" s="54"/>
      <c r="C413" s="54"/>
      <c r="D413" s="54"/>
      <c r="E413" s="51"/>
      <c r="F413" s="54"/>
      <c r="G413" s="54"/>
      <c r="H413" s="52"/>
      <c r="I413" s="54"/>
      <c r="J413" s="85">
        <f>IF($E413="Fail",IF(ISNUMBER($H413),"Fixed","OPEN"),"")</f>
        <v/>
      </c>
    </row>
    <row r="414" spans="1:10">
      <c r="A414" s="52"/>
      <c r="B414" s="54"/>
      <c r="C414" s="54"/>
      <c r="D414" s="54"/>
      <c r="E414" s="51"/>
      <c r="F414" s="54"/>
      <c r="G414" s="54"/>
      <c r="H414" s="52"/>
      <c r="I414" s="54"/>
      <c r="J414" s="85">
        <f>IF($E414="Fail",IF(ISNUMBER($H414),"Fixed","OPEN"),"")</f>
        <v/>
      </c>
    </row>
    <row r="415" spans="1:10">
      <c r="A415" s="52"/>
      <c r="B415" s="54"/>
      <c r="C415" s="54"/>
      <c r="D415" s="54"/>
      <c r="E415" s="51"/>
      <c r="F415" s="54"/>
      <c r="G415" s="54"/>
      <c r="H415" s="52"/>
      <c r="I415" s="54"/>
      <c r="J415" s="85">
        <f>IF($E415="Fail",IF(ISNUMBER($H415),"Fixed","OPEN"),"")</f>
        <v/>
      </c>
    </row>
    <row r="416" spans="1:10">
      <c r="A416" s="52"/>
      <c r="B416" s="54"/>
      <c r="C416" s="54"/>
      <c r="D416" s="54"/>
      <c r="E416" s="51"/>
      <c r="F416" s="54"/>
      <c r="G416" s="54"/>
      <c r="H416" s="52"/>
      <c r="I416" s="54"/>
      <c r="J416" s="85">
        <f>IF($E416="Fail",IF(ISNUMBER($H416),"Fixed","OPEN"),"")</f>
        <v/>
      </c>
    </row>
    <row r="417" spans="1:10">
      <c r="A417" s="52"/>
      <c r="B417" s="54"/>
      <c r="C417" s="54"/>
      <c r="D417" s="54"/>
      <c r="E417" s="51"/>
      <c r="F417" s="54"/>
      <c r="G417" s="54"/>
      <c r="H417" s="52"/>
      <c r="I417" s="54"/>
      <c r="J417" s="85">
        <f>IF($E417="Fail",IF(ISNUMBER($H417),"Fixed","OPEN"),"")</f>
        <v/>
      </c>
    </row>
    <row r="418" spans="1:10">
      <c r="A418" s="52"/>
      <c r="B418" s="54"/>
      <c r="C418" s="54"/>
      <c r="D418" s="54"/>
      <c r="E418" s="51"/>
      <c r="F418" s="54"/>
      <c r="G418" s="54"/>
      <c r="H418" s="52"/>
      <c r="I418" s="54"/>
      <c r="J418" s="85">
        <f>IF($E418="Fail",IF(ISNUMBER($H418),"Fixed","OPEN"),"")</f>
        <v/>
      </c>
    </row>
    <row r="419" spans="1:10">
      <c r="A419" s="52"/>
      <c r="B419" s="54"/>
      <c r="C419" s="54"/>
      <c r="D419" s="54"/>
      <c r="E419" s="51"/>
      <c r="F419" s="54"/>
      <c r="G419" s="54"/>
      <c r="H419" s="52"/>
      <c r="I419" s="54"/>
      <c r="J419" s="85">
        <f>IF($E419="Fail",IF(ISNUMBER($H419),"Fixed","OPEN"),"")</f>
        <v/>
      </c>
    </row>
    <row r="420" spans="1:10">
      <c r="A420" s="52"/>
      <c r="B420" s="54"/>
      <c r="C420" s="54"/>
      <c r="D420" s="54"/>
      <c r="E420" s="51"/>
      <c r="F420" s="54"/>
      <c r="G420" s="54"/>
      <c r="H420" s="52"/>
      <c r="I420" s="54"/>
      <c r="J420" s="85">
        <f>IF($E420="Fail",IF(ISNUMBER($H420),"Fixed","OPEN"),"")</f>
        <v/>
      </c>
    </row>
    <row r="421" spans="1:10">
      <c r="A421" s="52"/>
      <c r="B421" s="54"/>
      <c r="C421" s="54"/>
      <c r="D421" s="54"/>
      <c r="E421" s="51"/>
      <c r="F421" s="54"/>
      <c r="G421" s="54"/>
      <c r="H421" s="52"/>
      <c r="I421" s="54"/>
      <c r="J421" s="85">
        <f>IF($E421="Fail",IF(ISNUMBER($H421),"Fixed","OPEN"),"")</f>
        <v/>
      </c>
    </row>
    <row r="422" spans="1:10">
      <c r="A422" s="52"/>
      <c r="B422" s="54"/>
      <c r="C422" s="54"/>
      <c r="D422" s="54"/>
      <c r="E422" s="51"/>
      <c r="F422" s="54"/>
      <c r="G422" s="54"/>
      <c r="H422" s="52"/>
      <c r="I422" s="54"/>
      <c r="J422" s="85">
        <f>IF($E422="Fail",IF(ISNUMBER($H422),"Fixed","OPEN"),"")</f>
        <v/>
      </c>
    </row>
    <row r="423" spans="1:10">
      <c r="A423" s="52"/>
      <c r="B423" s="54"/>
      <c r="C423" s="54"/>
      <c r="D423" s="54"/>
      <c r="E423" s="51"/>
      <c r="F423" s="54"/>
      <c r="G423" s="54"/>
      <c r="H423" s="52"/>
      <c r="I423" s="54"/>
      <c r="J423" s="85">
        <f>IF($E423="Fail",IF(ISNUMBER($H423),"Fixed","OPEN"),"")</f>
        <v/>
      </c>
    </row>
    <row r="424" spans="1:10">
      <c r="A424" s="52"/>
      <c r="B424" s="54"/>
      <c r="C424" s="54"/>
      <c r="D424" s="54"/>
      <c r="E424" s="51"/>
      <c r="F424" s="54"/>
      <c r="G424" s="54"/>
      <c r="H424" s="52"/>
      <c r="I424" s="54"/>
      <c r="J424" s="85">
        <f>IF($E424="Fail",IF(ISNUMBER($H424),"Fixed","OPEN"),"")</f>
        <v/>
      </c>
    </row>
    <row r="425" spans="1:10">
      <c r="A425" s="52"/>
      <c r="B425" s="54"/>
      <c r="C425" s="54"/>
      <c r="D425" s="54"/>
      <c r="E425" s="51"/>
      <c r="F425" s="54"/>
      <c r="G425" s="54"/>
      <c r="H425" s="52"/>
      <c r="I425" s="54"/>
      <c r="J425" s="85">
        <f>IF($E425="Fail",IF(ISNUMBER($H425),"Fixed","OPEN"),"")</f>
        <v/>
      </c>
    </row>
    <row r="426" spans="1:10">
      <c r="A426" s="52"/>
      <c r="B426" s="54"/>
      <c r="C426" s="54"/>
      <c r="D426" s="54"/>
      <c r="E426" s="51"/>
      <c r="F426" s="54"/>
      <c r="G426" s="54"/>
      <c r="H426" s="52"/>
      <c r="I426" s="54"/>
      <c r="J426" s="85">
        <f>IF($E426="Fail",IF(ISNUMBER($H426),"Fixed","OPEN"),"")</f>
        <v/>
      </c>
    </row>
    <row r="427" spans="1:10">
      <c r="A427" s="52"/>
      <c r="B427" s="54"/>
      <c r="C427" s="54"/>
      <c r="D427" s="54"/>
      <c r="E427" s="51"/>
      <c r="F427" s="54"/>
      <c r="G427" s="54"/>
      <c r="H427" s="52"/>
      <c r="I427" s="54"/>
      <c r="J427" s="85">
        <f>IF($E427="Fail",IF(ISNUMBER($H427),"Fixed","OPEN"),"")</f>
        <v/>
      </c>
    </row>
    <row r="428" spans="1:10">
      <c r="A428" s="52"/>
      <c r="B428" s="54"/>
      <c r="C428" s="54"/>
      <c r="D428" s="54"/>
      <c r="E428" s="51"/>
      <c r="F428" s="54"/>
      <c r="G428" s="54"/>
      <c r="H428" s="52"/>
      <c r="I428" s="54"/>
      <c r="J428" s="85">
        <f>IF($E428="Fail",IF(ISNUMBER($H428),"Fixed","OPEN"),"")</f>
        <v/>
      </c>
    </row>
    <row r="429" spans="1:10">
      <c r="A429" s="52"/>
      <c r="B429" s="54"/>
      <c r="C429" s="54"/>
      <c r="D429" s="54"/>
      <c r="E429" s="51"/>
      <c r="F429" s="54"/>
      <c r="G429" s="54"/>
      <c r="H429" s="52"/>
      <c r="I429" s="54"/>
      <c r="J429" s="85">
        <f>IF($E429="Fail",IF(ISNUMBER($H429),"Fixed","OPEN"),"")</f>
        <v/>
      </c>
    </row>
    <row r="430" spans="1:10">
      <c r="A430" s="52"/>
      <c r="B430" s="54"/>
      <c r="C430" s="54"/>
      <c r="D430" s="54"/>
      <c r="E430" s="51"/>
      <c r="F430" s="54"/>
      <c r="G430" s="54"/>
      <c r="H430" s="52"/>
      <c r="I430" s="54"/>
      <c r="J430" s="85">
        <f>IF($E430="Fail",IF(ISNUMBER($H430),"Fixed","OPEN"),"")</f>
        <v/>
      </c>
    </row>
    <row r="431" spans="1:10">
      <c r="A431" s="52"/>
      <c r="B431" s="54"/>
      <c r="C431" s="54"/>
      <c r="D431" s="54"/>
      <c r="E431" s="51"/>
      <c r="F431" s="54"/>
      <c r="G431" s="54"/>
      <c r="H431" s="52"/>
      <c r="I431" s="54"/>
      <c r="J431" s="85">
        <f>IF($E431="Fail",IF(ISNUMBER($H431),"Fixed","OPEN"),"")</f>
        <v/>
      </c>
    </row>
    <row r="432" spans="1:10">
      <c r="A432" s="52"/>
      <c r="B432" s="54"/>
      <c r="C432" s="54"/>
      <c r="D432" s="54"/>
      <c r="E432" s="51"/>
      <c r="F432" s="54"/>
      <c r="G432" s="54"/>
      <c r="H432" s="52"/>
      <c r="I432" s="54"/>
      <c r="J432" s="85">
        <f>IF($E432="Fail",IF(ISNUMBER($H432),"Fixed","OPEN"),"")</f>
        <v/>
      </c>
    </row>
    <row r="433" spans="1:10">
      <c r="A433" s="52"/>
      <c r="B433" s="54"/>
      <c r="C433" s="54"/>
      <c r="D433" s="54"/>
      <c r="E433" s="51"/>
      <c r="F433" s="54"/>
      <c r="G433" s="54"/>
      <c r="H433" s="52"/>
      <c r="I433" s="54"/>
      <c r="J433" s="85">
        <f>IF($E433="Fail",IF(ISNUMBER($H433),"Fixed","OPEN"),"")</f>
        <v/>
      </c>
    </row>
    <row r="434" spans="1:10">
      <c r="A434" s="52"/>
      <c r="B434" s="54"/>
      <c r="C434" s="54"/>
      <c r="D434" s="54"/>
      <c r="E434" s="51"/>
      <c r="F434" s="54"/>
      <c r="G434" s="54"/>
      <c r="H434" s="52"/>
      <c r="I434" s="54"/>
      <c r="J434" s="85">
        <f>IF($E434="Fail",IF(ISNUMBER($H434),"Fixed","OPEN"),"")</f>
        <v/>
      </c>
    </row>
    <row r="435" spans="1:10">
      <c r="A435" s="52"/>
      <c r="B435" s="54"/>
      <c r="C435" s="54"/>
      <c r="D435" s="54"/>
      <c r="E435" s="51"/>
      <c r="F435" s="54"/>
      <c r="G435" s="54"/>
      <c r="H435" s="52"/>
      <c r="I435" s="54"/>
      <c r="J435" s="85">
        <f>IF($E435="Fail",IF(ISNUMBER($H435),"Fixed","OPEN"),"")</f>
        <v/>
      </c>
    </row>
    <row r="436" spans="1:10">
      <c r="A436" s="52"/>
      <c r="B436" s="54"/>
      <c r="C436" s="54"/>
      <c r="D436" s="54"/>
      <c r="E436" s="51"/>
      <c r="F436" s="54"/>
      <c r="G436" s="54"/>
      <c r="H436" s="52"/>
      <c r="I436" s="54"/>
      <c r="J436" s="85">
        <f>IF($E436="Fail",IF(ISNUMBER($H436),"Fixed","OPEN"),"")</f>
        <v/>
      </c>
    </row>
    <row r="437" spans="1:10">
      <c r="A437" s="52"/>
      <c r="B437" s="54"/>
      <c r="C437" s="54"/>
      <c r="D437" s="54"/>
      <c r="E437" s="51"/>
      <c r="F437" s="54"/>
      <c r="G437" s="54"/>
      <c r="H437" s="52"/>
      <c r="I437" s="54"/>
      <c r="J437" s="85">
        <f>IF($E437="Fail",IF(ISNUMBER($H437),"Fixed","OPEN"),"")</f>
        <v/>
      </c>
    </row>
    <row r="438" spans="1:10">
      <c r="A438" s="52"/>
      <c r="B438" s="54"/>
      <c r="C438" s="54"/>
      <c r="D438" s="54"/>
      <c r="E438" s="51"/>
      <c r="F438" s="54"/>
      <c r="G438" s="54"/>
      <c r="H438" s="52"/>
      <c r="I438" s="54"/>
      <c r="J438" s="85">
        <f>IF($E438="Fail",IF(ISNUMBER($H438),"Fixed","OPEN"),"")</f>
        <v/>
      </c>
    </row>
    <row r="439" spans="1:10">
      <c r="A439" s="52"/>
      <c r="B439" s="54"/>
      <c r="C439" s="54"/>
      <c r="D439" s="54"/>
      <c r="E439" s="51"/>
      <c r="F439" s="54"/>
      <c r="G439" s="54"/>
      <c r="H439" s="52"/>
      <c r="I439" s="54"/>
      <c r="J439" s="85">
        <f>IF($E439="Fail",IF(ISNUMBER($H439),"Fixed","OPEN"),"")</f>
        <v/>
      </c>
    </row>
    <row r="440" spans="1:10">
      <c r="A440" s="52"/>
      <c r="B440" s="54"/>
      <c r="C440" s="54"/>
      <c r="D440" s="54"/>
      <c r="E440" s="51"/>
      <c r="F440" s="54"/>
      <c r="G440" s="54"/>
      <c r="H440" s="52"/>
      <c r="I440" s="54"/>
      <c r="J440" s="85">
        <f>IF($E440="Fail",IF(ISNUMBER($H440),"Fixed","OPEN"),"")</f>
        <v/>
      </c>
    </row>
    <row r="441" spans="1:10">
      <c r="A441" s="52"/>
      <c r="B441" s="54"/>
      <c r="C441" s="54"/>
      <c r="D441" s="54"/>
      <c r="E441" s="51"/>
      <c r="F441" s="54"/>
      <c r="G441" s="54"/>
      <c r="H441" s="52"/>
      <c r="I441" s="54"/>
      <c r="J441" s="85">
        <f>IF($E441="Fail",IF(ISNUMBER($H441),"Fixed","OPEN"),"")</f>
        <v/>
      </c>
    </row>
    <row r="442" spans="1:10">
      <c r="A442" s="52"/>
      <c r="B442" s="54"/>
      <c r="C442" s="54"/>
      <c r="D442" s="54"/>
      <c r="E442" s="51"/>
      <c r="F442" s="54"/>
      <c r="G442" s="54"/>
      <c r="H442" s="52"/>
      <c r="I442" s="54"/>
      <c r="J442" s="85">
        <f>IF($E442="Fail",IF(ISNUMBER($H442),"Fixed","OPEN"),"")</f>
        <v/>
      </c>
    </row>
    <row r="443" spans="1:10">
      <c r="A443" s="52"/>
      <c r="B443" s="54"/>
      <c r="C443" s="54"/>
      <c r="D443" s="54"/>
      <c r="E443" s="51"/>
      <c r="F443" s="54"/>
      <c r="G443" s="54"/>
      <c r="H443" s="52"/>
      <c r="I443" s="54"/>
      <c r="J443" s="85">
        <f>IF($E443="Fail",IF(ISNUMBER($H443),"Fixed","OPEN"),"")</f>
        <v/>
      </c>
    </row>
    <row r="444" spans="1:10">
      <c r="A444" s="52"/>
      <c r="B444" s="54"/>
      <c r="C444" s="54"/>
      <c r="D444" s="54"/>
      <c r="E444" s="51"/>
      <c r="F444" s="54"/>
      <c r="G444" s="54"/>
      <c r="H444" s="52"/>
      <c r="I444" s="54"/>
      <c r="J444" s="85">
        <f>IF($E444="Fail",IF(ISNUMBER($H444),"Fixed","OPEN"),"")</f>
        <v/>
      </c>
    </row>
    <row r="445" spans="1:10">
      <c r="A445" s="52"/>
      <c r="B445" s="54"/>
      <c r="C445" s="54"/>
      <c r="D445" s="54"/>
      <c r="E445" s="51"/>
      <c r="F445" s="54"/>
      <c r="G445" s="54"/>
      <c r="H445" s="52"/>
      <c r="I445" s="54"/>
      <c r="J445" s="85">
        <f>IF($E445="Fail",IF(ISNUMBER($H445),"Fixed","OPEN"),"")</f>
        <v/>
      </c>
    </row>
    <row r="446" spans="1:10">
      <c r="A446" s="52"/>
      <c r="B446" s="54"/>
      <c r="C446" s="54"/>
      <c r="D446" s="54"/>
      <c r="E446" s="51"/>
      <c r="F446" s="54"/>
      <c r="G446" s="54"/>
      <c r="H446" s="52"/>
      <c r="I446" s="54"/>
      <c r="J446" s="85">
        <f>IF($E446="Fail",IF(ISNUMBER($H446),"Fixed","OPEN"),"")</f>
        <v/>
      </c>
    </row>
    <row r="447" spans="1:10">
      <c r="A447" s="52"/>
      <c r="B447" s="54"/>
      <c r="C447" s="54"/>
      <c r="D447" s="54"/>
      <c r="E447" s="51"/>
      <c r="F447" s="54"/>
      <c r="G447" s="54"/>
      <c r="H447" s="52"/>
      <c r="I447" s="54"/>
      <c r="J447" s="85">
        <f>IF($E447="Fail",IF(ISNUMBER($H447),"Fixed","OPEN"),"")</f>
        <v/>
      </c>
    </row>
    <row r="448" spans="1:10">
      <c r="A448" s="52"/>
      <c r="B448" s="54"/>
      <c r="C448" s="54"/>
      <c r="D448" s="54"/>
      <c r="E448" s="51"/>
      <c r="F448" s="54"/>
      <c r="G448" s="54"/>
      <c r="H448" s="52"/>
      <c r="I448" s="54"/>
      <c r="J448" s="85">
        <f>IF($E448="Fail",IF(ISNUMBER($H448),"Fixed","OPEN"),"")</f>
        <v/>
      </c>
    </row>
    <row r="449" spans="1:10">
      <c r="A449" s="52"/>
      <c r="B449" s="54"/>
      <c r="C449" s="54"/>
      <c r="D449" s="54"/>
      <c r="E449" s="51"/>
      <c r="F449" s="54"/>
      <c r="G449" s="54"/>
      <c r="H449" s="52"/>
      <c r="I449" s="54"/>
      <c r="J449" s="85">
        <f>IF($E449="Fail",IF(ISNUMBER($H449),"Fixed","OPEN"),"")</f>
        <v/>
      </c>
    </row>
    <row r="450" spans="1:10">
      <c r="A450" s="52"/>
      <c r="B450" s="54"/>
      <c r="C450" s="54"/>
      <c r="D450" s="54"/>
      <c r="E450" s="51"/>
      <c r="F450" s="54"/>
      <c r="G450" s="54"/>
      <c r="H450" s="52"/>
      <c r="I450" s="54"/>
      <c r="J450" s="85">
        <f>IF($E450="Fail",IF(ISNUMBER($H450),"Fixed","OPEN"),"")</f>
        <v/>
      </c>
    </row>
    <row r="451" spans="1:10">
      <c r="A451" s="52"/>
      <c r="B451" s="54"/>
      <c r="C451" s="54"/>
      <c r="D451" s="54"/>
      <c r="E451" s="51"/>
      <c r="F451" s="54"/>
      <c r="G451" s="54"/>
      <c r="H451" s="52"/>
      <c r="I451" s="54"/>
      <c r="J451" s="85">
        <f>IF($E451="Fail",IF(ISNUMBER($H451),"Fixed","OPEN"),"")</f>
        <v/>
      </c>
    </row>
    <row r="452" spans="1:10">
      <c r="A452" s="52"/>
      <c r="B452" s="54"/>
      <c r="C452" s="54"/>
      <c r="D452" s="54"/>
      <c r="E452" s="51"/>
      <c r="F452" s="54"/>
      <c r="G452" s="54"/>
      <c r="H452" s="52"/>
      <c r="I452" s="54"/>
      <c r="J452" s="85">
        <f>IF($E452="Fail",IF(ISNUMBER($H452),"Fixed","OPEN"),"")</f>
        <v/>
      </c>
    </row>
    <row r="453" spans="1:10">
      <c r="A453" s="52"/>
      <c r="B453" s="54"/>
      <c r="C453" s="54"/>
      <c r="D453" s="54"/>
      <c r="E453" s="51"/>
      <c r="F453" s="54"/>
      <c r="G453" s="54"/>
      <c r="H453" s="52"/>
      <c r="I453" s="54"/>
      <c r="J453" s="85">
        <f>IF($E453="Fail",IF(ISNUMBER($H453),"Fixed","OPEN"),"")</f>
        <v/>
      </c>
    </row>
    <row r="454" spans="1:10">
      <c r="A454" s="52"/>
      <c r="B454" s="54"/>
      <c r="C454" s="54"/>
      <c r="D454" s="54"/>
      <c r="E454" s="51"/>
      <c r="F454" s="54"/>
      <c r="G454" s="54"/>
      <c r="H454" s="52"/>
      <c r="I454" s="54"/>
      <c r="J454" s="85">
        <f>IF($E454="Fail",IF(ISNUMBER($H454),"Fixed","OPEN"),"")</f>
        <v/>
      </c>
    </row>
    <row r="455" spans="1:10">
      <c r="A455" s="52"/>
      <c r="B455" s="54"/>
      <c r="C455" s="54"/>
      <c r="D455" s="54"/>
      <c r="E455" s="51"/>
      <c r="F455" s="54"/>
      <c r="G455" s="54"/>
      <c r="H455" s="52"/>
      <c r="I455" s="54"/>
      <c r="J455" s="85">
        <f>IF($E455="Fail",IF(ISNUMBER($H455),"Fixed","OPEN"),"")</f>
        <v/>
      </c>
    </row>
    <row r="456" spans="1:10">
      <c r="A456" s="52"/>
      <c r="B456" s="54"/>
      <c r="C456" s="54"/>
      <c r="D456" s="54"/>
      <c r="E456" s="51"/>
      <c r="F456" s="54"/>
      <c r="G456" s="54"/>
      <c r="H456" s="52"/>
      <c r="I456" s="54"/>
      <c r="J456" s="85">
        <f>IF($E456="Fail",IF(ISNUMBER($H456),"Fixed","OPEN"),"")</f>
        <v/>
      </c>
    </row>
    <row r="457" spans="1:10">
      <c r="A457" s="52"/>
      <c r="B457" s="54"/>
      <c r="C457" s="54"/>
      <c r="D457" s="54"/>
      <c r="E457" s="51"/>
      <c r="F457" s="54"/>
      <c r="G457" s="54"/>
      <c r="H457" s="52"/>
      <c r="I457" s="54"/>
      <c r="J457" s="85">
        <f>IF($E457="Fail",IF(ISNUMBER($H457),"Fixed","OPEN"),"")</f>
        <v/>
      </c>
    </row>
    <row r="458" spans="1:10">
      <c r="A458" s="52"/>
      <c r="B458" s="54"/>
      <c r="C458" s="54"/>
      <c r="D458" s="54"/>
      <c r="E458" s="51"/>
      <c r="F458" s="54"/>
      <c r="G458" s="54"/>
      <c r="H458" s="52"/>
      <c r="I458" s="54"/>
      <c r="J458" s="85">
        <f>IF($E458="Fail",IF(ISNUMBER($H458),"Fixed","OPEN"),"")</f>
        <v/>
      </c>
    </row>
    <row r="459" spans="1:10">
      <c r="A459" s="52"/>
      <c r="B459" s="54"/>
      <c r="C459" s="54"/>
      <c r="D459" s="54"/>
      <c r="E459" s="51"/>
      <c r="F459" s="54"/>
      <c r="G459" s="54"/>
      <c r="H459" s="52"/>
      <c r="I459" s="54"/>
      <c r="J459" s="85">
        <f>IF($E459="Fail",IF(ISNUMBER($H459),"Fixed","OPEN"),"")</f>
        <v/>
      </c>
    </row>
    <row r="460" spans="1:10">
      <c r="A460" s="52"/>
      <c r="B460" s="54"/>
      <c r="C460" s="54"/>
      <c r="D460" s="54"/>
      <c r="E460" s="51"/>
      <c r="F460" s="54"/>
      <c r="G460" s="54"/>
      <c r="H460" s="52"/>
      <c r="I460" s="54"/>
      <c r="J460" s="85">
        <f>IF($E460="Fail",IF(ISNUMBER($H460),"Fixed","OPEN"),"")</f>
        <v/>
      </c>
    </row>
    <row r="461" spans="1:10">
      <c r="A461" s="52"/>
      <c r="B461" s="54"/>
      <c r="C461" s="54"/>
      <c r="D461" s="54"/>
      <c r="E461" s="51"/>
      <c r="F461" s="54"/>
      <c r="G461" s="54"/>
      <c r="H461" s="52"/>
      <c r="I461" s="54"/>
      <c r="J461" s="85">
        <f>IF($E461="Fail",IF(ISNUMBER($H461),"Fixed","OPEN"),"")</f>
        <v/>
      </c>
    </row>
    <row r="462" spans="1:10">
      <c r="A462" s="52"/>
      <c r="B462" s="54"/>
      <c r="C462" s="54"/>
      <c r="D462" s="54"/>
      <c r="E462" s="51"/>
      <c r="F462" s="54"/>
      <c r="G462" s="54"/>
      <c r="H462" s="52"/>
      <c r="I462" s="54"/>
      <c r="J462" s="85">
        <f>IF($E462="Fail",IF(ISNUMBER($H462),"Fixed","OPEN"),"")</f>
        <v/>
      </c>
    </row>
    <row r="463" spans="1:10">
      <c r="A463" s="52"/>
      <c r="B463" s="54"/>
      <c r="C463" s="54"/>
      <c r="D463" s="54"/>
      <c r="E463" s="51"/>
      <c r="F463" s="54"/>
      <c r="G463" s="54"/>
      <c r="H463" s="52"/>
      <c r="I463" s="54"/>
      <c r="J463" s="85">
        <f>IF($E463="Fail",IF(ISNUMBER($H463),"Fixed","OPEN"),"")</f>
        <v/>
      </c>
    </row>
    <row r="464" spans="1:10">
      <c r="A464" s="52"/>
      <c r="B464" s="54"/>
      <c r="C464" s="54"/>
      <c r="D464" s="54"/>
      <c r="E464" s="51"/>
      <c r="F464" s="54"/>
      <c r="G464" s="54"/>
      <c r="H464" s="52"/>
      <c r="I464" s="54"/>
      <c r="J464" s="85">
        <f>IF($E464="Fail",IF(ISNUMBER($H464),"Fixed","OPEN"),"")</f>
        <v/>
      </c>
    </row>
    <row r="465" spans="1:10">
      <c r="A465" s="52"/>
      <c r="B465" s="54"/>
      <c r="C465" s="54"/>
      <c r="D465" s="54"/>
      <c r="E465" s="51"/>
      <c r="F465" s="54"/>
      <c r="G465" s="54"/>
      <c r="H465" s="52"/>
      <c r="I465" s="54"/>
      <c r="J465" s="85">
        <f>IF($E465="Fail",IF(ISNUMBER($H465),"Fixed","OPEN"),"")</f>
        <v/>
      </c>
    </row>
    <row r="466" spans="1:10">
      <c r="A466" s="52"/>
      <c r="B466" s="54"/>
      <c r="C466" s="54"/>
      <c r="D466" s="54"/>
      <c r="E466" s="51"/>
      <c r="F466" s="54"/>
      <c r="G466" s="54"/>
      <c r="H466" s="52"/>
      <c r="I466" s="54"/>
      <c r="J466" s="85">
        <f>IF($E466="Fail",IF(ISNUMBER($H466),"Fixed","OPEN"),"")</f>
        <v/>
      </c>
    </row>
    <row r="467" spans="1:10">
      <c r="A467" s="52"/>
      <c r="B467" s="54"/>
      <c r="C467" s="54"/>
      <c r="D467" s="54"/>
      <c r="E467" s="51"/>
      <c r="F467" s="54"/>
      <c r="G467" s="54"/>
      <c r="H467" s="52"/>
      <c r="I467" s="54"/>
      <c r="J467" s="85">
        <f>IF($E467="Fail",IF(ISNUMBER($H467),"Fixed","OPEN"),"")</f>
        <v/>
      </c>
    </row>
    <row r="468" spans="1:10">
      <c r="A468" s="52"/>
      <c r="B468" s="54"/>
      <c r="C468" s="54"/>
      <c r="D468" s="54"/>
      <c r="E468" s="51"/>
      <c r="F468" s="54"/>
      <c r="G468" s="54"/>
      <c r="H468" s="52"/>
      <c r="I468" s="54"/>
      <c r="J468" s="85">
        <f>IF($E468="Fail",IF(ISNUMBER($H468),"Fixed","OPEN"),"")</f>
        <v/>
      </c>
    </row>
    <row r="469" spans="1:10">
      <c r="A469" s="52"/>
      <c r="B469" s="54"/>
      <c r="C469" s="54"/>
      <c r="D469" s="54"/>
      <c r="E469" s="51"/>
      <c r="F469" s="54"/>
      <c r="G469" s="54"/>
      <c r="H469" s="52"/>
      <c r="I469" s="54"/>
      <c r="J469" s="85">
        <f>IF($E469="Fail",IF(ISNUMBER($H469),"Fixed","OPEN"),"")</f>
        <v/>
      </c>
    </row>
    <row r="470" spans="1:10">
      <c r="A470" s="52"/>
      <c r="B470" s="54"/>
      <c r="C470" s="54"/>
      <c r="D470" s="54"/>
      <c r="E470" s="51"/>
      <c r="F470" s="54"/>
      <c r="G470" s="54"/>
      <c r="H470" s="52"/>
      <c r="I470" s="54"/>
      <c r="J470" s="85">
        <f>IF($E470="Fail",IF(ISNUMBER($H470),"Fixed","OPEN"),"")</f>
        <v/>
      </c>
    </row>
    <row r="471" spans="1:10">
      <c r="A471" s="52"/>
      <c r="B471" s="54"/>
      <c r="C471" s="54"/>
      <c r="D471" s="54"/>
      <c r="E471" s="51"/>
      <c r="F471" s="54"/>
      <c r="G471" s="54"/>
      <c r="H471" s="52"/>
      <c r="I471" s="54"/>
      <c r="J471" s="85">
        <f>IF($E471="Fail",IF(ISNUMBER($H471),"Fixed","OPEN"),"")</f>
        <v/>
      </c>
    </row>
    <row r="472" spans="1:10">
      <c r="A472" s="52"/>
      <c r="B472" s="54"/>
      <c r="C472" s="54"/>
      <c r="D472" s="54"/>
      <c r="E472" s="51"/>
      <c r="F472" s="54"/>
      <c r="G472" s="54"/>
      <c r="H472" s="52"/>
      <c r="I472" s="54"/>
      <c r="J472" s="85">
        <f>IF($E472="Fail",IF(ISNUMBER($H472),"Fixed","OPEN"),"")</f>
        <v/>
      </c>
    </row>
    <row r="473" spans="1:10">
      <c r="A473" s="52"/>
      <c r="B473" s="54"/>
      <c r="C473" s="54"/>
      <c r="D473" s="54"/>
      <c r="E473" s="51"/>
      <c r="F473" s="54"/>
      <c r="G473" s="54"/>
      <c r="H473" s="52"/>
      <c r="I473" s="54"/>
      <c r="J473" s="85">
        <f>IF($E473="Fail",IF(ISNUMBER($H473),"Fixed","OPEN"),"")</f>
        <v/>
      </c>
    </row>
    <row r="474" spans="1:10">
      <c r="A474" s="52"/>
      <c r="B474" s="54"/>
      <c r="C474" s="54"/>
      <c r="D474" s="54"/>
      <c r="E474" s="51"/>
      <c r="F474" s="54"/>
      <c r="G474" s="54"/>
      <c r="H474" s="52"/>
      <c r="I474" s="54"/>
      <c r="J474" s="85">
        <f>IF($E474="Fail",IF(ISNUMBER($H474),"Fixed","OPEN"),"")</f>
        <v/>
      </c>
    </row>
    <row r="475" spans="1:10">
      <c r="A475" s="52"/>
      <c r="B475" s="54"/>
      <c r="C475" s="54"/>
      <c r="D475" s="54"/>
      <c r="E475" s="51"/>
      <c r="F475" s="54"/>
      <c r="G475" s="54"/>
      <c r="H475" s="52"/>
      <c r="I475" s="54"/>
      <c r="J475" s="85">
        <f>IF($E475="Fail",IF(ISNUMBER($H475),"Fixed","OPEN"),"")</f>
        <v/>
      </c>
    </row>
    <row r="476" spans="1:10">
      <c r="A476" s="52"/>
      <c r="B476" s="54"/>
      <c r="C476" s="54"/>
      <c r="D476" s="54"/>
      <c r="E476" s="51"/>
      <c r="F476" s="54"/>
      <c r="G476" s="54"/>
      <c r="H476" s="52"/>
      <c r="I476" s="54"/>
      <c r="J476" s="85">
        <f>IF($E476="Fail",IF(ISNUMBER($H476),"Fixed","OPEN"),"")</f>
        <v/>
      </c>
    </row>
    <row r="477" spans="1:10">
      <c r="A477" s="52"/>
      <c r="B477" s="54"/>
      <c r="C477" s="54"/>
      <c r="D477" s="54"/>
      <c r="E477" s="51"/>
      <c r="F477" s="54"/>
      <c r="G477" s="54"/>
      <c r="H477" s="52"/>
      <c r="I477" s="54"/>
      <c r="J477" s="85">
        <f>IF($E477="Fail",IF(ISNUMBER($H477),"Fixed","OPEN"),"")</f>
        <v/>
      </c>
    </row>
    <row r="478" spans="1:10">
      <c r="A478" s="52"/>
      <c r="B478" s="54"/>
      <c r="C478" s="54"/>
      <c r="D478" s="54"/>
      <c r="E478" s="51"/>
      <c r="F478" s="54"/>
      <c r="G478" s="54"/>
      <c r="H478" s="52"/>
      <c r="I478" s="54"/>
      <c r="J478" s="85">
        <f>IF($E478="Fail",IF(ISNUMBER($H478),"Fixed","OPEN"),"")</f>
        <v/>
      </c>
    </row>
    <row r="479" spans="1:10">
      <c r="A479" s="52"/>
      <c r="B479" s="54"/>
      <c r="C479" s="54"/>
      <c r="D479" s="54"/>
      <c r="E479" s="51"/>
      <c r="F479" s="54"/>
      <c r="G479" s="54"/>
      <c r="H479" s="52"/>
      <c r="I479" s="54"/>
      <c r="J479" s="85">
        <f>IF($E479="Fail",IF(ISNUMBER($H479),"Fixed","OPEN"),"")</f>
        <v/>
      </c>
    </row>
    <row r="480" spans="1:10">
      <c r="A480" s="52"/>
      <c r="B480" s="54"/>
      <c r="C480" s="54"/>
      <c r="D480" s="54"/>
      <c r="E480" s="51"/>
      <c r="F480" s="54"/>
      <c r="G480" s="54"/>
      <c r="H480" s="52"/>
      <c r="I480" s="54"/>
      <c r="J480" s="85">
        <f>IF($E480="Fail",IF(ISNUMBER($H480),"Fixed","OPEN"),"")</f>
        <v/>
      </c>
    </row>
    <row r="481" spans="1:10">
      <c r="A481" s="52"/>
      <c r="B481" s="54"/>
      <c r="C481" s="54"/>
      <c r="D481" s="54"/>
      <c r="E481" s="51"/>
      <c r="F481" s="54"/>
      <c r="G481" s="54"/>
      <c r="H481" s="52"/>
      <c r="I481" s="54"/>
      <c r="J481" s="85">
        <f>IF($E481="Fail",IF(ISNUMBER($H481),"Fixed","OPEN"),"")</f>
        <v/>
      </c>
    </row>
    <row r="482" spans="1:10">
      <c r="A482" s="52"/>
      <c r="B482" s="54"/>
      <c r="C482" s="54"/>
      <c r="D482" s="54"/>
      <c r="E482" s="51"/>
      <c r="F482" s="54"/>
      <c r="G482" s="54"/>
      <c r="H482" s="52"/>
      <c r="I482" s="54"/>
      <c r="J482" s="85">
        <f>IF($E482="Fail",IF(ISNUMBER($H482),"Fixed","OPEN"),"")</f>
        <v/>
      </c>
    </row>
    <row r="483" spans="1:10">
      <c r="A483" s="52"/>
      <c r="B483" s="54"/>
      <c r="C483" s="54"/>
      <c r="D483" s="54"/>
      <c r="E483" s="51"/>
      <c r="F483" s="54"/>
      <c r="G483" s="54"/>
      <c r="H483" s="52"/>
      <c r="I483" s="54"/>
      <c r="J483" s="85">
        <f>IF($E483="Fail",IF(ISNUMBER($H483),"Fixed","OPEN"),"")</f>
        <v/>
      </c>
    </row>
    <row r="484" spans="1:10">
      <c r="A484" s="52"/>
      <c r="B484" s="54"/>
      <c r="C484" s="54"/>
      <c r="D484" s="54"/>
      <c r="E484" s="51"/>
      <c r="F484" s="54"/>
      <c r="G484" s="54"/>
      <c r="H484" s="52"/>
      <c r="I484" s="54"/>
      <c r="J484" s="85">
        <f>IF($E484="Fail",IF(ISNUMBER($H484),"Fixed","OPEN"),"")</f>
        <v/>
      </c>
    </row>
    <row r="485" spans="1:10">
      <c r="A485" s="52"/>
      <c r="B485" s="54"/>
      <c r="C485" s="54"/>
      <c r="D485" s="54"/>
      <c r="E485" s="51"/>
      <c r="F485" s="54"/>
      <c r="G485" s="54"/>
      <c r="H485" s="52"/>
      <c r="I485" s="54"/>
      <c r="J485" s="85">
        <f>IF($E485="Fail",IF(ISNUMBER($H485),"Fixed","OPEN"),"")</f>
        <v/>
      </c>
    </row>
    <row r="486" spans="1:10">
      <c r="A486" s="52"/>
      <c r="B486" s="54"/>
      <c r="C486" s="54"/>
      <c r="D486" s="54"/>
      <c r="E486" s="51"/>
      <c r="F486" s="54"/>
      <c r="G486" s="54"/>
      <c r="H486" s="52"/>
      <c r="I486" s="54"/>
      <c r="J486" s="85">
        <f>IF($E486="Fail",IF(ISNUMBER($H486),"Fixed","OPEN"),"")</f>
        <v/>
      </c>
    </row>
    <row r="487" spans="1:10">
      <c r="A487" s="52"/>
      <c r="B487" s="54"/>
      <c r="C487" s="54"/>
      <c r="D487" s="54"/>
      <c r="E487" s="51"/>
      <c r="F487" s="54"/>
      <c r="G487" s="54"/>
      <c r="H487" s="52"/>
      <c r="I487" s="54"/>
      <c r="J487" s="85">
        <f>IF($E487="Fail",IF(ISNUMBER($H487),"Fixed","OPEN"),"")</f>
        <v/>
      </c>
    </row>
    <row r="488" spans="1:10">
      <c r="A488" s="52"/>
      <c r="B488" s="54"/>
      <c r="C488" s="54"/>
      <c r="D488" s="54"/>
      <c r="E488" s="51"/>
      <c r="F488" s="54"/>
      <c r="G488" s="54"/>
      <c r="H488" s="52"/>
      <c r="I488" s="54"/>
      <c r="J488" s="85">
        <f>IF($E488="Fail",IF(ISNUMBER($H488),"Fixed","OPEN"),"")</f>
        <v/>
      </c>
    </row>
    <row r="489" spans="1:10">
      <c r="A489" s="52"/>
      <c r="B489" s="54"/>
      <c r="C489" s="54"/>
      <c r="D489" s="54"/>
      <c r="E489" s="51"/>
      <c r="F489" s="54"/>
      <c r="G489" s="54"/>
      <c r="H489" s="52"/>
      <c r="I489" s="54"/>
      <c r="J489" s="85">
        <f>IF($E489="Fail",IF(ISNUMBER($H489),"Fixed","OPEN"),"")</f>
        <v/>
      </c>
    </row>
    <row r="490" spans="1:10">
      <c r="A490" s="52"/>
      <c r="B490" s="54"/>
      <c r="C490" s="54"/>
      <c r="D490" s="54"/>
      <c r="E490" s="51"/>
      <c r="F490" s="54"/>
      <c r="G490" s="54"/>
      <c r="H490" s="52"/>
      <c r="I490" s="54"/>
      <c r="J490" s="85">
        <f>IF($E490="Fail",IF(ISNUMBER($H490),"Fixed","OPEN"),"")</f>
        <v/>
      </c>
    </row>
    <row r="491" spans="1:10">
      <c r="A491" s="52"/>
      <c r="B491" s="54"/>
      <c r="C491" s="54"/>
      <c r="D491" s="54"/>
      <c r="E491" s="51"/>
      <c r="F491" s="54"/>
      <c r="G491" s="54"/>
      <c r="H491" s="52"/>
      <c r="I491" s="54"/>
      <c r="J491" s="85">
        <f>IF($E491="Fail",IF(ISNUMBER($H491),"Fixed","OPEN"),"")</f>
        <v/>
      </c>
    </row>
    <row r="492" spans="1:10">
      <c r="A492" s="52"/>
      <c r="B492" s="54"/>
      <c r="C492" s="54"/>
      <c r="D492" s="54"/>
      <c r="E492" s="51"/>
      <c r="F492" s="54"/>
      <c r="G492" s="54"/>
      <c r="H492" s="52"/>
      <c r="I492" s="54"/>
      <c r="J492" s="85">
        <f>IF($E492="Fail",IF(ISNUMBER($H492),"Fixed","OPEN"),"")</f>
        <v/>
      </c>
    </row>
    <row r="493" spans="1:10">
      <c r="A493" s="52"/>
      <c r="B493" s="54"/>
      <c r="C493" s="54"/>
      <c r="D493" s="54"/>
      <c r="E493" s="51"/>
      <c r="F493" s="54"/>
      <c r="G493" s="54"/>
      <c r="H493" s="52"/>
      <c r="I493" s="54"/>
      <c r="J493" s="85">
        <f>IF($E493="Fail",IF(ISNUMBER($H493),"Fixed","OPEN"),"")</f>
        <v/>
      </c>
    </row>
    <row r="494" spans="1:10">
      <c r="A494" s="52"/>
      <c r="B494" s="54"/>
      <c r="C494" s="54"/>
      <c r="D494" s="54"/>
      <c r="E494" s="51"/>
      <c r="F494" s="54"/>
      <c r="G494" s="54"/>
      <c r="H494" s="52"/>
      <c r="I494" s="54"/>
      <c r="J494" s="85">
        <f>IF($E494="Fail",IF(ISNUMBER($H494),"Fixed","OPEN"),"")</f>
        <v/>
      </c>
    </row>
    <row r="495" spans="1:10">
      <c r="A495" s="52"/>
      <c r="B495" s="54"/>
      <c r="C495" s="54"/>
      <c r="D495" s="54"/>
      <c r="E495" s="51"/>
      <c r="F495" s="54"/>
      <c r="G495" s="54"/>
      <c r="H495" s="52"/>
      <c r="I495" s="54"/>
      <c r="J495" s="85">
        <f>IF($E495="Fail",IF(ISNUMBER($H495),"Fixed","OPEN"),"")</f>
        <v/>
      </c>
    </row>
    <row r="496" spans="1:10">
      <c r="A496" s="52"/>
      <c r="B496" s="54"/>
      <c r="C496" s="54"/>
      <c r="D496" s="54"/>
      <c r="E496" s="51"/>
      <c r="F496" s="54"/>
      <c r="G496" s="54"/>
      <c r="H496" s="52"/>
      <c r="I496" s="54"/>
      <c r="J496" s="85">
        <f>IF($E496="Fail",IF(ISNUMBER($H496),"Fixed","OPEN"),"")</f>
        <v/>
      </c>
    </row>
    <row r="497" spans="1:10">
      <c r="A497" s="52"/>
      <c r="B497" s="54"/>
      <c r="C497" s="54"/>
      <c r="D497" s="54"/>
      <c r="E497" s="51"/>
      <c r="F497" s="54"/>
      <c r="G497" s="54"/>
      <c r="H497" s="52"/>
      <c r="I497" s="54"/>
      <c r="J497" s="85">
        <f>IF($E497="Fail",IF(ISNUMBER($H497),"Fixed","OPEN"),"")</f>
        <v/>
      </c>
    </row>
    <row r="498" spans="1:10">
      <c r="A498" s="52"/>
      <c r="B498" s="54"/>
      <c r="C498" s="54"/>
      <c r="D498" s="54"/>
      <c r="E498" s="51"/>
      <c r="F498" s="54"/>
      <c r="G498" s="54"/>
      <c r="H498" s="52"/>
      <c r="I498" s="54"/>
      <c r="J498" s="85">
        <f>IF($E498="Fail",IF(ISNUMBER($H498),"Fixed","OPEN"),"")</f>
        <v/>
      </c>
    </row>
    <row r="499" spans="1:10">
      <c r="A499" s="52"/>
      <c r="B499" s="54"/>
      <c r="C499" s="54"/>
      <c r="D499" s="54"/>
      <c r="E499" s="51"/>
      <c r="F499" s="54"/>
      <c r="G499" s="54"/>
      <c r="H499" s="52"/>
      <c r="I499" s="54"/>
      <c r="J499" s="85">
        <f>IF($E499="Fail",IF(ISNUMBER($H499),"Fixed","OPEN"),"")</f>
        <v/>
      </c>
    </row>
    <row r="500" spans="1:10">
      <c r="A500" s="52"/>
      <c r="B500" s="54"/>
      <c r="C500" s="54"/>
      <c r="D500" s="54"/>
      <c r="E500" s="51"/>
      <c r="F500" s="54"/>
      <c r="G500" s="54"/>
      <c r="H500" s="52"/>
      <c r="I500" s="54"/>
      <c r="J500" s="85">
        <f>IF($E500="Fail",IF(ISNUMBER($H500),"Fixed","OPEN"),"")</f>
        <v/>
      </c>
    </row>
    <row r="501" spans="1:10">
      <c r="A501" s="52"/>
      <c r="B501" s="54"/>
      <c r="C501" s="54"/>
      <c r="D501" s="54"/>
      <c r="E501" s="51"/>
      <c r="F501" s="54"/>
      <c r="G501" s="54"/>
      <c r="H501" s="52"/>
      <c r="I501" s="54"/>
      <c r="J501" s="85">
        <f>IF($E501="Fail",IF(ISNUMBER($H501),"Fixed","OPEN"),"")</f>
        <v/>
      </c>
    </row>
    <row r="502" spans="1:10">
      <c r="A502" s="52"/>
      <c r="B502" s="54"/>
      <c r="C502" s="54"/>
      <c r="D502" s="54"/>
      <c r="E502" s="51"/>
      <c r="F502" s="54"/>
      <c r="G502" s="54"/>
      <c r="H502" s="52"/>
      <c r="I502" s="54"/>
      <c r="J502" s="85">
        <f>IF($E502="Fail",IF(ISNUMBER($H502),"Fixed","OPEN"),"")</f>
        <v/>
      </c>
    </row>
    <row r="503" spans="1:10">
      <c r="A503" s="52"/>
      <c r="B503" s="54"/>
      <c r="C503" s="54"/>
      <c r="D503" s="54"/>
      <c r="E503" s="51"/>
      <c r="F503" s="54"/>
      <c r="G503" s="54"/>
      <c r="H503" s="52"/>
      <c r="I503" s="54"/>
      <c r="J503" s="85">
        <f>IF($E503="Fail",IF(ISNUMBER($H503),"Fixed","OPEN"),"")</f>
        <v/>
      </c>
    </row>
    <row r="504" spans="1:10">
      <c r="A504" s="52"/>
      <c r="B504" s="54"/>
      <c r="C504" s="54"/>
      <c r="D504" s="54"/>
      <c r="E504" s="51"/>
      <c r="F504" s="54"/>
      <c r="G504" s="54"/>
      <c r="H504" s="52"/>
      <c r="I504" s="54"/>
      <c r="J504" s="85">
        <f>IF($E504="Fail",IF(ISNUMBER($H504),"Fixed","OPEN"),"")</f>
        <v/>
      </c>
    </row>
    <row r="505" spans="1:10">
      <c r="A505" s="52"/>
      <c r="B505" s="54"/>
      <c r="C505" s="54"/>
      <c r="D505" s="54"/>
      <c r="E505" s="51"/>
      <c r="F505" s="54"/>
      <c r="G505" s="54"/>
      <c r="H505" s="52"/>
      <c r="I505" s="54"/>
      <c r="J505" s="85">
        <f>IF($E505="Fail",IF(ISNUMBER($H505),"Fixed","OPEN"),"")</f>
        <v/>
      </c>
    </row>
    <row r="506" spans="1:10">
      <c r="A506" s="52"/>
      <c r="B506" s="54"/>
      <c r="C506" s="54"/>
      <c r="D506" s="54"/>
      <c r="E506" s="51"/>
      <c r="F506" s="54"/>
      <c r="G506" s="54"/>
      <c r="H506" s="52"/>
      <c r="I506" s="54"/>
      <c r="J506" s="85">
        <f>IF($E506="Fail",IF(ISNUMBER($H506),"Fixed","OPEN"),"")</f>
        <v/>
      </c>
    </row>
    <row r="507" spans="1:10">
      <c r="A507" s="52"/>
      <c r="B507" s="54"/>
      <c r="C507" s="54"/>
      <c r="D507" s="54"/>
      <c r="E507" s="51"/>
      <c r="F507" s="54"/>
      <c r="G507" s="54"/>
      <c r="H507" s="52"/>
      <c r="I507" s="54"/>
      <c r="J507" s="85">
        <f>IF($E507="Fail",IF(ISNUMBER($H507),"Fixed","OPEN"),"")</f>
        <v/>
      </c>
    </row>
    <row r="508" spans="1:10">
      <c r="A508" s="52"/>
      <c r="B508" s="54"/>
      <c r="C508" s="54"/>
      <c r="D508" s="54"/>
      <c r="E508" s="51"/>
      <c r="F508" s="54"/>
      <c r="G508" s="54"/>
      <c r="H508" s="52"/>
      <c r="I508" s="54"/>
      <c r="J508" s="85">
        <f>IF($E508="Fail",IF(ISNUMBER($H508),"Fixed","OPEN"),"")</f>
        <v/>
      </c>
    </row>
    <row r="509" spans="1:10">
      <c r="A509" s="52"/>
      <c r="B509" s="54"/>
      <c r="C509" s="54"/>
      <c r="D509" s="54"/>
      <c r="E509" s="51"/>
      <c r="F509" s="54"/>
      <c r="G509" s="54"/>
      <c r="H509" s="52"/>
      <c r="I509" s="54"/>
      <c r="J509" s="85">
        <f>IF($E509="Fail",IF(ISNUMBER($H509),"Fixed","OPEN"),"")</f>
        <v/>
      </c>
    </row>
    <row r="510" spans="1:10">
      <c r="A510" s="52"/>
      <c r="B510" s="54"/>
      <c r="C510" s="54"/>
      <c r="D510" s="54"/>
      <c r="E510" s="51"/>
      <c r="F510" s="54"/>
      <c r="G510" s="54"/>
      <c r="H510" s="52"/>
      <c r="I510" s="54"/>
      <c r="J510" s="85">
        <f>IF($E510="Fail",IF(ISNUMBER($H510),"Fixed","OPEN"),"")</f>
        <v/>
      </c>
    </row>
    <row r="511" spans="1:10">
      <c r="A511" s="52"/>
      <c r="B511" s="54"/>
      <c r="C511" s="54"/>
      <c r="D511" s="54"/>
      <c r="E511" s="51"/>
      <c r="F511" s="54"/>
      <c r="G511" s="54"/>
      <c r="H511" s="52"/>
      <c r="I511" s="54"/>
      <c r="J511" s="85">
        <f>IF($E511="Fail",IF(ISNUMBER($H511),"Fixed","OPEN"),"")</f>
        <v/>
      </c>
    </row>
    <row r="512" spans="1:10">
      <c r="A512" s="52"/>
      <c r="B512" s="54"/>
      <c r="C512" s="54"/>
      <c r="D512" s="54"/>
      <c r="E512" s="51"/>
      <c r="F512" s="54"/>
      <c r="G512" s="54"/>
      <c r="H512" s="52"/>
      <c r="I512" s="54"/>
      <c r="J512" s="85">
        <f>IF($E512="Fail",IF(ISNUMBER($H512),"Fixed","OPEN"),"")</f>
        <v/>
      </c>
    </row>
    <row r="513" spans="1:10">
      <c r="A513" s="52"/>
      <c r="B513" s="54"/>
      <c r="C513" s="54"/>
      <c r="D513" s="54"/>
      <c r="E513" s="51"/>
      <c r="F513" s="54"/>
      <c r="G513" s="54"/>
      <c r="H513" s="52"/>
      <c r="I513" s="54"/>
      <c r="J513" s="85">
        <f>IF($E513="Fail",IF(ISNUMBER($H513),"Fixed","OPEN"),"")</f>
        <v/>
      </c>
    </row>
    <row r="514" spans="1:10">
      <c r="A514" s="52"/>
      <c r="B514" s="54"/>
      <c r="C514" s="54"/>
      <c r="D514" s="54"/>
      <c r="E514" s="51"/>
      <c r="F514" s="54"/>
      <c r="G514" s="54"/>
      <c r="H514" s="52"/>
      <c r="I514" s="54"/>
      <c r="J514" s="85">
        <f>IF($E514="Fail",IF(ISNUMBER($H514),"Fixed","OPEN"),"")</f>
        <v/>
      </c>
    </row>
    <row r="515" spans="1:10">
      <c r="A515" s="52"/>
      <c r="B515" s="54"/>
      <c r="C515" s="54"/>
      <c r="D515" s="54"/>
      <c r="E515" s="51"/>
      <c r="F515" s="54"/>
      <c r="G515" s="54"/>
      <c r="H515" s="52"/>
      <c r="I515" s="54"/>
      <c r="J515" s="85">
        <f>IF($E515="Fail",IF(ISNUMBER($H515),"Fixed","OPEN"),"")</f>
        <v/>
      </c>
    </row>
    <row r="516" spans="1:10">
      <c r="A516" s="52"/>
      <c r="B516" s="54"/>
      <c r="C516" s="54"/>
      <c r="D516" s="54"/>
      <c r="E516" s="51"/>
      <c r="F516" s="54"/>
      <c r="G516" s="54"/>
      <c r="H516" s="52"/>
      <c r="I516" s="54"/>
      <c r="J516" s="85">
        <f>IF($E516="Fail",IF(ISNUMBER($H516),"Fixed","OPEN"),"")</f>
        <v/>
      </c>
    </row>
    <row r="517" spans="1:10">
      <c r="A517" s="52"/>
      <c r="B517" s="54"/>
      <c r="C517" s="54"/>
      <c r="D517" s="54"/>
      <c r="E517" s="51"/>
      <c r="F517" s="54"/>
      <c r="G517" s="54"/>
      <c r="H517" s="52"/>
      <c r="I517" s="54"/>
      <c r="J517" s="85">
        <f>IF($E517="Fail",IF(ISNUMBER($H517),"Fixed","OPEN"),"")</f>
        <v/>
      </c>
    </row>
    <row r="518" spans="1:10">
      <c r="A518" s="52"/>
      <c r="B518" s="54"/>
      <c r="C518" s="54"/>
      <c r="D518" s="54"/>
      <c r="E518" s="51"/>
      <c r="F518" s="54"/>
      <c r="G518" s="54"/>
      <c r="H518" s="52"/>
      <c r="I518" s="54"/>
      <c r="J518" s="85">
        <f>IF($E518="Fail",IF(ISNUMBER($H518),"Fixed","OPEN"),"")</f>
        <v/>
      </c>
    </row>
    <row r="519" spans="1:10">
      <c r="A519" s="52"/>
      <c r="B519" s="54"/>
      <c r="C519" s="54"/>
      <c r="D519" s="54"/>
      <c r="E519" s="51"/>
      <c r="F519" s="54"/>
      <c r="G519" s="54"/>
      <c r="H519" s="52"/>
      <c r="I519" s="54"/>
      <c r="J519" s="85">
        <f>IF($E519="Fail",IF(ISNUMBER($H519),"Fixed","OPEN"),"")</f>
        <v/>
      </c>
    </row>
    <row r="520" spans="1:10">
      <c r="A520" s="52"/>
      <c r="B520" s="54"/>
      <c r="C520" s="54"/>
      <c r="D520" s="54"/>
      <c r="E520" s="51"/>
      <c r="F520" s="54"/>
      <c r="G520" s="54"/>
      <c r="H520" s="52"/>
      <c r="I520" s="54"/>
      <c r="J520" s="85">
        <f>IF($E520="Fail",IF(ISNUMBER($H520),"Fixed","OPEN"),"")</f>
        <v/>
      </c>
    </row>
    <row r="521" spans="1:10">
      <c r="A521" s="52"/>
      <c r="B521" s="54"/>
      <c r="C521" s="54"/>
      <c r="D521" s="54"/>
      <c r="E521" s="51"/>
      <c r="F521" s="54"/>
      <c r="G521" s="54"/>
      <c r="H521" s="52"/>
      <c r="I521" s="54"/>
      <c r="J521" s="85">
        <f>IF($E521="Fail",IF(ISNUMBER($H521),"Fixed","OPEN"),"")</f>
        <v/>
      </c>
    </row>
    <row r="522" spans="1:10">
      <c r="A522" s="52"/>
      <c r="B522" s="54"/>
      <c r="C522" s="54"/>
      <c r="D522" s="54"/>
      <c r="E522" s="51"/>
      <c r="F522" s="54"/>
      <c r="G522" s="54"/>
      <c r="H522" s="52"/>
      <c r="I522" s="54"/>
      <c r="J522" s="85">
        <f>IF($E522="Fail",IF(ISNUMBER($H522),"Fixed","OPEN"),"")</f>
        <v/>
      </c>
    </row>
    <row r="523" spans="1:10">
      <c r="A523" s="52"/>
      <c r="B523" s="54"/>
      <c r="C523" s="54"/>
      <c r="D523" s="54"/>
      <c r="E523" s="51"/>
      <c r="F523" s="54"/>
      <c r="G523" s="54"/>
      <c r="H523" s="52"/>
      <c r="I523" s="54"/>
      <c r="J523" s="85">
        <f>IF($E523="Fail",IF(ISNUMBER($H523),"Fixed","OPEN"),"")</f>
        <v/>
      </c>
    </row>
    <row r="524" spans="1:10">
      <c r="A524" s="52"/>
      <c r="B524" s="54"/>
      <c r="C524" s="54"/>
      <c r="D524" s="54"/>
      <c r="E524" s="51"/>
      <c r="F524" s="54"/>
      <c r="G524" s="54"/>
      <c r="H524" s="52"/>
      <c r="I524" s="54"/>
      <c r="J524" s="85">
        <f>IF($E524="Fail",IF(ISNUMBER($H524),"Fixed","OPEN"),"")</f>
        <v/>
      </c>
    </row>
    <row r="525" spans="1:10">
      <c r="A525" s="52"/>
      <c r="B525" s="54"/>
      <c r="C525" s="54"/>
      <c r="D525" s="54"/>
      <c r="E525" s="51"/>
      <c r="F525" s="54"/>
      <c r="G525" s="54"/>
      <c r="H525" s="52"/>
      <c r="I525" s="54"/>
      <c r="J525" s="85">
        <f>IF($E525="Fail",IF(ISNUMBER($H525),"Fixed","OPEN"),"")</f>
        <v/>
      </c>
    </row>
    <row r="526" spans="1:10">
      <c r="A526" s="52"/>
      <c r="B526" s="54"/>
      <c r="C526" s="54"/>
      <c r="D526" s="54"/>
      <c r="E526" s="51"/>
      <c r="F526" s="54"/>
      <c r="G526" s="54"/>
      <c r="H526" s="52"/>
      <c r="I526" s="54"/>
      <c r="J526" s="85">
        <f>IF($E526="Fail",IF(ISNUMBER($H526),"Fixed","OPEN"),"")</f>
        <v/>
      </c>
    </row>
    <row r="527" spans="1:10">
      <c r="A527" s="52"/>
      <c r="B527" s="54"/>
      <c r="C527" s="54"/>
      <c r="D527" s="54"/>
      <c r="E527" s="51"/>
      <c r="F527" s="54"/>
      <c r="G527" s="54"/>
      <c r="H527" s="52"/>
      <c r="I527" s="54"/>
      <c r="J527" s="85">
        <f>IF($E527="Fail",IF(ISNUMBER($H527),"Fixed","OPEN"),"")</f>
        <v/>
      </c>
    </row>
    <row r="528" spans="1:10">
      <c r="A528" s="52"/>
      <c r="B528" s="54"/>
      <c r="C528" s="54"/>
      <c r="D528" s="54"/>
      <c r="E528" s="51"/>
      <c r="F528" s="54"/>
      <c r="G528" s="54"/>
      <c r="H528" s="52"/>
      <c r="I528" s="54"/>
      <c r="J528" s="85">
        <f>IF($E528="Fail",IF(ISNUMBER($H528),"Fixed","OPEN"),"")</f>
        <v/>
      </c>
    </row>
    <row r="529" spans="1:10">
      <c r="A529" s="52"/>
      <c r="B529" s="54"/>
      <c r="C529" s="54"/>
      <c r="D529" s="54"/>
      <c r="E529" s="51"/>
      <c r="F529" s="54"/>
      <c r="G529" s="54"/>
      <c r="H529" s="52"/>
      <c r="I529" s="54"/>
      <c r="J529" s="85">
        <f>IF($E529="Fail",IF(ISNUMBER($H529),"Fixed","OPEN"),"")</f>
        <v/>
      </c>
    </row>
    <row r="530" spans="1:10">
      <c r="A530" s="52"/>
      <c r="B530" s="54"/>
      <c r="C530" s="54"/>
      <c r="D530" s="54"/>
      <c r="E530" s="51"/>
      <c r="F530" s="54"/>
      <c r="G530" s="54"/>
      <c r="H530" s="52"/>
      <c r="I530" s="54"/>
      <c r="J530" s="85">
        <f>IF($E530="Fail",IF(ISNUMBER($H530),"Fixed","OPEN"),"")</f>
        <v/>
      </c>
    </row>
    <row r="531" spans="1:10">
      <c r="A531" s="52"/>
      <c r="B531" s="54"/>
      <c r="C531" s="54"/>
      <c r="D531" s="54"/>
      <c r="E531" s="51"/>
      <c r="F531" s="54"/>
      <c r="G531" s="54"/>
      <c r="H531" s="52"/>
      <c r="I531" s="54"/>
      <c r="J531" s="85">
        <f>IF($E531="Fail",IF(ISNUMBER($H531),"Fixed","OPEN"),"")</f>
        <v/>
      </c>
    </row>
    <row r="532" spans="1:10">
      <c r="A532" s="52"/>
      <c r="B532" s="54"/>
      <c r="C532" s="54"/>
      <c r="D532" s="54"/>
      <c r="E532" s="51"/>
      <c r="F532" s="54"/>
      <c r="G532" s="54"/>
      <c r="H532" s="52"/>
      <c r="I532" s="54"/>
      <c r="J532" s="85">
        <f>IF($E532="Fail",IF(ISNUMBER($H532),"Fixed","OPEN"),"")</f>
        <v/>
      </c>
    </row>
    <row r="533" spans="1:10">
      <c r="A533" s="52"/>
      <c r="B533" s="54"/>
      <c r="C533" s="54"/>
      <c r="D533" s="54"/>
      <c r="E533" s="51"/>
      <c r="F533" s="54"/>
      <c r="G533" s="54"/>
      <c r="H533" s="52"/>
      <c r="I533" s="54"/>
      <c r="J533" s="85">
        <f>IF($E533="Fail",IF(ISNUMBER($H533),"Fixed","OPEN"),"")</f>
        <v/>
      </c>
    </row>
    <row r="534" spans="1:10">
      <c r="A534" s="52"/>
      <c r="B534" s="54"/>
      <c r="C534" s="54"/>
      <c r="D534" s="54"/>
      <c r="E534" s="51"/>
      <c r="F534" s="54"/>
      <c r="G534" s="54"/>
      <c r="H534" s="52"/>
      <c r="I534" s="54"/>
      <c r="J534" s="85">
        <f>IF($E534="Fail",IF(ISNUMBER($H534),"Fixed","OPEN"),"")</f>
        <v/>
      </c>
    </row>
    <row r="535" spans="1:10">
      <c r="A535" s="52"/>
      <c r="B535" s="54"/>
      <c r="C535" s="54"/>
      <c r="D535" s="54"/>
      <c r="E535" s="51"/>
      <c r="F535" s="54"/>
      <c r="G535" s="54"/>
      <c r="H535" s="52"/>
      <c r="I535" s="54"/>
      <c r="J535" s="85">
        <f>IF($E535="Fail",IF(ISNUMBER($H535),"Fixed","OPEN"),"")</f>
        <v/>
      </c>
    </row>
    <row r="536" spans="1:10">
      <c r="A536" s="52"/>
      <c r="B536" s="54"/>
      <c r="C536" s="54"/>
      <c r="D536" s="54"/>
      <c r="E536" s="51"/>
      <c r="F536" s="54"/>
      <c r="G536" s="54"/>
      <c r="H536" s="52"/>
      <c r="I536" s="54"/>
      <c r="J536" s="85">
        <f>IF($E536="Fail",IF(ISNUMBER($H536),"Fixed","OPEN"),"")</f>
        <v/>
      </c>
    </row>
    <row r="537" spans="1:10">
      <c r="A537" s="52"/>
      <c r="B537" s="54"/>
      <c r="C537" s="54"/>
      <c r="D537" s="54"/>
      <c r="E537" s="51"/>
      <c r="F537" s="54"/>
      <c r="G537" s="54"/>
      <c r="H537" s="52"/>
      <c r="I537" s="54"/>
      <c r="J537" s="85">
        <f>IF($E537="Fail",IF(ISNUMBER($H537),"Fixed","OPEN"),"")</f>
        <v/>
      </c>
    </row>
    <row r="538" spans="1:10">
      <c r="A538" s="52"/>
      <c r="B538" s="54"/>
      <c r="C538" s="54"/>
      <c r="D538" s="54"/>
      <c r="E538" s="51"/>
      <c r="F538" s="54"/>
      <c r="G538" s="54"/>
      <c r="H538" s="52"/>
      <c r="I538" s="54"/>
      <c r="J538" s="85">
        <f>IF($E538="Fail",IF(ISNUMBER($H538),"Fixed","OPEN"),"")</f>
        <v/>
      </c>
    </row>
    <row r="539" spans="1:10">
      <c r="A539" s="52"/>
      <c r="B539" s="54"/>
      <c r="C539" s="54"/>
      <c r="D539" s="54"/>
      <c r="E539" s="51"/>
      <c r="F539" s="54"/>
      <c r="G539" s="54"/>
      <c r="H539" s="52"/>
      <c r="I539" s="54"/>
      <c r="J539" s="85">
        <f>IF($E539="Fail",IF(ISNUMBER($H539),"Fixed","OPEN"),"")</f>
        <v/>
      </c>
    </row>
    <row r="540" spans="1:10">
      <c r="A540" s="52"/>
      <c r="B540" s="54"/>
      <c r="C540" s="54"/>
      <c r="D540" s="54"/>
      <c r="E540" s="51"/>
      <c r="F540" s="54"/>
      <c r="G540" s="54"/>
      <c r="H540" s="52"/>
      <c r="I540" s="54"/>
      <c r="J540" s="85">
        <f>IF($E540="Fail",IF(ISNUMBER($H540),"Fixed","OPEN"),"")</f>
        <v/>
      </c>
    </row>
    <row r="541" spans="1:10">
      <c r="A541" s="52"/>
      <c r="B541" s="54"/>
      <c r="C541" s="54"/>
      <c r="D541" s="54"/>
      <c r="E541" s="51"/>
      <c r="F541" s="54"/>
      <c r="G541" s="54"/>
      <c r="H541" s="52"/>
      <c r="I541" s="54"/>
      <c r="J541" s="85">
        <f>IF($E541="Fail",IF(ISNUMBER($H541),"Fixed","OPEN"),"")</f>
        <v/>
      </c>
    </row>
    <row r="542" spans="1:10">
      <c r="A542" s="52"/>
      <c r="B542" s="54"/>
      <c r="C542" s="54"/>
      <c r="D542" s="54"/>
      <c r="E542" s="51"/>
      <c r="F542" s="54"/>
      <c r="G542" s="54"/>
      <c r="H542" s="52"/>
      <c r="I542" s="54"/>
      <c r="J542" s="85">
        <f>IF($E542="Fail",IF(ISNUMBER($H542),"Fixed","OPEN"),"")</f>
        <v/>
      </c>
    </row>
    <row r="543" spans="1:10">
      <c r="A543" s="52"/>
      <c r="B543" s="54"/>
      <c r="C543" s="54"/>
      <c r="D543" s="54"/>
      <c r="E543" s="51"/>
      <c r="F543" s="54"/>
      <c r="G543" s="54"/>
      <c r="H543" s="52"/>
      <c r="I543" s="54"/>
      <c r="J543" s="85">
        <f>IF($E543="Fail",IF(ISNUMBER($H543),"Fixed","OPEN"),"")</f>
        <v/>
      </c>
    </row>
    <row r="544" spans="1:10">
      <c r="A544" s="52"/>
      <c r="B544" s="54"/>
      <c r="C544" s="54"/>
      <c r="D544" s="54"/>
      <c r="E544" s="51"/>
      <c r="F544" s="54"/>
      <c r="G544" s="54"/>
      <c r="H544" s="52"/>
      <c r="I544" s="54"/>
      <c r="J544" s="85">
        <f>IF($E544="Fail",IF(ISNUMBER($H544),"Fixed","OPEN"),"")</f>
        <v/>
      </c>
    </row>
    <row r="545" spans="1:10">
      <c r="A545" s="52"/>
      <c r="B545" s="54"/>
      <c r="C545" s="54"/>
      <c r="D545" s="54"/>
      <c r="E545" s="51"/>
      <c r="F545" s="54"/>
      <c r="G545" s="54"/>
      <c r="H545" s="52"/>
      <c r="I545" s="54"/>
      <c r="J545" s="85">
        <f>IF($E545="Fail",IF(ISNUMBER($H545),"Fixed","OPEN"),"")</f>
        <v/>
      </c>
    </row>
    <row r="546" spans="1:10">
      <c r="A546" s="52"/>
      <c r="B546" s="54"/>
      <c r="C546" s="54"/>
      <c r="D546" s="54"/>
      <c r="E546" s="51"/>
      <c r="F546" s="54"/>
      <c r="G546" s="54"/>
      <c r="H546" s="52"/>
      <c r="I546" s="54"/>
      <c r="J546" s="85">
        <f>IF($E546="Fail",IF(ISNUMBER($H546),"Fixed","OPEN"),"")</f>
        <v/>
      </c>
    </row>
    <row r="547" spans="1:10">
      <c r="A547" s="52"/>
      <c r="B547" s="54"/>
      <c r="C547" s="54"/>
      <c r="D547" s="54"/>
      <c r="E547" s="51"/>
      <c r="F547" s="54"/>
      <c r="G547" s="54"/>
      <c r="H547" s="52"/>
      <c r="I547" s="54"/>
      <c r="J547" s="85">
        <f>IF($E547="Fail",IF(ISNUMBER($H547),"Fixed","OPEN"),"")</f>
        <v/>
      </c>
    </row>
    <row r="548" spans="1:10">
      <c r="A548" s="52"/>
      <c r="B548" s="54"/>
      <c r="C548" s="54"/>
      <c r="D548" s="54"/>
      <c r="E548" s="51"/>
      <c r="F548" s="54"/>
      <c r="G548" s="54"/>
      <c r="H548" s="52"/>
      <c r="I548" s="54"/>
      <c r="J548" s="85">
        <f>IF($E548="Fail",IF(ISNUMBER($H548),"Fixed","OPEN"),"")</f>
        <v/>
      </c>
    </row>
    <row r="549" spans="1:10">
      <c r="A549" s="52"/>
      <c r="B549" s="54"/>
      <c r="C549" s="54"/>
      <c r="D549" s="54"/>
      <c r="E549" s="51"/>
      <c r="F549" s="54"/>
      <c r="G549" s="54"/>
      <c r="H549" s="52"/>
      <c r="I549" s="54"/>
      <c r="J549" s="85">
        <f>IF($E549="Fail",IF(ISNUMBER($H549),"Fixed","OPEN"),"")</f>
        <v/>
      </c>
    </row>
    <row r="550" spans="1:10">
      <c r="A550" s="52"/>
      <c r="B550" s="54"/>
      <c r="C550" s="54"/>
      <c r="D550" s="54"/>
      <c r="E550" s="51"/>
      <c r="F550" s="54"/>
      <c r="G550" s="54"/>
      <c r="H550" s="52"/>
      <c r="I550" s="54"/>
      <c r="J550" s="85">
        <f>IF($E550="Fail",IF(ISNUMBER($H550),"Fixed","OPEN"),"")</f>
        <v/>
      </c>
    </row>
    <row r="551" spans="1:10">
      <c r="A551" s="52"/>
      <c r="B551" s="54"/>
      <c r="C551" s="54"/>
      <c r="D551" s="54"/>
      <c r="E551" s="51"/>
      <c r="F551" s="54"/>
      <c r="G551" s="54"/>
      <c r="H551" s="52"/>
      <c r="I551" s="54"/>
      <c r="J551" s="85">
        <f>IF($E551="Fail",IF(ISNUMBER($H551),"Fixed","OPEN"),"")</f>
        <v/>
      </c>
    </row>
    <row r="552" spans="1:10">
      <c r="A552" s="52"/>
      <c r="B552" s="54"/>
      <c r="C552" s="54"/>
      <c r="D552" s="54"/>
      <c r="E552" s="51"/>
      <c r="F552" s="54"/>
      <c r="G552" s="54"/>
      <c r="H552" s="52"/>
      <c r="I552" s="54"/>
      <c r="J552" s="85">
        <f>IF($E552="Fail",IF(ISNUMBER($H552),"Fixed","OPEN"),"")</f>
        <v/>
      </c>
    </row>
    <row r="553" spans="1:10">
      <c r="A553" s="52"/>
      <c r="B553" s="54"/>
      <c r="C553" s="54"/>
      <c r="D553" s="54"/>
      <c r="E553" s="51"/>
      <c r="F553" s="54"/>
      <c r="G553" s="54"/>
      <c r="H553" s="52"/>
      <c r="I553" s="54"/>
      <c r="J553" s="85">
        <f>IF($E553="Fail",IF(ISNUMBER($H553),"Fixed","OPEN"),"")</f>
        <v/>
      </c>
    </row>
    <row r="554" spans="1:10">
      <c r="A554" s="52"/>
      <c r="B554" s="54"/>
      <c r="C554" s="54"/>
      <c r="D554" s="54"/>
      <c r="E554" s="51"/>
      <c r="F554" s="54"/>
      <c r="G554" s="54"/>
      <c r="H554" s="52"/>
      <c r="I554" s="54"/>
      <c r="J554" s="85">
        <f>IF($E554="Fail",IF(ISNUMBER($H554),"Fixed","OPEN"),"")</f>
        <v/>
      </c>
    </row>
    <row r="555" spans="1:10">
      <c r="A555" s="52"/>
      <c r="B555" s="54"/>
      <c r="C555" s="54"/>
      <c r="D555" s="54"/>
      <c r="E555" s="51"/>
      <c r="F555" s="54"/>
      <c r="G555" s="54"/>
      <c r="H555" s="52"/>
      <c r="I555" s="54"/>
      <c r="J555" s="85">
        <f>IF($E555="Fail",IF(ISNUMBER($H555),"Fixed","OPEN"),"")</f>
        <v/>
      </c>
    </row>
    <row r="556" spans="1:10">
      <c r="A556" s="52"/>
      <c r="B556" s="54"/>
      <c r="C556" s="54"/>
      <c r="D556" s="54"/>
      <c r="E556" s="51"/>
      <c r="F556" s="54"/>
      <c r="G556" s="54"/>
      <c r="H556" s="52"/>
      <c r="I556" s="54"/>
      <c r="J556" s="85">
        <f>IF($E556="Fail",IF(ISNUMBER($H556),"Fixed","OPEN"),"")</f>
        <v/>
      </c>
    </row>
    <row r="557" spans="1:10">
      <c r="A557" s="52"/>
      <c r="B557" s="54"/>
      <c r="C557" s="54"/>
      <c r="D557" s="54"/>
      <c r="E557" s="51"/>
      <c r="F557" s="54"/>
      <c r="G557" s="54"/>
      <c r="H557" s="52"/>
      <c r="I557" s="54"/>
      <c r="J557" s="85">
        <f>IF($E557="Fail",IF(ISNUMBER($H557),"Fixed","OPEN"),"")</f>
        <v/>
      </c>
    </row>
    <row r="558" spans="1:10">
      <c r="A558" s="52"/>
      <c r="B558" s="54"/>
      <c r="C558" s="54"/>
      <c r="D558" s="54"/>
      <c r="E558" s="51"/>
      <c r="F558" s="54"/>
      <c r="G558" s="54"/>
      <c r="H558" s="52"/>
      <c r="I558" s="54"/>
      <c r="J558" s="85">
        <f>IF($E558="Fail",IF(ISNUMBER($H558),"Fixed","OPEN"),"")</f>
        <v/>
      </c>
    </row>
    <row r="559" spans="1:10">
      <c r="A559" s="52"/>
      <c r="B559" s="54"/>
      <c r="C559" s="54"/>
      <c r="D559" s="54"/>
      <c r="E559" s="51"/>
      <c r="F559" s="54"/>
      <c r="G559" s="54"/>
      <c r="H559" s="52"/>
      <c r="I559" s="54"/>
      <c r="J559" s="85">
        <f>IF($E559="Fail",IF(ISNUMBER($H559),"Fixed","OPEN"),"")</f>
        <v/>
      </c>
    </row>
    <row r="560" spans="1:10">
      <c r="A560" s="52"/>
      <c r="B560" s="54"/>
      <c r="C560" s="54"/>
      <c r="D560" s="54"/>
      <c r="E560" s="51"/>
      <c r="F560" s="54"/>
      <c r="G560" s="54"/>
      <c r="H560" s="52"/>
      <c r="I560" s="54"/>
      <c r="J560" s="85">
        <f>IF($E560="Fail",IF(ISNUMBER($H560),"Fixed","OPEN"),"")</f>
        <v/>
      </c>
    </row>
    <row r="561" spans="1:10">
      <c r="A561" s="52"/>
      <c r="B561" s="54"/>
      <c r="C561" s="54"/>
      <c r="D561" s="54"/>
      <c r="E561" s="51"/>
      <c r="F561" s="54"/>
      <c r="G561" s="54"/>
      <c r="H561" s="52"/>
      <c r="I561" s="54"/>
      <c r="J561" s="85">
        <f>IF($E561="Fail",IF(ISNUMBER($H561),"Fixed","OPEN"),"")</f>
        <v/>
      </c>
    </row>
    <row r="562" spans="1:10">
      <c r="A562" s="52"/>
      <c r="B562" s="54"/>
      <c r="C562" s="54"/>
      <c r="D562" s="54"/>
      <c r="E562" s="51"/>
      <c r="F562" s="54"/>
      <c r="G562" s="54"/>
      <c r="H562" s="52"/>
      <c r="I562" s="54"/>
      <c r="J562" s="85">
        <f>IF($E562="Fail",IF(ISNUMBER($H562),"Fixed","OPEN"),"")</f>
        <v/>
      </c>
    </row>
    <row r="563" spans="1:10">
      <c r="A563" s="52"/>
      <c r="B563" s="54"/>
      <c r="C563" s="54"/>
      <c r="D563" s="54"/>
      <c r="E563" s="51"/>
      <c r="F563" s="54"/>
      <c r="G563" s="54"/>
      <c r="H563" s="52"/>
      <c r="I563" s="54"/>
      <c r="J563" s="85">
        <f>IF($E563="Fail",IF(ISNUMBER($H563),"Fixed","OPEN"),"")</f>
        <v/>
      </c>
    </row>
    <row r="564" spans="1:10">
      <c r="A564" s="52"/>
      <c r="B564" s="54"/>
      <c r="C564" s="54"/>
      <c r="D564" s="54"/>
      <c r="E564" s="51"/>
      <c r="F564" s="54"/>
      <c r="G564" s="54"/>
      <c r="H564" s="52"/>
      <c r="I564" s="54"/>
      <c r="J564" s="85">
        <f>IF($E564="Fail",IF(ISNUMBER($H564),"Fixed","OPEN"),"")</f>
        <v/>
      </c>
    </row>
    <row r="565" spans="1:10">
      <c r="A565" s="52"/>
      <c r="B565" s="54"/>
      <c r="C565" s="54"/>
      <c r="D565" s="54"/>
      <c r="E565" s="51"/>
      <c r="F565" s="54"/>
      <c r="G565" s="54"/>
      <c r="H565" s="52"/>
      <c r="I565" s="54"/>
      <c r="J565" s="85">
        <f>IF($E565="Fail",IF(ISNUMBER($H565),"Fixed","OPEN"),"")</f>
        <v/>
      </c>
    </row>
    <row r="566" spans="1:10">
      <c r="A566" s="52"/>
      <c r="B566" s="54"/>
      <c r="C566" s="54"/>
      <c r="D566" s="54"/>
      <c r="E566" s="51"/>
      <c r="F566" s="54"/>
      <c r="G566" s="54"/>
      <c r="H566" s="52"/>
      <c r="I566" s="54"/>
      <c r="J566" s="85">
        <f>IF($E566="Fail",IF(ISNUMBER($H566),"Fixed","OPEN"),"")</f>
        <v/>
      </c>
    </row>
    <row r="567" spans="1:10">
      <c r="A567" s="52"/>
      <c r="B567" s="54"/>
      <c r="C567" s="54"/>
      <c r="D567" s="54"/>
      <c r="E567" s="51"/>
      <c r="F567" s="54"/>
      <c r="G567" s="54"/>
      <c r="H567" s="52"/>
      <c r="I567" s="54"/>
      <c r="J567" s="85">
        <f>IF($E567="Fail",IF(ISNUMBER($H567),"Fixed","OPEN"),"")</f>
        <v/>
      </c>
    </row>
    <row r="568" spans="1:10">
      <c r="A568" s="52"/>
      <c r="B568" s="54"/>
      <c r="C568" s="54"/>
      <c r="D568" s="54"/>
      <c r="E568" s="51"/>
      <c r="F568" s="54"/>
      <c r="G568" s="54"/>
      <c r="H568" s="52"/>
      <c r="I568" s="54"/>
      <c r="J568" s="85">
        <f>IF($E568="Fail",IF(ISNUMBER($H568),"Fixed","OPEN"),"")</f>
        <v/>
      </c>
    </row>
    <row r="569" spans="1:10">
      <c r="A569" s="52"/>
      <c r="B569" s="54"/>
      <c r="C569" s="54"/>
      <c r="D569" s="54"/>
      <c r="E569" s="51"/>
      <c r="F569" s="54"/>
      <c r="G569" s="54"/>
      <c r="H569" s="52"/>
      <c r="I569" s="54"/>
      <c r="J569" s="85">
        <f>IF($E569="Fail",IF(ISNUMBER($H569),"Fixed","OPEN"),"")</f>
        <v/>
      </c>
    </row>
    <row r="570" spans="1:10">
      <c r="A570" s="52"/>
      <c r="B570" s="54"/>
      <c r="C570" s="54"/>
      <c r="D570" s="54"/>
      <c r="E570" s="51"/>
      <c r="F570" s="54"/>
      <c r="G570" s="54"/>
      <c r="H570" s="52"/>
      <c r="I570" s="54"/>
      <c r="J570" s="85">
        <f>IF($E570="Fail",IF(ISNUMBER($H570),"Fixed","OPEN"),"")</f>
        <v/>
      </c>
    </row>
    <row r="571" spans="1:10">
      <c r="A571" s="52"/>
      <c r="B571" s="54"/>
      <c r="C571" s="54"/>
      <c r="D571" s="54"/>
      <c r="E571" s="51"/>
      <c r="F571" s="54"/>
      <c r="G571" s="54"/>
      <c r="H571" s="52"/>
      <c r="I571" s="54"/>
      <c r="J571" s="85">
        <f>IF($E571="Fail",IF(ISNUMBER($H571),"Fixed","OPEN"),"")</f>
        <v/>
      </c>
    </row>
    <row r="572" spans="1:10">
      <c r="A572" s="52"/>
      <c r="B572" s="54"/>
      <c r="C572" s="54"/>
      <c r="D572" s="54"/>
      <c r="E572" s="51"/>
      <c r="F572" s="54"/>
      <c r="G572" s="54"/>
      <c r="H572" s="52"/>
      <c r="I572" s="54"/>
      <c r="J572" s="85">
        <f>IF($E572="Fail",IF(ISNUMBER($H572),"Fixed","OPEN"),"")</f>
        <v/>
      </c>
    </row>
    <row r="573" spans="1:10">
      <c r="A573" s="52"/>
      <c r="B573" s="54"/>
      <c r="C573" s="54"/>
      <c r="D573" s="54"/>
      <c r="E573" s="51"/>
      <c r="F573" s="54"/>
      <c r="G573" s="54"/>
      <c r="H573" s="52"/>
      <c r="I573" s="54"/>
      <c r="J573" s="85">
        <f>IF($E573="Fail",IF(ISNUMBER($H573),"Fixed","OPEN"),"")</f>
        <v/>
      </c>
    </row>
    <row r="574" spans="1:10">
      <c r="A574" s="52"/>
      <c r="B574" s="54"/>
      <c r="C574" s="54"/>
      <c r="D574" s="54"/>
      <c r="E574" s="51"/>
      <c r="F574" s="54"/>
      <c r="G574" s="54"/>
      <c r="H574" s="52"/>
      <c r="I574" s="54"/>
      <c r="J574" s="85">
        <f>IF($E574="Fail",IF(ISNUMBER($H574),"Fixed","OPEN"),"")</f>
        <v/>
      </c>
    </row>
    <row r="575" spans="1:10">
      <c r="A575" s="52"/>
      <c r="B575" s="54"/>
      <c r="C575" s="54"/>
      <c r="D575" s="54"/>
      <c r="E575" s="51"/>
      <c r="F575" s="54"/>
      <c r="G575" s="54"/>
      <c r="H575" s="52"/>
      <c r="I575" s="54"/>
      <c r="J575" s="85">
        <f>IF($E575="Fail",IF(ISNUMBER($H575),"Fixed","OPEN"),"")</f>
        <v/>
      </c>
    </row>
    <row r="576" spans="1:10">
      <c r="A576" s="52"/>
      <c r="B576" s="54"/>
      <c r="C576" s="54"/>
      <c r="D576" s="54"/>
      <c r="E576" s="51"/>
      <c r="F576" s="54"/>
      <c r="G576" s="54"/>
      <c r="H576" s="52"/>
      <c r="I576" s="54"/>
      <c r="J576" s="85">
        <f>IF($E576="Fail",IF(ISNUMBER($H576),"Fixed","OPEN"),"")</f>
        <v/>
      </c>
    </row>
    <row r="577" spans="1:10">
      <c r="A577" s="52"/>
      <c r="B577" s="54"/>
      <c r="C577" s="54"/>
      <c r="D577" s="54"/>
      <c r="E577" s="51"/>
      <c r="F577" s="54"/>
      <c r="G577" s="54"/>
      <c r="H577" s="52"/>
      <c r="I577" s="54"/>
      <c r="J577" s="85">
        <f>IF($E577="Fail",IF(ISNUMBER($H577),"Fixed","OPEN"),"")</f>
        <v/>
      </c>
    </row>
    <row r="578" spans="1:10">
      <c r="A578" s="52"/>
      <c r="B578" s="54"/>
      <c r="C578" s="54"/>
      <c r="D578" s="54"/>
      <c r="E578" s="51"/>
      <c r="F578" s="54"/>
      <c r="G578" s="54"/>
      <c r="H578" s="52"/>
      <c r="I578" s="54"/>
      <c r="J578" s="85">
        <f>IF($E578="Fail",IF(ISNUMBER($H578),"Fixed","OPEN"),"")</f>
        <v/>
      </c>
    </row>
    <row r="579" spans="1:10">
      <c r="A579" s="52"/>
      <c r="B579" s="54"/>
      <c r="C579" s="54"/>
      <c r="D579" s="54"/>
      <c r="E579" s="51"/>
      <c r="F579" s="54"/>
      <c r="G579" s="54"/>
      <c r="H579" s="52"/>
      <c r="I579" s="54"/>
      <c r="J579" s="85">
        <f>IF($E579="Fail",IF(ISNUMBER($H579),"Fixed","OPEN"),"")</f>
        <v/>
      </c>
    </row>
    <row r="580" spans="1:10">
      <c r="A580" s="52"/>
      <c r="B580" s="54"/>
      <c r="C580" s="54"/>
      <c r="D580" s="54"/>
      <c r="E580" s="51"/>
      <c r="F580" s="54"/>
      <c r="G580" s="54"/>
      <c r="H580" s="52"/>
      <c r="I580" s="54"/>
      <c r="J580" s="85">
        <f>IF($E580="Fail",IF(ISNUMBER($H580),"Fixed","OPEN"),"")</f>
        <v/>
      </c>
    </row>
    <row r="581" spans="1:10">
      <c r="A581" s="52"/>
      <c r="B581" s="54"/>
      <c r="C581" s="54"/>
      <c r="D581" s="54"/>
      <c r="E581" s="51"/>
      <c r="F581" s="54"/>
      <c r="G581" s="54"/>
      <c r="H581" s="52"/>
      <c r="I581" s="54"/>
      <c r="J581" s="85">
        <f>IF($E581="Fail",IF(ISNUMBER($H581),"Fixed","OPEN"),"")</f>
        <v/>
      </c>
    </row>
    <row r="582" spans="1:10">
      <c r="A582" s="52"/>
      <c r="B582" s="54"/>
      <c r="C582" s="54"/>
      <c r="D582" s="54"/>
      <c r="E582" s="51"/>
      <c r="F582" s="54"/>
      <c r="G582" s="54"/>
      <c r="H582" s="52"/>
      <c r="I582" s="54"/>
      <c r="J582" s="85">
        <f>IF($E582="Fail",IF(ISNUMBER($H582),"Fixed","OPEN"),"")</f>
        <v/>
      </c>
    </row>
    <row r="583" spans="1:10">
      <c r="A583" s="52"/>
      <c r="B583" s="54"/>
      <c r="C583" s="54"/>
      <c r="D583" s="54"/>
      <c r="E583" s="51"/>
      <c r="F583" s="54"/>
      <c r="G583" s="54"/>
      <c r="H583" s="52"/>
      <c r="I583" s="54"/>
      <c r="J583" s="85">
        <f>IF($E583="Fail",IF(ISNUMBER($H583),"Fixed","OPEN"),"")</f>
        <v/>
      </c>
    </row>
    <row r="584" spans="1:10">
      <c r="A584" s="52"/>
      <c r="B584" s="54"/>
      <c r="C584" s="54"/>
      <c r="D584" s="54"/>
      <c r="E584" s="51"/>
      <c r="F584" s="54"/>
      <c r="G584" s="54"/>
      <c r="H584" s="52"/>
      <c r="I584" s="54"/>
      <c r="J584" s="85">
        <f>IF($E584="Fail",IF(ISNUMBER($H584),"Fixed","OPEN"),"")</f>
        <v/>
      </c>
    </row>
    <row r="585" spans="1:10">
      <c r="A585" s="52"/>
      <c r="B585" s="54"/>
      <c r="C585" s="54"/>
      <c r="D585" s="54"/>
      <c r="E585" s="51"/>
      <c r="F585" s="54"/>
      <c r="G585" s="54"/>
      <c r="H585" s="52"/>
      <c r="I585" s="54"/>
      <c r="J585" s="85">
        <f>IF($E585="Fail",IF(ISNUMBER($H585),"Fixed","OPEN"),"")</f>
        <v/>
      </c>
    </row>
    <row r="586" spans="1:10">
      <c r="A586" s="52"/>
      <c r="B586" s="54"/>
      <c r="C586" s="54"/>
      <c r="D586" s="54"/>
      <c r="E586" s="51"/>
      <c r="F586" s="54"/>
      <c r="G586" s="54"/>
      <c r="H586" s="52"/>
      <c r="I586" s="54"/>
      <c r="J586" s="85">
        <f>IF($E586="Fail",IF(ISNUMBER($H586),"Fixed","OPEN"),"")</f>
        <v/>
      </c>
    </row>
    <row r="587" spans="1:10">
      <c r="A587" s="52"/>
      <c r="B587" s="54"/>
      <c r="C587" s="54"/>
      <c r="D587" s="54"/>
      <c r="E587" s="51"/>
      <c r="F587" s="54"/>
      <c r="G587" s="54"/>
      <c r="H587" s="52"/>
      <c r="I587" s="54"/>
      <c r="J587" s="85">
        <f>IF($E587="Fail",IF(ISNUMBER($H587),"Fixed","OPEN"),"")</f>
        <v/>
      </c>
    </row>
    <row r="588" spans="1:10">
      <c r="A588" s="52"/>
      <c r="B588" s="54"/>
      <c r="C588" s="54"/>
      <c r="D588" s="54"/>
      <c r="E588" s="51"/>
      <c r="F588" s="54"/>
      <c r="G588" s="54"/>
      <c r="H588" s="52"/>
      <c r="I588" s="54"/>
      <c r="J588" s="85">
        <f>IF($E588="Fail",IF(ISNUMBER($H588),"Fixed","OPEN"),"")</f>
        <v/>
      </c>
    </row>
    <row r="589" spans="1:10">
      <c r="A589" s="52"/>
      <c r="B589" s="54"/>
      <c r="C589" s="54"/>
      <c r="D589" s="54"/>
      <c r="E589" s="51"/>
      <c r="F589" s="54"/>
      <c r="G589" s="54"/>
      <c r="H589" s="52"/>
      <c r="I589" s="54"/>
      <c r="J589" s="85">
        <f>IF($E589="Fail",IF(ISNUMBER($H589),"Fixed","OPEN"),"")</f>
        <v/>
      </c>
    </row>
    <row r="590" spans="1:10">
      <c r="A590" s="52"/>
      <c r="B590" s="54"/>
      <c r="C590" s="54"/>
      <c r="D590" s="54"/>
      <c r="E590" s="51"/>
      <c r="F590" s="54"/>
      <c r="G590" s="54"/>
      <c r="H590" s="52"/>
      <c r="I590" s="54"/>
      <c r="J590" s="85">
        <f>IF($E590="Fail",IF(ISNUMBER($H590),"Fixed","OPEN"),"")</f>
        <v/>
      </c>
    </row>
    <row r="591" spans="1:10">
      <c r="A591" s="52"/>
      <c r="B591" s="54"/>
      <c r="C591" s="54"/>
      <c r="D591" s="54"/>
      <c r="E591" s="51"/>
      <c r="F591" s="54"/>
      <c r="G591" s="54"/>
      <c r="H591" s="52"/>
      <c r="I591" s="54"/>
      <c r="J591" s="85">
        <f>IF($E591="Fail",IF(ISNUMBER($H591),"Fixed","OPEN"),"")</f>
        <v/>
      </c>
    </row>
    <row r="592" spans="1:10">
      <c r="A592" s="52"/>
      <c r="B592" s="54"/>
      <c r="C592" s="54"/>
      <c r="D592" s="54"/>
      <c r="E592" s="51"/>
      <c r="F592" s="54"/>
      <c r="G592" s="54"/>
      <c r="H592" s="52"/>
      <c r="I592" s="54"/>
      <c r="J592" s="85">
        <f>IF($E592="Fail",IF(ISNUMBER($H592),"Fixed","OPEN"),"")</f>
        <v/>
      </c>
    </row>
    <row r="593" spans="1:10">
      <c r="A593" s="52"/>
      <c r="B593" s="54"/>
      <c r="C593" s="54"/>
      <c r="D593" s="54"/>
      <c r="E593" s="51"/>
      <c r="F593" s="54"/>
      <c r="G593" s="54"/>
      <c r="H593" s="52"/>
      <c r="I593" s="54"/>
      <c r="J593" s="85">
        <f>IF($E593="Fail",IF(ISNUMBER($H593),"Fixed","OPEN"),"")</f>
        <v/>
      </c>
    </row>
    <row r="594" spans="1:10">
      <c r="A594" s="52"/>
      <c r="B594" s="54"/>
      <c r="C594" s="54"/>
      <c r="D594" s="54"/>
      <c r="E594" s="51"/>
      <c r="F594" s="54"/>
      <c r="G594" s="54"/>
      <c r="H594" s="52"/>
      <c r="I594" s="54"/>
      <c r="J594" s="85">
        <f>IF($E594="Fail",IF(ISNUMBER($H594),"Fixed","OPEN"),"")</f>
        <v/>
      </c>
    </row>
    <row r="595" spans="1:10">
      <c r="A595" s="52"/>
      <c r="B595" s="54"/>
      <c r="C595" s="54"/>
      <c r="D595" s="54"/>
      <c r="E595" s="51"/>
      <c r="F595" s="54"/>
      <c r="G595" s="54"/>
      <c r="H595" s="52"/>
      <c r="I595" s="54"/>
      <c r="J595" s="85">
        <f>IF($E595="Fail",IF(ISNUMBER($H595),"Fixed","OPEN"),"")</f>
        <v/>
      </c>
    </row>
    <row r="596" spans="1:10">
      <c r="A596" s="52"/>
      <c r="B596" s="54"/>
      <c r="C596" s="54"/>
      <c r="D596" s="54"/>
      <c r="E596" s="51"/>
      <c r="F596" s="54"/>
      <c r="G596" s="54"/>
      <c r="H596" s="52"/>
      <c r="I596" s="54"/>
      <c r="J596" s="85">
        <f>IF($E596="Fail",IF(ISNUMBER($H596),"Fixed","OPEN"),"")</f>
        <v/>
      </c>
    </row>
    <row r="597" spans="1:10">
      <c r="A597" s="52"/>
      <c r="B597" s="54"/>
      <c r="C597" s="54"/>
      <c r="D597" s="54"/>
      <c r="E597" s="51"/>
      <c r="F597" s="54"/>
      <c r="G597" s="54"/>
      <c r="H597" s="52"/>
      <c r="I597" s="54"/>
      <c r="J597" s="85">
        <f>IF($E597="Fail",IF(ISNUMBER($H597),"Fixed","OPEN"),"")</f>
        <v/>
      </c>
    </row>
    <row r="598" spans="1:10">
      <c r="A598" s="52"/>
      <c r="B598" s="54"/>
      <c r="C598" s="54"/>
      <c r="D598" s="54"/>
      <c r="E598" s="51"/>
      <c r="F598" s="54"/>
      <c r="G598" s="54"/>
      <c r="H598" s="52"/>
      <c r="I598" s="54"/>
      <c r="J598" s="85">
        <f>IF($E598="Fail",IF(ISNUMBER($H598),"Fixed","OPEN"),"")</f>
        <v/>
      </c>
    </row>
    <row r="599" spans="1:10">
      <c r="A599" s="52"/>
      <c r="B599" s="54"/>
      <c r="C599" s="54"/>
      <c r="D599" s="54"/>
      <c r="E599" s="51"/>
      <c r="F599" s="54"/>
      <c r="G599" s="54"/>
      <c r="H599" s="52"/>
      <c r="I599" s="54"/>
      <c r="J599" s="85">
        <f>IF($E599="Fail",IF(ISNUMBER($H599),"Fixed","OPEN"),"")</f>
        <v/>
      </c>
    </row>
    <row r="600" spans="1:10">
      <c r="A600" s="52"/>
      <c r="B600" s="54"/>
      <c r="C600" s="54"/>
      <c r="D600" s="54"/>
      <c r="E600" s="51"/>
      <c r="F600" s="54"/>
      <c r="G600" s="54"/>
      <c r="H600" s="52"/>
      <c r="I600" s="54"/>
      <c r="J600" s="85">
        <f>IF($E600="Fail",IF(ISNUMBER($H600),"Fixed","OPEN"),"")</f>
        <v/>
      </c>
    </row>
    <row r="601" spans="1:10">
      <c r="A601" s="52"/>
      <c r="B601" s="54"/>
      <c r="C601" s="54"/>
      <c r="D601" s="54"/>
      <c r="E601" s="51"/>
      <c r="F601" s="54"/>
      <c r="G601" s="54"/>
      <c r="H601" s="52"/>
      <c r="I601" s="54"/>
      <c r="J601" s="85">
        <f>IF($E601="Fail",IF(ISNUMBER($H601),"Fixed","OPEN"),"")</f>
        <v/>
      </c>
    </row>
    <row r="602" spans="1:10">
      <c r="A602" s="52"/>
      <c r="B602" s="54"/>
      <c r="C602" s="54"/>
      <c r="D602" s="54"/>
      <c r="E602" s="51"/>
      <c r="F602" s="54"/>
      <c r="G602" s="54"/>
      <c r="H602" s="52"/>
      <c r="I602" s="54"/>
      <c r="J602" s="85">
        <f>IF($E602="Fail",IF(ISNUMBER($H602),"Fixed","OPEN"),"")</f>
        <v/>
      </c>
    </row>
    <row r="603" spans="1:10">
      <c r="A603" s="52"/>
      <c r="B603" s="54"/>
      <c r="C603" s="54"/>
      <c r="D603" s="54"/>
      <c r="E603" s="51"/>
      <c r="F603" s="54"/>
      <c r="G603" s="54"/>
      <c r="H603" s="52"/>
      <c r="I603" s="54"/>
      <c r="J603" s="85">
        <f>IF($E603="Fail",IF(ISNUMBER($H603),"Fixed","OPEN"),"")</f>
        <v/>
      </c>
    </row>
    <row r="604" spans="1:10">
      <c r="A604" s="52"/>
      <c r="B604" s="54"/>
      <c r="C604" s="54"/>
      <c r="D604" s="54"/>
      <c r="E604" s="51"/>
      <c r="F604" s="54"/>
      <c r="G604" s="54"/>
      <c r="H604" s="52"/>
      <c r="I604" s="54"/>
      <c r="J604" s="85">
        <f>IF($E604="Fail",IF(ISNUMBER($H604),"Fixed","OPEN"),"")</f>
        <v/>
      </c>
    </row>
    <row r="605" spans="1:10">
      <c r="A605" s="52"/>
      <c r="B605" s="54"/>
      <c r="C605" s="54"/>
      <c r="D605" s="54"/>
      <c r="E605" s="51"/>
      <c r="F605" s="54"/>
      <c r="G605" s="54"/>
      <c r="H605" s="52"/>
      <c r="I605" s="54"/>
      <c r="J605" s="85">
        <f>IF($E605="Fail",IF(ISNUMBER($H605),"Fixed","OPEN"),"")</f>
        <v/>
      </c>
    </row>
    <row r="606" spans="1:10">
      <c r="A606" s="52"/>
      <c r="B606" s="54"/>
      <c r="C606" s="54"/>
      <c r="D606" s="54"/>
      <c r="E606" s="51"/>
      <c r="F606" s="54"/>
      <c r="G606" s="54"/>
      <c r="H606" s="52"/>
      <c r="I606" s="54"/>
      <c r="J606" s="85">
        <f>IF($E606="Fail",IF(ISNUMBER($H606),"Fixed","OPEN"),"")</f>
        <v/>
      </c>
    </row>
    <row r="607" spans="1:10">
      <c r="A607" s="52"/>
      <c r="B607" s="54"/>
      <c r="C607" s="54"/>
      <c r="D607" s="54"/>
      <c r="E607" s="51"/>
      <c r="F607" s="54"/>
      <c r="G607" s="54"/>
      <c r="H607" s="52"/>
      <c r="I607" s="54"/>
      <c r="J607" s="85">
        <f>IF($E607="Fail",IF(ISNUMBER($H607),"Fixed","OPEN"),"")</f>
        <v/>
      </c>
    </row>
    <row r="608" spans="1:10">
      <c r="A608" s="52"/>
      <c r="B608" s="54"/>
      <c r="C608" s="54"/>
      <c r="D608" s="54"/>
      <c r="E608" s="51"/>
      <c r="F608" s="54"/>
      <c r="G608" s="54"/>
      <c r="H608" s="52"/>
      <c r="I608" s="54"/>
      <c r="J608" s="85">
        <f>IF($E608="Fail",IF(ISNUMBER($H608),"Fixed","OPEN"),"")</f>
        <v/>
      </c>
    </row>
    <row r="609" spans="1:10">
      <c r="A609" s="52"/>
      <c r="B609" s="54"/>
      <c r="C609" s="54"/>
      <c r="D609" s="54"/>
      <c r="E609" s="51"/>
      <c r="F609" s="54"/>
      <c r="G609" s="54"/>
      <c r="H609" s="52"/>
      <c r="I609" s="54"/>
      <c r="J609" s="85">
        <f>IF($E609="Fail",IF(ISNUMBER($H609),"Fixed","OPEN"),"")</f>
        <v/>
      </c>
    </row>
    <row r="610" spans="1:10">
      <c r="A610" s="52"/>
      <c r="B610" s="54"/>
      <c r="C610" s="54"/>
      <c r="D610" s="54"/>
      <c r="E610" s="51"/>
      <c r="F610" s="54"/>
      <c r="G610" s="54"/>
      <c r="H610" s="52"/>
      <c r="I610" s="54"/>
      <c r="J610" s="85">
        <f>IF($E610="Fail",IF(ISNUMBER($H610),"Fixed","OPEN"),"")</f>
        <v/>
      </c>
    </row>
    <row r="611" spans="1:10">
      <c r="A611" s="52"/>
      <c r="B611" s="54"/>
      <c r="C611" s="54"/>
      <c r="D611" s="54"/>
      <c r="E611" s="51"/>
      <c r="F611" s="54"/>
      <c r="G611" s="54"/>
      <c r="H611" s="52"/>
      <c r="I611" s="54"/>
      <c r="J611" s="85">
        <f>IF($E611="Fail",IF(ISNUMBER($H611),"Fixed","OPEN"),"")</f>
        <v/>
      </c>
    </row>
    <row r="612" spans="1:10">
      <c r="A612" s="52"/>
      <c r="B612" s="54"/>
      <c r="C612" s="54"/>
      <c r="D612" s="54"/>
      <c r="E612" s="51"/>
      <c r="F612" s="54"/>
      <c r="G612" s="54"/>
      <c r="H612" s="52"/>
      <c r="I612" s="54"/>
      <c r="J612" s="85">
        <f>IF($E612="Fail",IF(ISNUMBER($H612),"Fixed","OPEN"),"")</f>
        <v/>
      </c>
    </row>
    <row r="613" spans="1:10">
      <c r="A613" s="52"/>
      <c r="B613" s="54"/>
      <c r="C613" s="54"/>
      <c r="D613" s="54"/>
      <c r="E613" s="51"/>
      <c r="F613" s="54"/>
      <c r="G613" s="54"/>
      <c r="H613" s="52"/>
      <c r="I613" s="54"/>
      <c r="J613" s="85">
        <f>IF($E613="Fail",IF(ISNUMBER($H613),"Fixed","OPEN"),"")</f>
        <v/>
      </c>
    </row>
    <row r="614" spans="1:10">
      <c r="A614" s="52"/>
      <c r="B614" s="54"/>
      <c r="C614" s="54"/>
      <c r="D614" s="54"/>
      <c r="E614" s="51"/>
      <c r="F614" s="54"/>
      <c r="G614" s="54"/>
      <c r="H614" s="52"/>
      <c r="I614" s="54"/>
      <c r="J614" s="85">
        <f>IF($E614="Fail",IF(ISNUMBER($H614),"Fixed","OPEN"),"")</f>
        <v/>
      </c>
    </row>
    <row r="615" spans="1:10">
      <c r="A615" s="52"/>
      <c r="B615" s="54"/>
      <c r="C615" s="54"/>
      <c r="D615" s="54"/>
      <c r="E615" s="51"/>
      <c r="F615" s="54"/>
      <c r="G615" s="54"/>
      <c r="H615" s="52"/>
      <c r="I615" s="54"/>
      <c r="J615" s="85">
        <f>IF($E615="Fail",IF(ISNUMBER($H615),"Fixed","OPEN"),"")</f>
        <v/>
      </c>
    </row>
    <row r="616" spans="1:10">
      <c r="A616" s="52"/>
      <c r="B616" s="54"/>
      <c r="C616" s="54"/>
      <c r="D616" s="54"/>
      <c r="E616" s="51"/>
      <c r="F616" s="54"/>
      <c r="G616" s="54"/>
      <c r="H616" s="52"/>
      <c r="I616" s="54"/>
      <c r="J616" s="85">
        <f>IF($E616="Fail",IF(ISNUMBER($H616),"Fixed","OPEN"),"")</f>
        <v/>
      </c>
    </row>
    <row r="617" spans="1:10">
      <c r="A617" s="52"/>
      <c r="B617" s="54"/>
      <c r="C617" s="54"/>
      <c r="D617" s="54"/>
      <c r="E617" s="51"/>
      <c r="F617" s="54"/>
      <c r="G617" s="54"/>
      <c r="H617" s="52"/>
      <c r="I617" s="54"/>
      <c r="J617" s="85">
        <f>IF($E617="Fail",IF(ISNUMBER($H617),"Fixed","OPEN"),"")</f>
        <v/>
      </c>
    </row>
    <row r="618" spans="1:10">
      <c r="A618" s="52"/>
      <c r="B618" s="54"/>
      <c r="C618" s="54"/>
      <c r="D618" s="54"/>
      <c r="E618" s="51"/>
      <c r="F618" s="54"/>
      <c r="G618" s="54"/>
      <c r="H618" s="52"/>
      <c r="I618" s="54"/>
      <c r="J618" s="85">
        <f>IF($E618="Fail",IF(ISNUMBER($H618),"Fixed","OPEN"),"")</f>
        <v/>
      </c>
    </row>
    <row r="619" spans="1:10">
      <c r="A619" s="52"/>
      <c r="B619" s="54"/>
      <c r="C619" s="54"/>
      <c r="D619" s="54"/>
      <c r="E619" s="51"/>
      <c r="F619" s="54"/>
      <c r="G619" s="54"/>
      <c r="H619" s="52"/>
      <c r="I619" s="54"/>
      <c r="J619" s="85">
        <f>IF($E619="Fail",IF(ISNUMBER($H619),"Fixed","OPEN"),"")</f>
        <v/>
      </c>
    </row>
    <row r="620" spans="1:10">
      <c r="A620" s="52"/>
      <c r="B620" s="54"/>
      <c r="C620" s="54"/>
      <c r="D620" s="54"/>
      <c r="E620" s="51"/>
      <c r="F620" s="54"/>
      <c r="G620" s="54"/>
      <c r="H620" s="52"/>
      <c r="I620" s="54"/>
      <c r="J620" s="85">
        <f>IF($E620="Fail",IF(ISNUMBER($H620),"Fixed","OPEN"),"")</f>
        <v/>
      </c>
    </row>
    <row r="621" spans="1:10">
      <c r="A621" s="52"/>
      <c r="B621" s="54"/>
      <c r="C621" s="54"/>
      <c r="D621" s="54"/>
      <c r="E621" s="51"/>
      <c r="F621" s="54"/>
      <c r="G621" s="54"/>
      <c r="H621" s="52"/>
      <c r="I621" s="54"/>
      <c r="J621" s="85">
        <f>IF($E621="Fail",IF(ISNUMBER($H621),"Fixed","OPEN"),"")</f>
        <v/>
      </c>
    </row>
    <row r="622" spans="1:10">
      <c r="A622" s="52"/>
      <c r="B622" s="54"/>
      <c r="C622" s="54"/>
      <c r="D622" s="54"/>
      <c r="E622" s="51"/>
      <c r="F622" s="54"/>
      <c r="G622" s="54"/>
      <c r="H622" s="52"/>
      <c r="I622" s="54"/>
      <c r="J622" s="85">
        <f>IF($E622="Fail",IF(ISNUMBER($H622),"Fixed","OPEN"),"")</f>
        <v/>
      </c>
    </row>
    <row r="623" spans="1:10">
      <c r="A623" s="52"/>
      <c r="B623" s="54"/>
      <c r="C623" s="54"/>
      <c r="D623" s="54"/>
      <c r="E623" s="51"/>
      <c r="F623" s="54"/>
      <c r="G623" s="54"/>
      <c r="H623" s="52"/>
      <c r="I623" s="54"/>
      <c r="J623" s="85">
        <f>IF($E623="Fail",IF(ISNUMBER($H623),"Fixed","OPEN"),"")</f>
        <v/>
      </c>
    </row>
    <row r="624" spans="1:10">
      <c r="A624" s="52"/>
      <c r="B624" s="54"/>
      <c r="C624" s="54"/>
      <c r="D624" s="54"/>
      <c r="E624" s="51"/>
      <c r="F624" s="54"/>
      <c r="G624" s="54"/>
      <c r="H624" s="52"/>
      <c r="I624" s="54"/>
      <c r="J624" s="85">
        <f>IF($E624="Fail",IF(ISNUMBER($H624),"Fixed","OPEN"),"")</f>
        <v/>
      </c>
    </row>
    <row r="625" spans="1:10">
      <c r="A625" s="52"/>
      <c r="B625" s="54"/>
      <c r="C625" s="54"/>
      <c r="D625" s="54"/>
      <c r="E625" s="51"/>
      <c r="F625" s="54"/>
      <c r="G625" s="54"/>
      <c r="H625" s="52"/>
      <c r="I625" s="54"/>
      <c r="J625" s="85">
        <f>IF($E625="Fail",IF(ISNUMBER($H625),"Fixed","OPEN"),"")</f>
        <v/>
      </c>
    </row>
    <row r="626" spans="1:10">
      <c r="A626" s="52"/>
      <c r="B626" s="54"/>
      <c r="C626" s="54"/>
      <c r="D626" s="54"/>
      <c r="E626" s="51"/>
      <c r="F626" s="54"/>
      <c r="G626" s="54"/>
      <c r="H626" s="52"/>
      <c r="I626" s="54"/>
      <c r="J626" s="85">
        <f>IF($E626="Fail",IF(ISNUMBER($H626),"Fixed","OPEN"),"")</f>
        <v/>
      </c>
    </row>
    <row r="627" spans="1:10">
      <c r="A627" s="52"/>
      <c r="B627" s="54"/>
      <c r="C627" s="54"/>
      <c r="D627" s="54"/>
      <c r="E627" s="51"/>
      <c r="F627" s="54"/>
      <c r="G627" s="54"/>
      <c r="H627" s="52"/>
      <c r="I627" s="54"/>
      <c r="J627" s="85">
        <f>IF($E627="Fail",IF(ISNUMBER($H627),"Fixed","OPEN"),"")</f>
        <v/>
      </c>
    </row>
    <row r="628" spans="1:10">
      <c r="A628" s="52"/>
      <c r="B628" s="54"/>
      <c r="C628" s="54"/>
      <c r="D628" s="54"/>
      <c r="E628" s="51"/>
      <c r="F628" s="54"/>
      <c r="G628" s="54"/>
      <c r="H628" s="52"/>
      <c r="I628" s="54"/>
      <c r="J628" s="85">
        <f>IF($E628="Fail",IF(ISNUMBER($H628),"Fixed","OPEN"),"")</f>
        <v/>
      </c>
    </row>
    <row r="629" spans="1:10">
      <c r="A629" s="52"/>
      <c r="B629" s="54"/>
      <c r="C629" s="54"/>
      <c r="D629" s="54"/>
      <c r="E629" s="51"/>
      <c r="F629" s="54"/>
      <c r="G629" s="54"/>
      <c r="H629" s="52"/>
      <c r="I629" s="54"/>
      <c r="J629" s="85">
        <f>IF($E629="Fail",IF(ISNUMBER($H629),"Fixed","OPEN"),"")</f>
        <v/>
      </c>
    </row>
    <row r="630" spans="1:10">
      <c r="A630" s="52"/>
      <c r="B630" s="54"/>
      <c r="C630" s="54"/>
      <c r="D630" s="54"/>
      <c r="E630" s="51"/>
      <c r="F630" s="54"/>
      <c r="G630" s="54"/>
      <c r="H630" s="52"/>
      <c r="I630" s="54"/>
      <c r="J630" s="85">
        <f>IF($E630="Fail",IF(ISNUMBER($H630),"Fixed","OPEN"),"")</f>
        <v/>
      </c>
    </row>
    <row r="631" spans="1:10">
      <c r="A631" s="52"/>
      <c r="B631" s="54"/>
      <c r="C631" s="54"/>
      <c r="D631" s="54"/>
      <c r="E631" s="51"/>
      <c r="F631" s="54"/>
      <c r="G631" s="54"/>
      <c r="H631" s="52"/>
      <c r="I631" s="54"/>
      <c r="J631" s="85">
        <f>IF($E631="Fail",IF(ISNUMBER($H631),"Fixed","OPEN"),"")</f>
        <v/>
      </c>
    </row>
    <row r="632" spans="1:10">
      <c r="A632" s="52"/>
      <c r="B632" s="54"/>
      <c r="C632" s="54"/>
      <c r="D632" s="54"/>
      <c r="E632" s="51"/>
      <c r="F632" s="54"/>
      <c r="G632" s="54"/>
      <c r="H632" s="52"/>
      <c r="I632" s="54"/>
      <c r="J632" s="85">
        <f>IF($E632="Fail",IF(ISNUMBER($H632),"Fixed","OPEN"),"")</f>
        <v/>
      </c>
    </row>
    <row r="633" spans="1:10">
      <c r="A633" s="52"/>
      <c r="B633" s="54"/>
      <c r="C633" s="54"/>
      <c r="D633" s="54"/>
      <c r="E633" s="51"/>
      <c r="F633" s="54"/>
      <c r="G633" s="54"/>
      <c r="H633" s="52"/>
      <c r="I633" s="54"/>
      <c r="J633" s="85">
        <f>IF($E633="Fail",IF(ISNUMBER($H633),"Fixed","OPEN"),"")</f>
        <v/>
      </c>
    </row>
    <row r="634" spans="1:10">
      <c r="A634" s="52"/>
      <c r="B634" s="54"/>
      <c r="C634" s="54"/>
      <c r="D634" s="54"/>
      <c r="E634" s="51"/>
      <c r="F634" s="54"/>
      <c r="G634" s="54"/>
      <c r="H634" s="52"/>
      <c r="I634" s="54"/>
      <c r="J634" s="85">
        <f>IF($E634="Fail",IF(ISNUMBER($H634),"Fixed","OPEN"),"")</f>
        <v/>
      </c>
    </row>
    <row r="635" spans="1:10">
      <c r="A635" s="52"/>
      <c r="B635" s="54"/>
      <c r="C635" s="54"/>
      <c r="D635" s="54"/>
      <c r="E635" s="51"/>
      <c r="F635" s="54"/>
      <c r="G635" s="54"/>
      <c r="H635" s="52"/>
      <c r="I635" s="54"/>
      <c r="J635" s="85">
        <f>IF($E635="Fail",IF(ISNUMBER($H635),"Fixed","OPEN"),"")</f>
        <v/>
      </c>
    </row>
    <row r="636" spans="1:10">
      <c r="A636" s="52"/>
      <c r="B636" s="54"/>
      <c r="C636" s="54"/>
      <c r="D636" s="54"/>
      <c r="E636" s="51"/>
      <c r="F636" s="54"/>
      <c r="G636" s="54"/>
      <c r="H636" s="52"/>
      <c r="I636" s="54"/>
      <c r="J636" s="85">
        <f>IF($E636="Fail",IF(ISNUMBER($H636),"Fixed","OPEN"),"")</f>
        <v/>
      </c>
    </row>
    <row r="637" spans="1:10">
      <c r="A637" s="52"/>
      <c r="B637" s="54"/>
      <c r="C637" s="54"/>
      <c r="D637" s="54"/>
      <c r="E637" s="51"/>
      <c r="F637" s="54"/>
      <c r="G637" s="54"/>
      <c r="H637" s="52"/>
      <c r="I637" s="54"/>
      <c r="J637" s="85">
        <f>IF($E637="Fail",IF(ISNUMBER($H637),"Fixed","OPEN"),"")</f>
        <v/>
      </c>
    </row>
    <row r="638" spans="1:10">
      <c r="A638" s="52"/>
      <c r="B638" s="54"/>
      <c r="C638" s="54"/>
      <c r="D638" s="54"/>
      <c r="E638" s="51"/>
      <c r="F638" s="54"/>
      <c r="G638" s="54"/>
      <c r="H638" s="52"/>
      <c r="I638" s="54"/>
      <c r="J638" s="85">
        <f>IF($E638="Fail",IF(ISNUMBER($H638),"Fixed","OPEN"),"")</f>
        <v/>
      </c>
    </row>
    <row r="639" spans="1:10">
      <c r="A639" s="52"/>
      <c r="B639" s="54"/>
      <c r="C639" s="54"/>
      <c r="D639" s="54"/>
      <c r="E639" s="51"/>
      <c r="F639" s="54"/>
      <c r="G639" s="54"/>
      <c r="H639" s="52"/>
      <c r="I639" s="54"/>
      <c r="J639" s="85">
        <f>IF($E639="Fail",IF(ISNUMBER($H639),"Fixed","OPEN"),"")</f>
        <v/>
      </c>
    </row>
    <row r="640" spans="1:10">
      <c r="A640" s="52"/>
      <c r="B640" s="54"/>
      <c r="C640" s="54"/>
      <c r="D640" s="54"/>
      <c r="E640" s="51"/>
      <c r="F640" s="54"/>
      <c r="G640" s="54"/>
      <c r="H640" s="52"/>
      <c r="I640" s="54"/>
      <c r="J640" s="85">
        <f>IF($E640="Fail",IF(ISNUMBER($H640),"Fixed","OPEN"),"")</f>
        <v/>
      </c>
    </row>
    <row r="641" spans="1:10">
      <c r="A641" s="52"/>
      <c r="B641" s="54"/>
      <c r="C641" s="54"/>
      <c r="D641" s="54"/>
      <c r="E641" s="51"/>
      <c r="F641" s="54"/>
      <c r="G641" s="54"/>
      <c r="H641" s="52"/>
      <c r="I641" s="54"/>
      <c r="J641" s="85">
        <f>IF($E641="Fail",IF(ISNUMBER($H641),"Fixed","OPEN"),"")</f>
        <v/>
      </c>
    </row>
    <row r="642" spans="1:10">
      <c r="A642" s="52"/>
      <c r="B642" s="54"/>
      <c r="C642" s="54"/>
      <c r="D642" s="54"/>
      <c r="E642" s="51"/>
      <c r="F642" s="54"/>
      <c r="G642" s="54"/>
      <c r="H642" s="52"/>
      <c r="I642" s="54"/>
      <c r="J642" s="85">
        <f>IF($E642="Fail",IF(ISNUMBER($H642),"Fixed","OPEN"),"")</f>
        <v/>
      </c>
    </row>
    <row r="643" spans="1:10">
      <c r="A643" s="52"/>
      <c r="B643" s="54"/>
      <c r="C643" s="54"/>
      <c r="D643" s="54"/>
      <c r="E643" s="51"/>
      <c r="F643" s="54"/>
      <c r="G643" s="54"/>
      <c r="H643" s="52"/>
      <c r="I643" s="54"/>
      <c r="J643" s="85">
        <f>IF($E643="Fail",IF(ISNUMBER($H643),"Fixed","OPEN"),"")</f>
        <v/>
      </c>
    </row>
    <row r="644" spans="1:10">
      <c r="A644" s="52"/>
      <c r="B644" s="54"/>
      <c r="C644" s="54"/>
      <c r="D644" s="54"/>
      <c r="E644" s="51"/>
      <c r="F644" s="54"/>
      <c r="G644" s="54"/>
      <c r="H644" s="52"/>
      <c r="I644" s="54"/>
      <c r="J644" s="85">
        <f>IF($E644="Fail",IF(ISNUMBER($H644),"Fixed","OPEN"),"")</f>
        <v/>
      </c>
    </row>
    <row r="645" spans="1:10">
      <c r="A645" s="52"/>
      <c r="B645" s="54"/>
      <c r="C645" s="54"/>
      <c r="D645" s="54"/>
      <c r="E645" s="51"/>
      <c r="F645" s="54"/>
      <c r="G645" s="54"/>
      <c r="H645" s="52"/>
      <c r="I645" s="54"/>
      <c r="J645" s="85">
        <f>IF($E645="Fail",IF(ISNUMBER($H645),"Fixed","OPEN"),"")</f>
        <v/>
      </c>
    </row>
    <row r="646" spans="1:10">
      <c r="A646" s="52"/>
      <c r="B646" s="54"/>
      <c r="C646" s="54"/>
      <c r="D646" s="54"/>
      <c r="E646" s="51"/>
      <c r="F646" s="54"/>
      <c r="G646" s="54"/>
      <c r="H646" s="52"/>
      <c r="I646" s="54"/>
      <c r="J646" s="85">
        <f>IF($E646="Fail",IF(ISNUMBER($H646),"Fixed","OPEN"),"")</f>
        <v/>
      </c>
    </row>
    <row r="647" spans="1:10">
      <c r="A647" s="52"/>
      <c r="B647" s="54"/>
      <c r="C647" s="54"/>
      <c r="D647" s="54"/>
      <c r="E647" s="51"/>
      <c r="F647" s="54"/>
      <c r="G647" s="54"/>
      <c r="H647" s="52"/>
      <c r="I647" s="54"/>
      <c r="J647" s="85">
        <f>IF($E647="Fail",IF(ISNUMBER($H647),"Fixed","OPEN"),"")</f>
        <v/>
      </c>
    </row>
    <row r="648" spans="1:10">
      <c r="A648" s="52"/>
      <c r="B648" s="54"/>
      <c r="C648" s="54"/>
      <c r="D648" s="54"/>
      <c r="E648" s="51"/>
      <c r="F648" s="54"/>
      <c r="G648" s="54"/>
      <c r="H648" s="52"/>
      <c r="I648" s="54"/>
      <c r="J648" s="85">
        <f>IF($E648="Fail",IF(ISNUMBER($H648),"Fixed","OPEN"),"")</f>
        <v/>
      </c>
    </row>
    <row r="649" spans="1:10">
      <c r="A649" s="52"/>
      <c r="B649" s="54"/>
      <c r="C649" s="54"/>
      <c r="D649" s="54"/>
      <c r="E649" s="51"/>
      <c r="F649" s="54"/>
      <c r="G649" s="54"/>
      <c r="H649" s="52"/>
      <c r="I649" s="54"/>
      <c r="J649" s="85">
        <f>IF($E649="Fail",IF(ISNUMBER($H649),"Fixed","OPEN"),"")</f>
        <v/>
      </c>
    </row>
    <row r="650" spans="1:10">
      <c r="A650" s="52"/>
      <c r="B650" s="54"/>
      <c r="C650" s="54"/>
      <c r="D650" s="54"/>
      <c r="E650" s="51"/>
      <c r="F650" s="54"/>
      <c r="G650" s="54"/>
      <c r="H650" s="52"/>
      <c r="I650" s="54"/>
      <c r="J650" s="85">
        <f>IF($E650="Fail",IF(ISNUMBER($H650),"Fixed","OPEN"),"")</f>
        <v/>
      </c>
    </row>
    <row r="651" spans="1:10">
      <c r="A651" s="52"/>
      <c r="B651" s="54"/>
      <c r="C651" s="54"/>
      <c r="D651" s="54"/>
      <c r="E651" s="51"/>
      <c r="F651" s="54"/>
      <c r="G651" s="54"/>
      <c r="H651" s="52"/>
      <c r="I651" s="54"/>
      <c r="J651" s="85">
        <f>IF($E651="Fail",IF(ISNUMBER($H651),"Fixed","OPEN"),"")</f>
        <v/>
      </c>
    </row>
    <row r="652" spans="1:10">
      <c r="A652" s="52"/>
      <c r="B652" s="54"/>
      <c r="C652" s="54"/>
      <c r="D652" s="54"/>
      <c r="E652" s="51"/>
      <c r="F652" s="54"/>
      <c r="G652" s="54"/>
      <c r="H652" s="52"/>
      <c r="I652" s="54"/>
      <c r="J652" s="85">
        <f>IF($E652="Fail",IF(ISNUMBER($H652),"Fixed","OPEN"),"")</f>
        <v/>
      </c>
    </row>
    <row r="653" spans="1:10">
      <c r="A653" s="52"/>
      <c r="B653" s="54"/>
      <c r="C653" s="54"/>
      <c r="D653" s="54"/>
      <c r="E653" s="51"/>
      <c r="F653" s="54"/>
      <c r="G653" s="54"/>
      <c r="H653" s="52"/>
      <c r="I653" s="54"/>
      <c r="J653" s="85">
        <f>IF($E653="Fail",IF(ISNUMBER($H653),"Fixed","OPEN"),"")</f>
        <v/>
      </c>
    </row>
    <row r="654" spans="1:10">
      <c r="A654" s="52"/>
      <c r="B654" s="54"/>
      <c r="C654" s="54"/>
      <c r="D654" s="54"/>
      <c r="E654" s="51"/>
      <c r="F654" s="54"/>
      <c r="G654" s="54"/>
      <c r="H654" s="52"/>
      <c r="I654" s="54"/>
      <c r="J654" s="85">
        <f>IF($E654="Fail",IF(ISNUMBER($H654),"Fixed","OPEN"),"")</f>
        <v/>
      </c>
    </row>
    <row r="655" spans="1:10">
      <c r="A655" s="52"/>
      <c r="B655" s="54"/>
      <c r="C655" s="54"/>
      <c r="D655" s="54"/>
      <c r="E655" s="51"/>
      <c r="F655" s="54"/>
      <c r="G655" s="54"/>
      <c r="H655" s="52"/>
      <c r="I655" s="54"/>
      <c r="J655" s="85">
        <f>IF($E655="Fail",IF(ISNUMBER($H655),"Fixed","OPEN"),"")</f>
        <v/>
      </c>
    </row>
    <row r="656" spans="1:10">
      <c r="A656" s="52"/>
      <c r="B656" s="54"/>
      <c r="C656" s="54"/>
      <c r="D656" s="54"/>
      <c r="E656" s="51"/>
      <c r="F656" s="54"/>
      <c r="G656" s="54"/>
      <c r="H656" s="52"/>
      <c r="I656" s="54"/>
      <c r="J656" s="85">
        <f>IF($E656="Fail",IF(ISNUMBER($H656),"Fixed","OPEN"),"")</f>
        <v/>
      </c>
    </row>
    <row r="657" spans="1:10">
      <c r="A657" s="52"/>
      <c r="B657" s="54"/>
      <c r="C657" s="54"/>
      <c r="D657" s="54"/>
      <c r="E657" s="51"/>
      <c r="F657" s="54"/>
      <c r="G657" s="54"/>
      <c r="H657" s="52"/>
      <c r="I657" s="54"/>
      <c r="J657" s="85">
        <f>IF($E657="Fail",IF(ISNUMBER($H657),"Fixed","OPEN"),"")</f>
        <v/>
      </c>
    </row>
    <row r="658" spans="1:10">
      <c r="A658" s="52"/>
      <c r="B658" s="54"/>
      <c r="C658" s="54"/>
      <c r="D658" s="54"/>
      <c r="E658" s="51"/>
      <c r="F658" s="54"/>
      <c r="G658" s="54"/>
      <c r="H658" s="52"/>
      <c r="I658" s="54"/>
      <c r="J658" s="85">
        <f>IF($E658="Fail",IF(ISNUMBER($H658),"Fixed","OPEN"),"")</f>
        <v/>
      </c>
    </row>
    <row r="659" spans="1:10">
      <c r="A659" s="52"/>
      <c r="B659" s="54"/>
      <c r="C659" s="54"/>
      <c r="D659" s="54"/>
      <c r="E659" s="51"/>
      <c r="F659" s="54"/>
      <c r="G659" s="54"/>
      <c r="H659" s="52"/>
      <c r="I659" s="54"/>
      <c r="J659" s="85">
        <f>IF($E659="Fail",IF(ISNUMBER($H659),"Fixed","OPEN"),"")</f>
        <v/>
      </c>
    </row>
    <row r="660" spans="1:10">
      <c r="A660" s="52"/>
      <c r="B660" s="54"/>
      <c r="C660" s="54"/>
      <c r="D660" s="54"/>
      <c r="E660" s="51"/>
      <c r="F660" s="54"/>
      <c r="G660" s="54"/>
      <c r="H660" s="52"/>
      <c r="I660" s="54"/>
      <c r="J660" s="85">
        <f>IF($E660="Fail",IF(ISNUMBER($H660),"Fixed","OPEN"),"")</f>
        <v/>
      </c>
    </row>
    <row r="661" spans="1:10">
      <c r="A661" s="52"/>
      <c r="B661" s="54"/>
      <c r="C661" s="54"/>
      <c r="D661" s="54"/>
      <c r="E661" s="51"/>
      <c r="F661" s="54"/>
      <c r="G661" s="54"/>
      <c r="H661" s="52"/>
      <c r="I661" s="54"/>
      <c r="J661" s="85">
        <f>IF($E661="Fail",IF(ISNUMBER($H661),"Fixed","OPEN"),"")</f>
        <v/>
      </c>
    </row>
    <row r="662" spans="1:10">
      <c r="A662" s="52"/>
      <c r="B662" s="54"/>
      <c r="C662" s="54"/>
      <c r="D662" s="54"/>
      <c r="E662" s="51"/>
      <c r="F662" s="54"/>
      <c r="G662" s="54"/>
      <c r="H662" s="52"/>
      <c r="I662" s="54"/>
      <c r="J662" s="85">
        <f>IF($E662="Fail",IF(ISNUMBER($H662),"Fixed","OPEN"),"")</f>
        <v/>
      </c>
    </row>
    <row r="663" spans="1:10">
      <c r="A663" s="52"/>
      <c r="B663" s="54"/>
      <c r="C663" s="54"/>
      <c r="D663" s="54"/>
      <c r="E663" s="51"/>
      <c r="F663" s="54"/>
      <c r="G663" s="54"/>
      <c r="H663" s="52"/>
      <c r="I663" s="54"/>
      <c r="J663" s="85">
        <f>IF($E663="Fail",IF(ISNUMBER($H663),"Fixed","OPEN"),"")</f>
        <v/>
      </c>
    </row>
    <row r="664" spans="1:10">
      <c r="A664" s="52"/>
      <c r="B664" s="54"/>
      <c r="C664" s="54"/>
      <c r="D664" s="54"/>
      <c r="E664" s="51"/>
      <c r="F664" s="54"/>
      <c r="G664" s="54"/>
      <c r="H664" s="52"/>
      <c r="I664" s="54"/>
      <c r="J664" s="85">
        <f>IF($E664="Fail",IF(ISNUMBER($H664),"Fixed","OPEN"),"")</f>
        <v/>
      </c>
    </row>
    <row r="665" spans="1:10">
      <c r="A665" s="52"/>
      <c r="B665" s="54"/>
      <c r="C665" s="54"/>
      <c r="D665" s="54"/>
      <c r="E665" s="51"/>
      <c r="F665" s="54"/>
      <c r="G665" s="54"/>
      <c r="H665" s="52"/>
      <c r="I665" s="54"/>
      <c r="J665" s="85">
        <f>IF($E665="Fail",IF(ISNUMBER($H665),"Fixed","OPEN"),"")</f>
        <v/>
      </c>
    </row>
    <row r="666" spans="1:10">
      <c r="A666" s="52"/>
      <c r="B666" s="54"/>
      <c r="C666" s="54"/>
      <c r="D666" s="54"/>
      <c r="E666" s="51"/>
      <c r="F666" s="54"/>
      <c r="G666" s="54"/>
      <c r="H666" s="52"/>
      <c r="I666" s="54"/>
      <c r="J666" s="85">
        <f>IF($E666="Fail",IF(ISNUMBER($H666),"Fixed","OPEN"),"")</f>
        <v/>
      </c>
    </row>
    <row r="667" spans="1:10">
      <c r="A667" s="52"/>
      <c r="B667" s="54"/>
      <c r="C667" s="54"/>
      <c r="D667" s="54"/>
      <c r="E667" s="51"/>
      <c r="F667" s="54"/>
      <c r="G667" s="54"/>
      <c r="H667" s="52"/>
      <c r="I667" s="54"/>
      <c r="J667" s="85">
        <f>IF($E667="Fail",IF(ISNUMBER($H667),"Fixed","OPEN"),"")</f>
        <v/>
      </c>
    </row>
    <row r="668" spans="1:10">
      <c r="A668" s="52"/>
      <c r="B668" s="54"/>
      <c r="C668" s="54"/>
      <c r="D668" s="54"/>
      <c r="E668" s="51"/>
      <c r="F668" s="54"/>
      <c r="G668" s="54"/>
      <c r="H668" s="52"/>
      <c r="I668" s="54"/>
      <c r="J668" s="85">
        <f>IF($E668="Fail",IF(ISNUMBER($H668),"Fixed","OPEN"),"")</f>
        <v/>
      </c>
    </row>
    <row r="669" spans="1:10">
      <c r="A669" s="52"/>
      <c r="B669" s="54"/>
      <c r="C669" s="54"/>
      <c r="D669" s="54"/>
      <c r="E669" s="51"/>
      <c r="F669" s="54"/>
      <c r="G669" s="54"/>
      <c r="H669" s="52"/>
      <c r="I669" s="54"/>
      <c r="J669" s="85">
        <f>IF($E669="Fail",IF(ISNUMBER($H669),"Fixed","OPEN"),"")</f>
        <v/>
      </c>
    </row>
    <row r="670" spans="1:10">
      <c r="A670" s="52"/>
      <c r="B670" s="54"/>
      <c r="C670" s="54"/>
      <c r="D670" s="54"/>
      <c r="E670" s="51"/>
      <c r="F670" s="54"/>
      <c r="G670" s="54"/>
      <c r="H670" s="52"/>
      <c r="I670" s="54"/>
      <c r="J670" s="85">
        <f>IF($E670="Fail",IF(ISNUMBER($H670),"Fixed","OPEN"),"")</f>
        <v/>
      </c>
    </row>
    <row r="671" spans="1:10">
      <c r="A671" s="52"/>
      <c r="B671" s="54"/>
      <c r="C671" s="54"/>
      <c r="D671" s="54"/>
      <c r="E671" s="51"/>
      <c r="F671" s="54"/>
      <c r="G671" s="54"/>
      <c r="H671" s="52"/>
      <c r="I671" s="54"/>
      <c r="J671" s="85">
        <f>IF($E671="Fail",IF(ISNUMBER($H671),"Fixed","OPEN"),"")</f>
        <v/>
      </c>
    </row>
    <row r="672" spans="1:10">
      <c r="A672" s="52"/>
      <c r="B672" s="54"/>
      <c r="C672" s="54"/>
      <c r="D672" s="54"/>
      <c r="E672" s="51"/>
      <c r="F672" s="54"/>
      <c r="G672" s="54"/>
      <c r="H672" s="52"/>
      <c r="I672" s="54"/>
      <c r="J672" s="85">
        <f>IF($E672="Fail",IF(ISNUMBER($H672),"Fixed","OPEN"),"")</f>
        <v/>
      </c>
    </row>
    <row r="673" spans="1:10">
      <c r="A673" s="52"/>
      <c r="B673" s="54"/>
      <c r="C673" s="54"/>
      <c r="D673" s="54"/>
      <c r="E673" s="51"/>
      <c r="F673" s="54"/>
      <c r="G673" s="54"/>
      <c r="H673" s="52"/>
      <c r="I673" s="54"/>
      <c r="J673" s="85">
        <f>IF($E673="Fail",IF(ISNUMBER($H673),"Fixed","OPEN"),"")</f>
        <v/>
      </c>
    </row>
    <row r="674" spans="1:10">
      <c r="A674" s="52"/>
      <c r="B674" s="54"/>
      <c r="C674" s="54"/>
      <c r="D674" s="54"/>
      <c r="E674" s="51"/>
      <c r="F674" s="54"/>
      <c r="G674" s="54"/>
      <c r="H674" s="52"/>
      <c r="I674" s="54"/>
      <c r="J674" s="85">
        <f>IF($E674="Fail",IF(ISNUMBER($H674),"Fixed","OPEN"),"")</f>
        <v/>
      </c>
    </row>
    <row r="675" spans="1:10">
      <c r="A675" s="52"/>
      <c r="B675" s="54"/>
      <c r="C675" s="54"/>
      <c r="D675" s="54"/>
      <c r="E675" s="51"/>
      <c r="F675" s="54"/>
      <c r="G675" s="54"/>
      <c r="H675" s="52"/>
      <c r="I675" s="54"/>
      <c r="J675" s="85">
        <f>IF($E675="Fail",IF(ISNUMBER($H675),"Fixed","OPEN"),"")</f>
        <v/>
      </c>
    </row>
    <row r="676" spans="1:10">
      <c r="A676" s="52"/>
      <c r="B676" s="54"/>
      <c r="C676" s="54"/>
      <c r="D676" s="54"/>
      <c r="E676" s="51"/>
      <c r="F676" s="54"/>
      <c r="G676" s="54"/>
      <c r="H676" s="52"/>
      <c r="I676" s="54"/>
      <c r="J676" s="85">
        <f>IF($E676="Fail",IF(ISNUMBER($H676),"Fixed","OPEN"),"")</f>
        <v/>
      </c>
    </row>
    <row r="677" spans="1:10">
      <c r="A677" s="52"/>
      <c r="B677" s="54"/>
      <c r="C677" s="54"/>
      <c r="D677" s="54"/>
      <c r="E677" s="51"/>
      <c r="F677" s="54"/>
      <c r="G677" s="54"/>
      <c r="H677" s="52"/>
      <c r="I677" s="54"/>
      <c r="J677" s="85">
        <f>IF($E677="Fail",IF(ISNUMBER($H677),"Fixed","OPEN"),"")</f>
        <v/>
      </c>
    </row>
    <row r="678" spans="1:10">
      <c r="A678" s="52"/>
      <c r="B678" s="54"/>
      <c r="C678" s="54"/>
      <c r="D678" s="54"/>
      <c r="E678" s="51"/>
      <c r="F678" s="54"/>
      <c r="G678" s="54"/>
      <c r="H678" s="52"/>
      <c r="I678" s="54"/>
      <c r="J678" s="85">
        <f>IF($E678="Fail",IF(ISNUMBER($H678),"Fixed","OPEN"),"")</f>
        <v/>
      </c>
    </row>
    <row r="679" spans="1:10">
      <c r="A679" s="52"/>
      <c r="B679" s="54"/>
      <c r="C679" s="54"/>
      <c r="D679" s="54"/>
      <c r="E679" s="51"/>
      <c r="F679" s="54"/>
      <c r="G679" s="54"/>
      <c r="H679" s="52"/>
      <c r="I679" s="54"/>
      <c r="J679" s="85">
        <f>IF($E679="Fail",IF(ISNUMBER($H679),"Fixed","OPEN"),"")</f>
        <v/>
      </c>
    </row>
    <row r="680" spans="1:10">
      <c r="A680" s="52"/>
      <c r="B680" s="54"/>
      <c r="C680" s="54"/>
      <c r="D680" s="54"/>
      <c r="E680" s="51"/>
      <c r="F680" s="54"/>
      <c r="G680" s="54"/>
      <c r="H680" s="52"/>
      <c r="I680" s="54"/>
      <c r="J680" s="85">
        <f>IF($E680="Fail",IF(ISNUMBER($H680),"Fixed","OPEN"),"")</f>
        <v/>
      </c>
    </row>
    <row r="681" spans="1:10">
      <c r="A681" s="52"/>
      <c r="B681" s="54"/>
      <c r="C681" s="54"/>
      <c r="D681" s="54"/>
      <c r="E681" s="51"/>
      <c r="F681" s="54"/>
      <c r="G681" s="54"/>
      <c r="H681" s="52"/>
      <c r="I681" s="54"/>
      <c r="J681" s="85">
        <f>IF($E681="Fail",IF(ISNUMBER($H681),"Fixed","OPEN"),"")</f>
        <v/>
      </c>
    </row>
    <row r="682" spans="1:10">
      <c r="A682" s="52"/>
      <c r="B682" s="54"/>
      <c r="C682" s="54"/>
      <c r="D682" s="54"/>
      <c r="E682" s="51"/>
      <c r="F682" s="54"/>
      <c r="G682" s="54"/>
      <c r="H682" s="52"/>
      <c r="I682" s="54"/>
      <c r="J682" s="85">
        <f>IF($E682="Fail",IF(ISNUMBER($H682),"Fixed","OPEN"),"")</f>
        <v/>
      </c>
    </row>
    <row r="683" spans="1:10">
      <c r="A683" s="52"/>
      <c r="B683" s="54"/>
      <c r="C683" s="54"/>
      <c r="D683" s="54"/>
      <c r="E683" s="51"/>
      <c r="F683" s="54"/>
      <c r="G683" s="54"/>
      <c r="H683" s="52"/>
      <c r="I683" s="54"/>
      <c r="J683" s="85">
        <f>IF($E683="Fail",IF(ISNUMBER($H683),"Fixed","OPEN"),"")</f>
        <v/>
      </c>
    </row>
    <row r="684" spans="1:10">
      <c r="A684" s="52"/>
      <c r="B684" s="54"/>
      <c r="C684" s="54"/>
      <c r="D684" s="54"/>
      <c r="E684" s="51"/>
      <c r="F684" s="54"/>
      <c r="G684" s="54"/>
      <c r="H684" s="52"/>
      <c r="I684" s="54"/>
      <c r="J684" s="85">
        <f>IF($E684="Fail",IF(ISNUMBER($H684),"Fixed","OPEN"),"")</f>
        <v/>
      </c>
    </row>
    <row r="685" spans="1:10">
      <c r="A685" s="52"/>
      <c r="B685" s="54"/>
      <c r="C685" s="54"/>
      <c r="D685" s="54"/>
      <c r="E685" s="51"/>
      <c r="F685" s="54"/>
      <c r="G685" s="54"/>
      <c r="H685" s="52"/>
      <c r="I685" s="54"/>
      <c r="J685" s="85">
        <f>IF($E685="Fail",IF(ISNUMBER($H685),"Fixed","OPEN"),"")</f>
        <v/>
      </c>
    </row>
    <row r="686" spans="1:10">
      <c r="A686" s="52"/>
      <c r="B686" s="54"/>
      <c r="C686" s="54"/>
      <c r="D686" s="54"/>
      <c r="E686" s="51"/>
      <c r="F686" s="54"/>
      <c r="G686" s="54"/>
      <c r="H686" s="52"/>
      <c r="I686" s="54"/>
      <c r="J686" s="85">
        <f>IF($E686="Fail",IF(ISNUMBER($H686),"Fixed","OPEN"),"")</f>
        <v/>
      </c>
    </row>
    <row r="687" spans="1:10">
      <c r="A687" s="52"/>
      <c r="B687" s="54"/>
      <c r="C687" s="54"/>
      <c r="D687" s="54"/>
      <c r="E687" s="51"/>
      <c r="F687" s="54"/>
      <c r="G687" s="54"/>
      <c r="H687" s="52"/>
      <c r="I687" s="54"/>
      <c r="J687" s="85">
        <f>IF($E687="Fail",IF(ISNUMBER($H687),"Fixed","OPEN"),"")</f>
        <v/>
      </c>
    </row>
    <row r="688" spans="1:10">
      <c r="A688" s="52"/>
      <c r="B688" s="54"/>
      <c r="C688" s="54"/>
      <c r="D688" s="54"/>
      <c r="E688" s="51"/>
      <c r="F688" s="54"/>
      <c r="G688" s="54"/>
      <c r="H688" s="52"/>
      <c r="I688" s="54"/>
      <c r="J688" s="85">
        <f>IF($E688="Fail",IF(ISNUMBER($H688),"Fixed","OPEN"),"")</f>
        <v/>
      </c>
    </row>
    <row r="689" spans="1:10">
      <c r="A689" s="52"/>
      <c r="B689" s="54"/>
      <c r="C689" s="54"/>
      <c r="D689" s="54"/>
      <c r="E689" s="51"/>
      <c r="F689" s="54"/>
      <c r="G689" s="54"/>
      <c r="H689" s="52"/>
      <c r="I689" s="54"/>
      <c r="J689" s="85">
        <f>IF($E689="Fail",IF(ISNUMBER($H689),"Fixed","OPEN"),"")</f>
        <v/>
      </c>
    </row>
    <row r="690" spans="1:10">
      <c r="A690" s="52"/>
      <c r="B690" s="54"/>
      <c r="C690" s="54"/>
      <c r="D690" s="54"/>
      <c r="E690" s="51"/>
      <c r="F690" s="54"/>
      <c r="G690" s="54"/>
      <c r="H690" s="52"/>
      <c r="I690" s="54"/>
      <c r="J690" s="85">
        <f>IF($E690="Fail",IF(ISNUMBER($H690),"Fixed","OPEN"),"")</f>
        <v/>
      </c>
    </row>
    <row r="691" spans="1:10">
      <c r="A691" s="52"/>
      <c r="B691" s="54"/>
      <c r="C691" s="54"/>
      <c r="D691" s="54"/>
      <c r="E691" s="51"/>
      <c r="F691" s="54"/>
      <c r="G691" s="54"/>
      <c r="H691" s="52"/>
      <c r="I691" s="54"/>
      <c r="J691" s="85">
        <f>IF($E691="Fail",IF(ISNUMBER($H691),"Fixed","OPEN"),"")</f>
        <v/>
      </c>
    </row>
    <row r="692" spans="1:10">
      <c r="A692" s="52"/>
      <c r="B692" s="54"/>
      <c r="C692" s="54"/>
      <c r="D692" s="54"/>
      <c r="E692" s="51"/>
      <c r="F692" s="54"/>
      <c r="G692" s="54"/>
      <c r="H692" s="52"/>
      <c r="I692" s="54"/>
      <c r="J692" s="85">
        <f>IF($E692="Fail",IF(ISNUMBER($H692),"Fixed","OPEN"),"")</f>
        <v/>
      </c>
    </row>
    <row r="693" spans="1:10">
      <c r="A693" s="52"/>
      <c r="B693" s="54"/>
      <c r="C693" s="54"/>
      <c r="D693" s="54"/>
      <c r="E693" s="51"/>
      <c r="F693" s="54"/>
      <c r="G693" s="54"/>
      <c r="H693" s="52"/>
      <c r="I693" s="54"/>
      <c r="J693" s="85">
        <f>IF($E693="Fail",IF(ISNUMBER($H693),"Fixed","OPEN"),"")</f>
        <v/>
      </c>
    </row>
    <row r="694" spans="1:10">
      <c r="A694" s="52"/>
      <c r="B694" s="54"/>
      <c r="C694" s="54"/>
      <c r="D694" s="54"/>
      <c r="E694" s="51"/>
      <c r="F694" s="54"/>
      <c r="G694" s="54"/>
      <c r="H694" s="52"/>
      <c r="I694" s="54"/>
      <c r="J694" s="85">
        <f>IF($E694="Fail",IF(ISNUMBER($H694),"Fixed","OPEN"),"")</f>
        <v/>
      </c>
    </row>
    <row r="695" spans="1:10">
      <c r="A695" s="52"/>
      <c r="B695" s="54"/>
      <c r="C695" s="54"/>
      <c r="D695" s="54"/>
      <c r="E695" s="51"/>
      <c r="F695" s="54"/>
      <c r="G695" s="54"/>
      <c r="H695" s="52"/>
      <c r="I695" s="54"/>
      <c r="J695" s="85">
        <f>IF($E695="Fail",IF(ISNUMBER($H695),"Fixed","OPEN"),"")</f>
        <v/>
      </c>
    </row>
    <row r="696" spans="1:10">
      <c r="A696" s="52"/>
      <c r="B696" s="54"/>
      <c r="C696" s="54"/>
      <c r="D696" s="54"/>
      <c r="E696" s="51"/>
      <c r="F696" s="54"/>
      <c r="G696" s="54"/>
      <c r="H696" s="52"/>
      <c r="I696" s="54"/>
      <c r="J696" s="85">
        <f>IF($E696="Fail",IF(ISNUMBER($H696),"Fixed","OPEN"),"")</f>
        <v/>
      </c>
    </row>
    <row r="697" spans="1:10">
      <c r="A697" s="52"/>
      <c r="B697" s="54"/>
      <c r="C697" s="54"/>
      <c r="D697" s="54"/>
      <c r="E697" s="51"/>
      <c r="F697" s="54"/>
      <c r="G697" s="54"/>
      <c r="H697" s="52"/>
      <c r="I697" s="54"/>
      <c r="J697" s="85">
        <f>IF($E697="Fail",IF(ISNUMBER($H697),"Fixed","OPEN"),"")</f>
        <v/>
      </c>
    </row>
    <row r="698" spans="1:10">
      <c r="A698" s="52"/>
      <c r="B698" s="54"/>
      <c r="C698" s="54"/>
      <c r="D698" s="54"/>
      <c r="E698" s="51"/>
      <c r="F698" s="54"/>
      <c r="G698" s="54"/>
      <c r="H698" s="52"/>
      <c r="I698" s="54"/>
      <c r="J698" s="85">
        <f>IF($E698="Fail",IF(ISNUMBER($H698),"Fixed","OPEN"),"")</f>
        <v/>
      </c>
    </row>
    <row r="699" spans="1:10">
      <c r="A699" s="52"/>
      <c r="B699" s="54"/>
      <c r="C699" s="54"/>
      <c r="D699" s="54"/>
      <c r="E699" s="51"/>
      <c r="F699" s="54"/>
      <c r="G699" s="54"/>
      <c r="H699" s="52"/>
      <c r="I699" s="54"/>
      <c r="J699" s="85">
        <f>IF($E699="Fail",IF(ISNUMBER($H699),"Fixed","OPEN"),"")</f>
        <v/>
      </c>
    </row>
    <row r="700" spans="1:10">
      <c r="A700" s="52"/>
      <c r="B700" s="54"/>
      <c r="C700" s="54"/>
      <c r="D700" s="54"/>
      <c r="E700" s="51"/>
      <c r="F700" s="54"/>
      <c r="G700" s="54"/>
      <c r="H700" s="52"/>
      <c r="I700" s="54"/>
      <c r="J700" s="85">
        <f>IF($E700="Fail",IF(ISNUMBER($H700),"Fixed","OPEN"),"")</f>
        <v/>
      </c>
    </row>
    <row r="701" spans="1:10">
      <c r="A701" s="52"/>
      <c r="B701" s="54"/>
      <c r="C701" s="54"/>
      <c r="D701" s="54"/>
      <c r="E701" s="51"/>
      <c r="F701" s="54"/>
      <c r="G701" s="54"/>
      <c r="H701" s="52"/>
      <c r="I701" s="54"/>
      <c r="J701" s="85">
        <f>IF($E701="Fail",IF(ISNUMBER($H701),"Fixed","OPEN"),"")</f>
        <v/>
      </c>
    </row>
    <row r="702" spans="1:10">
      <c r="A702" s="52"/>
      <c r="B702" s="54"/>
      <c r="C702" s="54"/>
      <c r="D702" s="54"/>
      <c r="E702" s="51"/>
      <c r="F702" s="54"/>
      <c r="G702" s="54"/>
      <c r="H702" s="52"/>
      <c r="I702" s="54"/>
      <c r="J702" s="85">
        <f>IF($E702="Fail",IF(ISNUMBER($H702),"Fixed","OPEN"),"")</f>
        <v/>
      </c>
    </row>
    <row r="703" spans="1:10">
      <c r="A703" s="52"/>
      <c r="B703" s="54"/>
      <c r="C703" s="54"/>
      <c r="D703" s="54"/>
      <c r="E703" s="51"/>
      <c r="F703" s="54"/>
      <c r="G703" s="54"/>
      <c r="H703" s="52"/>
      <c r="I703" s="54"/>
      <c r="J703" s="85">
        <f>IF($E703="Fail",IF(ISNUMBER($H703),"Fixed","OPEN"),"")</f>
        <v/>
      </c>
    </row>
    <row r="704" spans="1:10">
      <c r="A704" s="52"/>
      <c r="B704" s="54"/>
      <c r="C704" s="54"/>
      <c r="D704" s="54"/>
      <c r="E704" s="51"/>
      <c r="F704" s="54"/>
      <c r="G704" s="54"/>
      <c r="H704" s="52"/>
      <c r="I704" s="54"/>
      <c r="J704" s="85">
        <f>IF($E704="Fail",IF(ISNUMBER($H704),"Fixed","OPEN"),"")</f>
        <v/>
      </c>
    </row>
    <row r="705" spans="1:10">
      <c r="A705" s="52"/>
      <c r="B705" s="54"/>
      <c r="C705" s="54"/>
      <c r="D705" s="54"/>
      <c r="E705" s="51"/>
      <c r="F705" s="54"/>
      <c r="G705" s="54"/>
      <c r="H705" s="52"/>
      <c r="I705" s="54"/>
      <c r="J705" s="85">
        <f>IF($E705="Fail",IF(ISNUMBER($H705),"Fixed","OPEN"),"")</f>
        <v/>
      </c>
    </row>
    <row r="706" spans="1:10">
      <c r="A706" s="52"/>
      <c r="B706" s="54"/>
      <c r="C706" s="54"/>
      <c r="D706" s="54"/>
      <c r="E706" s="51"/>
      <c r="F706" s="54"/>
      <c r="G706" s="54"/>
      <c r="H706" s="52"/>
      <c r="I706" s="54"/>
      <c r="J706" s="85">
        <f>IF($E706="Fail",IF(ISNUMBER($H706),"Fixed","OPEN"),"")</f>
        <v/>
      </c>
    </row>
    <row r="707" spans="1:10">
      <c r="A707" s="52"/>
      <c r="B707" s="54"/>
      <c r="C707" s="54"/>
      <c r="D707" s="54"/>
      <c r="E707" s="51"/>
      <c r="F707" s="54"/>
      <c r="G707" s="54"/>
      <c r="H707" s="52"/>
      <c r="I707" s="54"/>
      <c r="J707" s="85">
        <f>IF($E707="Fail",IF(ISNUMBER($H707),"Fixed","OPEN"),"")</f>
        <v/>
      </c>
    </row>
    <row r="708" spans="1:10">
      <c r="A708" s="52"/>
      <c r="B708" s="54"/>
      <c r="C708" s="54"/>
      <c r="D708" s="54"/>
      <c r="E708" s="51"/>
      <c r="F708" s="54"/>
      <c r="G708" s="54"/>
      <c r="H708" s="52"/>
      <c r="I708" s="54"/>
      <c r="J708" s="85">
        <f>IF($E708="Fail",IF(ISNUMBER($H708),"Fixed","OPEN"),"")</f>
        <v/>
      </c>
    </row>
    <row r="709" spans="1:10">
      <c r="A709" s="52"/>
      <c r="B709" s="54"/>
      <c r="C709" s="54"/>
      <c r="D709" s="54"/>
      <c r="E709" s="51"/>
      <c r="F709" s="54"/>
      <c r="G709" s="54"/>
      <c r="H709" s="52"/>
      <c r="I709" s="54"/>
      <c r="J709" s="85">
        <f>IF($E709="Fail",IF(ISNUMBER($H709),"Fixed","OPEN"),"")</f>
        <v/>
      </c>
    </row>
    <row r="710" spans="1:10">
      <c r="A710" s="52"/>
      <c r="B710" s="54"/>
      <c r="C710" s="54"/>
      <c r="D710" s="54"/>
      <c r="E710" s="51"/>
      <c r="F710" s="54"/>
      <c r="G710" s="54"/>
      <c r="H710" s="52"/>
      <c r="I710" s="54"/>
      <c r="J710" s="85">
        <f>IF($E710="Fail",IF(ISNUMBER($H710),"Fixed","OPEN"),"")</f>
        <v/>
      </c>
    </row>
    <row r="711" spans="1:10">
      <c r="A711" s="52"/>
      <c r="B711" s="54"/>
      <c r="C711" s="54"/>
      <c r="D711" s="54"/>
      <c r="E711" s="51"/>
      <c r="F711" s="54"/>
      <c r="G711" s="54"/>
      <c r="H711" s="52"/>
      <c r="I711" s="54"/>
      <c r="J711" s="85">
        <f>IF($E711="Fail",IF(ISNUMBER($H711),"Fixed","OPEN"),"")</f>
        <v/>
      </c>
    </row>
    <row r="712" spans="1:10">
      <c r="A712" s="52"/>
      <c r="B712" s="54"/>
      <c r="C712" s="54"/>
      <c r="D712" s="54"/>
      <c r="E712" s="51"/>
      <c r="F712" s="54"/>
      <c r="G712" s="54"/>
      <c r="H712" s="52"/>
      <c r="I712" s="54"/>
      <c r="J712" s="85">
        <f>IF($E712="Fail",IF(ISNUMBER($H712),"Fixed","OPEN"),"")</f>
        <v/>
      </c>
    </row>
    <row r="713" spans="1:10">
      <c r="A713" s="52"/>
      <c r="B713" s="54"/>
      <c r="C713" s="54"/>
      <c r="D713" s="54"/>
      <c r="E713" s="51"/>
      <c r="F713" s="54"/>
      <c r="G713" s="54"/>
      <c r="H713" s="52"/>
      <c r="I713" s="54"/>
      <c r="J713" s="85">
        <f>IF($E713="Fail",IF(ISNUMBER($H713),"Fixed","OPEN"),"")</f>
        <v/>
      </c>
    </row>
    <row r="714" spans="1:10">
      <c r="A714" s="52"/>
      <c r="B714" s="54"/>
      <c r="C714" s="54"/>
      <c r="D714" s="54"/>
      <c r="E714" s="51"/>
      <c r="F714" s="54"/>
      <c r="G714" s="54"/>
      <c r="H714" s="52"/>
      <c r="I714" s="54"/>
      <c r="J714" s="85">
        <f>IF($E714="Fail",IF(ISNUMBER($H714),"Fixed","OPEN"),"")</f>
        <v/>
      </c>
    </row>
    <row r="715" spans="1:10">
      <c r="A715" s="52"/>
      <c r="B715" s="54"/>
      <c r="C715" s="54"/>
      <c r="D715" s="54"/>
      <c r="E715" s="51"/>
      <c r="F715" s="54"/>
      <c r="G715" s="54"/>
      <c r="H715" s="52"/>
      <c r="I715" s="54"/>
      <c r="J715" s="85">
        <f>IF($E715="Fail",IF(ISNUMBER($H715),"Fixed","OPEN"),"")</f>
        <v/>
      </c>
    </row>
    <row r="716" spans="1:10">
      <c r="A716" s="52"/>
      <c r="B716" s="54"/>
      <c r="C716" s="54"/>
      <c r="D716" s="54"/>
      <c r="E716" s="51"/>
      <c r="F716" s="54"/>
      <c r="G716" s="54"/>
      <c r="H716" s="52"/>
      <c r="I716" s="54"/>
      <c r="J716" s="85">
        <f>IF($E716="Fail",IF(ISNUMBER($H716),"Fixed","OPEN"),"")</f>
        <v/>
      </c>
    </row>
    <row r="717" spans="1:10">
      <c r="A717" s="52"/>
      <c r="B717" s="54"/>
      <c r="C717" s="54"/>
      <c r="D717" s="54"/>
      <c r="E717" s="51"/>
      <c r="F717" s="54"/>
      <c r="G717" s="54"/>
      <c r="H717" s="52"/>
      <c r="I717" s="54"/>
      <c r="J717" s="85">
        <f>IF($E717="Fail",IF(ISNUMBER($H717),"Fixed","OPEN"),"")</f>
        <v/>
      </c>
    </row>
    <row r="718" spans="1:10">
      <c r="A718" s="52"/>
      <c r="B718" s="54"/>
      <c r="C718" s="54"/>
      <c r="D718" s="54"/>
      <c r="E718" s="51"/>
      <c r="F718" s="54"/>
      <c r="G718" s="54"/>
      <c r="H718" s="52"/>
      <c r="I718" s="54"/>
      <c r="J718" s="85">
        <f>IF($E718="Fail",IF(ISNUMBER($H718),"Fixed","OPEN"),"")</f>
        <v/>
      </c>
    </row>
    <row r="719" spans="1:10">
      <c r="A719" s="52"/>
      <c r="B719" s="54"/>
      <c r="C719" s="54"/>
      <c r="D719" s="54"/>
      <c r="E719" s="51"/>
      <c r="F719" s="54"/>
      <c r="G719" s="54"/>
      <c r="H719" s="52"/>
      <c r="I719" s="54"/>
      <c r="J719" s="85">
        <f>IF($E719="Fail",IF(ISNUMBER($H719),"Fixed","OPEN"),"")</f>
        <v/>
      </c>
    </row>
    <row r="720" spans="1:10">
      <c r="A720" s="52"/>
      <c r="B720" s="54"/>
      <c r="C720" s="54"/>
      <c r="D720" s="54"/>
      <c r="E720" s="51"/>
      <c r="F720" s="54"/>
      <c r="G720" s="54"/>
      <c r="H720" s="52"/>
      <c r="I720" s="54"/>
      <c r="J720" s="85">
        <f>IF($E720="Fail",IF(ISNUMBER($H720),"Fixed","OPEN"),"")</f>
        <v/>
      </c>
    </row>
    <row r="721" spans="1:10">
      <c r="A721" s="52"/>
      <c r="B721" s="54"/>
      <c r="C721" s="54"/>
      <c r="D721" s="54"/>
      <c r="E721" s="51"/>
      <c r="F721" s="54"/>
      <c r="G721" s="54"/>
      <c r="H721" s="52"/>
      <c r="I721" s="54"/>
      <c r="J721" s="85">
        <f>IF($E721="Fail",IF(ISNUMBER($H721),"Fixed","OPEN"),"")</f>
        <v/>
      </c>
    </row>
    <row r="722" spans="1:10">
      <c r="A722" s="52"/>
      <c r="B722" s="54"/>
      <c r="C722" s="54"/>
      <c r="D722" s="54"/>
      <c r="E722" s="51"/>
      <c r="F722" s="54"/>
      <c r="G722" s="54"/>
      <c r="H722" s="52"/>
      <c r="I722" s="54"/>
      <c r="J722" s="85">
        <f>IF($E722="Fail",IF(ISNUMBER($H722),"Fixed","OPEN"),"")</f>
        <v/>
      </c>
    </row>
    <row r="723" spans="1:10">
      <c r="A723" s="52"/>
      <c r="B723" s="54"/>
      <c r="C723" s="54"/>
      <c r="D723" s="54"/>
      <c r="E723" s="51"/>
      <c r="F723" s="54"/>
      <c r="G723" s="54"/>
      <c r="H723" s="52"/>
      <c r="I723" s="54"/>
      <c r="J723" s="85">
        <f>IF($E723="Fail",IF(ISNUMBER($H723),"Fixed","OPEN"),"")</f>
        <v/>
      </c>
    </row>
    <row r="724" spans="1:10">
      <c r="A724" s="52"/>
      <c r="B724" s="54"/>
      <c r="C724" s="54"/>
      <c r="D724" s="54"/>
      <c r="E724" s="51"/>
      <c r="F724" s="54"/>
      <c r="G724" s="54"/>
      <c r="H724" s="52"/>
      <c r="I724" s="54"/>
      <c r="J724" s="85">
        <f>IF($E724="Fail",IF(ISNUMBER($H724),"Fixed","OPEN"),"")</f>
        <v/>
      </c>
    </row>
    <row r="725" spans="1:10">
      <c r="A725" s="52"/>
      <c r="B725" s="54"/>
      <c r="C725" s="54"/>
      <c r="D725" s="54"/>
      <c r="E725" s="51"/>
      <c r="F725" s="54"/>
      <c r="G725" s="54"/>
      <c r="H725" s="52"/>
      <c r="I725" s="54"/>
      <c r="J725" s="85">
        <f>IF($E725="Fail",IF(ISNUMBER($H725),"Fixed","OPEN"),"")</f>
        <v/>
      </c>
    </row>
    <row r="726" spans="1:10">
      <c r="A726" s="52"/>
      <c r="B726" s="54"/>
      <c r="C726" s="54"/>
      <c r="D726" s="54"/>
      <c r="E726" s="51"/>
      <c r="F726" s="54"/>
      <c r="G726" s="54"/>
      <c r="H726" s="52"/>
      <c r="I726" s="54"/>
      <c r="J726" s="85">
        <f>IF($E726="Fail",IF(ISNUMBER($H726),"Fixed","OPEN"),"")</f>
        <v/>
      </c>
    </row>
    <row r="727" spans="1:10">
      <c r="A727" s="52"/>
      <c r="B727" s="54"/>
      <c r="C727" s="54"/>
      <c r="D727" s="54"/>
      <c r="E727" s="51"/>
      <c r="F727" s="54"/>
      <c r="G727" s="54"/>
      <c r="H727" s="52"/>
      <c r="I727" s="54"/>
      <c r="J727" s="85">
        <f>IF($E727="Fail",IF(ISNUMBER($H727),"Fixed","OPEN"),"")</f>
        <v/>
      </c>
    </row>
    <row r="728" spans="1:10">
      <c r="A728" s="52"/>
      <c r="B728" s="54"/>
      <c r="C728" s="54"/>
      <c r="D728" s="54"/>
      <c r="E728" s="51"/>
      <c r="F728" s="54"/>
      <c r="G728" s="54"/>
      <c r="H728" s="52"/>
      <c r="I728" s="54"/>
      <c r="J728" s="85">
        <f>IF($E728="Fail",IF(ISNUMBER($H728),"Fixed","OPEN"),"")</f>
        <v/>
      </c>
    </row>
    <row r="729" spans="1:10">
      <c r="A729" s="52"/>
      <c r="B729" s="54"/>
      <c r="C729" s="54"/>
      <c r="D729" s="54"/>
      <c r="E729" s="51"/>
      <c r="F729" s="54"/>
      <c r="G729" s="54"/>
      <c r="H729" s="52"/>
      <c r="I729" s="54"/>
      <c r="J729" s="85">
        <f>IF($E729="Fail",IF(ISNUMBER($H729),"Fixed","OPEN"),"")</f>
        <v/>
      </c>
    </row>
    <row r="730" spans="1:10">
      <c r="A730" s="52"/>
      <c r="B730" s="54"/>
      <c r="C730" s="54"/>
      <c r="D730" s="54"/>
      <c r="E730" s="51"/>
      <c r="F730" s="54"/>
      <c r="G730" s="54"/>
      <c r="H730" s="52"/>
      <c r="I730" s="54"/>
      <c r="J730" s="85">
        <f>IF($E730="Fail",IF(ISNUMBER($H730),"Fixed","OPEN"),"")</f>
        <v/>
      </c>
    </row>
    <row r="731" spans="1:10">
      <c r="A731" s="52"/>
      <c r="B731" s="54"/>
      <c r="C731" s="54"/>
      <c r="D731" s="54"/>
      <c r="E731" s="51"/>
      <c r="F731" s="54"/>
      <c r="G731" s="54"/>
      <c r="H731" s="52"/>
      <c r="I731" s="54"/>
      <c r="J731" s="85">
        <f>IF($E731="Fail",IF(ISNUMBER($H731),"Fixed","OPEN"),"")</f>
        <v/>
      </c>
    </row>
    <row r="732" spans="1:10">
      <c r="A732" s="52"/>
      <c r="B732" s="54"/>
      <c r="C732" s="54"/>
      <c r="D732" s="54"/>
      <c r="E732" s="51"/>
      <c r="F732" s="54"/>
      <c r="G732" s="54"/>
      <c r="H732" s="52"/>
      <c r="I732" s="54"/>
      <c r="J732" s="85">
        <f>IF($E732="Fail",IF(ISNUMBER($H732),"Fixed","OPEN"),"")</f>
        <v/>
      </c>
    </row>
    <row r="733" spans="1:10">
      <c r="A733" s="52"/>
      <c r="B733" s="54"/>
      <c r="C733" s="54"/>
      <c r="D733" s="54"/>
      <c r="E733" s="51"/>
      <c r="F733" s="54"/>
      <c r="G733" s="54"/>
      <c r="H733" s="52"/>
      <c r="I733" s="54"/>
      <c r="J733" s="85">
        <f>IF($E733="Fail",IF(ISNUMBER($H733),"Fixed","OPEN"),"")</f>
        <v/>
      </c>
    </row>
    <row r="734" spans="1:10">
      <c r="A734" s="52"/>
      <c r="B734" s="54"/>
      <c r="C734" s="54"/>
      <c r="D734" s="54"/>
      <c r="E734" s="51"/>
      <c r="F734" s="54"/>
      <c r="G734" s="54"/>
      <c r="H734" s="52"/>
      <c r="I734" s="54"/>
      <c r="J734" s="85">
        <f>IF($E734="Fail",IF(ISNUMBER($H734),"Fixed","OPEN"),"")</f>
        <v/>
      </c>
    </row>
    <row r="735" spans="1:10">
      <c r="A735" s="52"/>
      <c r="B735" s="54"/>
      <c r="C735" s="54"/>
      <c r="D735" s="54"/>
      <c r="E735" s="51"/>
      <c r="F735" s="54"/>
      <c r="G735" s="54"/>
      <c r="H735" s="52"/>
      <c r="I735" s="54"/>
      <c r="J735" s="85">
        <f>IF($E735="Fail",IF(ISNUMBER($H735),"Fixed","OPEN"),"")</f>
        <v/>
      </c>
    </row>
    <row r="736" spans="1:10">
      <c r="A736" s="52"/>
      <c r="B736" s="54"/>
      <c r="C736" s="54"/>
      <c r="D736" s="54"/>
      <c r="E736" s="51"/>
      <c r="F736" s="54"/>
      <c r="G736" s="54"/>
      <c r="H736" s="52"/>
      <c r="I736" s="54"/>
      <c r="J736" s="85">
        <f>IF($E736="Fail",IF(ISNUMBER($H736),"Fixed","OPEN"),"")</f>
        <v/>
      </c>
    </row>
    <row r="737" spans="1:10">
      <c r="A737" s="52"/>
      <c r="B737" s="54"/>
      <c r="C737" s="54"/>
      <c r="D737" s="54"/>
      <c r="E737" s="51"/>
      <c r="F737" s="54"/>
      <c r="G737" s="54"/>
      <c r="H737" s="52"/>
      <c r="I737" s="54"/>
      <c r="J737" s="85">
        <f>IF($E737="Fail",IF(ISNUMBER($H737),"Fixed","OPEN"),"")</f>
        <v/>
      </c>
    </row>
    <row r="738" spans="1:10">
      <c r="A738" s="52"/>
      <c r="B738" s="54"/>
      <c r="C738" s="54"/>
      <c r="D738" s="54"/>
      <c r="E738" s="51"/>
      <c r="F738" s="54"/>
      <c r="G738" s="54"/>
      <c r="H738" s="52"/>
      <c r="I738" s="54"/>
      <c r="J738" s="85">
        <f>IF($E738="Fail",IF(ISNUMBER($H738),"Fixed","OPEN"),"")</f>
        <v/>
      </c>
    </row>
    <row r="739" spans="1:10">
      <c r="A739" s="52"/>
      <c r="B739" s="54"/>
      <c r="C739" s="54"/>
      <c r="D739" s="54"/>
      <c r="E739" s="51"/>
      <c r="F739" s="54"/>
      <c r="G739" s="54"/>
      <c r="H739" s="52"/>
      <c r="I739" s="54"/>
      <c r="J739" s="85">
        <f>IF($E739="Fail",IF(ISNUMBER($H739),"Fixed","OPEN"),"")</f>
        <v/>
      </c>
    </row>
    <row r="740" spans="1:10">
      <c r="A740" s="52"/>
      <c r="B740" s="54"/>
      <c r="C740" s="54"/>
      <c r="D740" s="54"/>
      <c r="E740" s="51"/>
      <c r="F740" s="54"/>
      <c r="G740" s="54"/>
      <c r="H740" s="52"/>
      <c r="I740" s="54"/>
      <c r="J740" s="85">
        <f>IF($E740="Fail",IF(ISNUMBER($H740),"Fixed","OPEN"),"")</f>
        <v/>
      </c>
    </row>
    <row r="741" spans="1:10">
      <c r="A741" s="52"/>
      <c r="B741" s="54"/>
      <c r="C741" s="54"/>
      <c r="D741" s="54"/>
      <c r="E741" s="51"/>
      <c r="F741" s="54"/>
      <c r="G741" s="54"/>
      <c r="H741" s="52"/>
      <c r="I741" s="54"/>
      <c r="J741" s="85">
        <f>IF($E741="Fail",IF(ISNUMBER($H741),"Fixed","OPEN"),"")</f>
        <v/>
      </c>
    </row>
    <row r="742" spans="1:10">
      <c r="A742" s="52"/>
      <c r="B742" s="54"/>
      <c r="C742" s="54"/>
      <c r="D742" s="54"/>
      <c r="E742" s="51"/>
      <c r="F742" s="54"/>
      <c r="G742" s="54"/>
      <c r="H742" s="52"/>
      <c r="I742" s="54"/>
      <c r="J742" s="85">
        <f>IF($E742="Fail",IF(ISNUMBER($H742),"Fixed","OPEN"),"")</f>
        <v/>
      </c>
    </row>
    <row r="743" spans="1:10">
      <c r="A743" s="52"/>
      <c r="B743" s="54"/>
      <c r="C743" s="54"/>
      <c r="D743" s="54"/>
      <c r="E743" s="51"/>
      <c r="F743" s="54"/>
      <c r="G743" s="54"/>
      <c r="H743" s="52"/>
      <c r="I743" s="54"/>
      <c r="J743" s="85">
        <f>IF($E743="Fail",IF(ISNUMBER($H743),"Fixed","OPEN"),"")</f>
        <v/>
      </c>
    </row>
    <row r="744" spans="1:10">
      <c r="A744" s="52"/>
      <c r="B744" s="54"/>
      <c r="C744" s="54"/>
      <c r="D744" s="54"/>
      <c r="E744" s="51"/>
      <c r="F744" s="54"/>
      <c r="G744" s="54"/>
      <c r="H744" s="52"/>
      <c r="I744" s="54"/>
      <c r="J744" s="85">
        <f>IF($E744="Fail",IF(ISNUMBER($H744),"Fixed","OPEN"),"")</f>
        <v/>
      </c>
    </row>
    <row r="745" spans="1:10">
      <c r="A745" s="52"/>
      <c r="B745" s="54"/>
      <c r="C745" s="54"/>
      <c r="D745" s="54"/>
      <c r="E745" s="51"/>
      <c r="F745" s="54"/>
      <c r="G745" s="54"/>
      <c r="H745" s="52"/>
      <c r="I745" s="54"/>
      <c r="J745" s="85">
        <f>IF($E745="Fail",IF(ISNUMBER($H745),"Fixed","OPEN"),"")</f>
        <v/>
      </c>
    </row>
    <row r="746" spans="1:10">
      <c r="A746" s="52"/>
      <c r="B746" s="54"/>
      <c r="C746" s="54"/>
      <c r="D746" s="54"/>
      <c r="E746" s="51"/>
      <c r="F746" s="54"/>
      <c r="G746" s="54"/>
      <c r="H746" s="52"/>
      <c r="I746" s="54"/>
      <c r="J746" s="85">
        <f>IF($E746="Fail",IF(ISNUMBER($H746),"Fixed","OPEN"),"")</f>
        <v/>
      </c>
    </row>
    <row r="747" spans="1:10">
      <c r="A747" s="52"/>
      <c r="B747" s="54"/>
      <c r="C747" s="54"/>
      <c r="D747" s="54"/>
      <c r="E747" s="51"/>
      <c r="F747" s="54"/>
      <c r="G747" s="54"/>
      <c r="H747" s="52"/>
      <c r="I747" s="54"/>
      <c r="J747" s="85">
        <f>IF($E747="Fail",IF(ISNUMBER($H747),"Fixed","OPEN"),"")</f>
        <v/>
      </c>
    </row>
    <row r="748" spans="1:10">
      <c r="A748" s="52"/>
      <c r="B748" s="54"/>
      <c r="C748" s="54"/>
      <c r="D748" s="54"/>
      <c r="E748" s="51"/>
      <c r="F748" s="54"/>
      <c r="G748" s="54"/>
      <c r="H748" s="52"/>
      <c r="I748" s="54"/>
      <c r="J748" s="85">
        <f>IF($E748="Fail",IF(ISNUMBER($H748),"Fixed","OPEN"),"")</f>
        <v/>
      </c>
    </row>
    <row r="749" spans="1:10">
      <c r="A749" s="52"/>
      <c r="B749" s="54"/>
      <c r="C749" s="54"/>
      <c r="D749" s="54"/>
      <c r="E749" s="51"/>
      <c r="F749" s="54"/>
      <c r="G749" s="54"/>
      <c r="H749" s="52"/>
      <c r="I749" s="54"/>
      <c r="J749" s="85">
        <f>IF($E749="Fail",IF(ISNUMBER($H749),"Fixed","OPEN"),"")</f>
        <v/>
      </c>
    </row>
    <row r="750" spans="1:10">
      <c r="A750" s="52"/>
      <c r="B750" s="54"/>
      <c r="C750" s="54"/>
      <c r="D750" s="54"/>
      <c r="E750" s="51"/>
      <c r="F750" s="54"/>
      <c r="G750" s="54"/>
      <c r="H750" s="52"/>
      <c r="I750" s="54"/>
      <c r="J750" s="85">
        <f>IF($E750="Fail",IF(ISNUMBER($H750),"Fixed","OPEN"),"")</f>
        <v/>
      </c>
    </row>
    <row r="751" spans="1:10">
      <c r="A751" s="52"/>
      <c r="B751" s="54"/>
      <c r="C751" s="54"/>
      <c r="D751" s="54"/>
      <c r="E751" s="51"/>
      <c r="F751" s="54"/>
      <c r="G751" s="54"/>
      <c r="H751" s="52"/>
      <c r="I751" s="54"/>
      <c r="J751" s="85">
        <f>IF($E751="Fail",IF(ISNUMBER($H751),"Fixed","OPEN"),"")</f>
        <v/>
      </c>
    </row>
    <row r="752" spans="1:10">
      <c r="A752" s="52"/>
      <c r="B752" s="54"/>
      <c r="C752" s="54"/>
      <c r="D752" s="54"/>
      <c r="E752" s="51"/>
      <c r="F752" s="54"/>
      <c r="G752" s="54"/>
      <c r="H752" s="52"/>
      <c r="I752" s="54"/>
      <c r="J752" s="85">
        <f>IF($E752="Fail",IF(ISNUMBER($H752),"Fixed","OPEN"),"")</f>
        <v/>
      </c>
    </row>
    <row r="753" spans="1:10">
      <c r="A753" s="52"/>
      <c r="B753" s="54"/>
      <c r="C753" s="54"/>
      <c r="D753" s="54"/>
      <c r="E753" s="51"/>
      <c r="F753" s="54"/>
      <c r="G753" s="54"/>
      <c r="H753" s="52"/>
      <c r="I753" s="54"/>
      <c r="J753" s="85">
        <f>IF($E753="Fail",IF(ISNUMBER($H753),"Fixed","OPEN"),"")</f>
        <v/>
      </c>
    </row>
    <row r="754" spans="1:10">
      <c r="A754" s="52"/>
      <c r="B754" s="54"/>
      <c r="C754" s="54"/>
      <c r="D754" s="54"/>
      <c r="E754" s="51"/>
      <c r="F754" s="54"/>
      <c r="G754" s="54"/>
      <c r="H754" s="52"/>
      <c r="I754" s="54"/>
      <c r="J754" s="85">
        <f>IF($E754="Fail",IF(ISNUMBER($H754),"Fixed","OPEN"),"")</f>
        <v/>
      </c>
    </row>
    <row r="755" spans="1:10">
      <c r="A755" s="52"/>
      <c r="B755" s="54"/>
      <c r="C755" s="54"/>
      <c r="D755" s="54"/>
      <c r="E755" s="51"/>
      <c r="F755" s="54"/>
      <c r="G755" s="54"/>
      <c r="H755" s="52"/>
      <c r="I755" s="54"/>
      <c r="J755" s="85">
        <f>IF($E755="Fail",IF(ISNUMBER($H755),"Fixed","OPEN"),"")</f>
        <v/>
      </c>
    </row>
    <row r="756" spans="1:10">
      <c r="A756" s="52"/>
      <c r="B756" s="54"/>
      <c r="C756" s="54"/>
      <c r="D756" s="54"/>
      <c r="E756" s="51"/>
      <c r="F756" s="54"/>
      <c r="G756" s="54"/>
      <c r="H756" s="52"/>
      <c r="I756" s="54"/>
      <c r="J756" s="85">
        <f>IF($E756="Fail",IF(ISNUMBER($H756),"Fixed","OPEN"),"")</f>
        <v/>
      </c>
    </row>
    <row r="757" spans="1:10">
      <c r="A757" s="52"/>
      <c r="B757" s="54"/>
      <c r="C757" s="54"/>
      <c r="D757" s="54"/>
      <c r="E757" s="51"/>
      <c r="F757" s="54"/>
      <c r="G757" s="54"/>
      <c r="H757" s="52"/>
      <c r="I757" s="54"/>
      <c r="J757" s="85">
        <f>IF($E757="Fail",IF(ISNUMBER($H757),"Fixed","OPEN"),"")</f>
        <v/>
      </c>
    </row>
    <row r="758" spans="1:10">
      <c r="A758" s="52"/>
      <c r="B758" s="54"/>
      <c r="C758" s="54"/>
      <c r="D758" s="54"/>
      <c r="E758" s="51"/>
      <c r="F758" s="54"/>
      <c r="G758" s="54"/>
      <c r="H758" s="52"/>
      <c r="I758" s="54"/>
      <c r="J758" s="85">
        <f>IF($E758="Fail",IF(ISNUMBER($H758),"Fixed","OPEN"),"")</f>
        <v/>
      </c>
    </row>
    <row r="759" spans="1:10">
      <c r="A759" s="52"/>
      <c r="B759" s="54"/>
      <c r="C759" s="54"/>
      <c r="D759" s="54"/>
      <c r="E759" s="51"/>
      <c r="F759" s="54"/>
      <c r="G759" s="54"/>
      <c r="H759" s="52"/>
      <c r="I759" s="54"/>
      <c r="J759" s="85">
        <f>IF($E759="Fail",IF(ISNUMBER($H759),"Fixed","OPEN"),"")</f>
        <v/>
      </c>
    </row>
    <row r="760" spans="1:10">
      <c r="A760" s="52"/>
      <c r="B760" s="54"/>
      <c r="C760" s="54"/>
      <c r="D760" s="54"/>
      <c r="E760" s="51"/>
      <c r="F760" s="54"/>
      <c r="G760" s="54"/>
      <c r="H760" s="52"/>
      <c r="I760" s="54"/>
      <c r="J760" s="85">
        <f>IF($E760="Fail",IF(ISNUMBER($H760),"Fixed","OPEN"),"")</f>
        <v/>
      </c>
    </row>
    <row r="761" spans="1:10">
      <c r="A761" s="52"/>
      <c r="B761" s="54"/>
      <c r="C761" s="54"/>
      <c r="D761" s="54"/>
      <c r="E761" s="51"/>
      <c r="F761" s="54"/>
      <c r="G761" s="54"/>
      <c r="H761" s="52"/>
      <c r="I761" s="54"/>
      <c r="J761" s="85">
        <f>IF($E761="Fail",IF(ISNUMBER($H761),"Fixed","OPEN"),"")</f>
        <v/>
      </c>
    </row>
    <row r="762" spans="1:10">
      <c r="A762" s="52"/>
      <c r="B762" s="54"/>
      <c r="C762" s="54"/>
      <c r="D762" s="54"/>
      <c r="E762" s="51"/>
      <c r="F762" s="54"/>
      <c r="G762" s="54"/>
      <c r="H762" s="52"/>
      <c r="I762" s="54"/>
      <c r="J762" s="85">
        <f>IF($E762="Fail",IF(ISNUMBER($H762),"Fixed","OPEN"),"")</f>
        <v/>
      </c>
    </row>
    <row r="763" spans="1:10">
      <c r="A763" s="52"/>
      <c r="B763" s="54"/>
      <c r="C763" s="54"/>
      <c r="D763" s="54"/>
      <c r="E763" s="51"/>
      <c r="F763" s="54"/>
      <c r="G763" s="54"/>
      <c r="H763" s="52"/>
      <c r="I763" s="54"/>
      <c r="J763" s="85">
        <f>IF($E763="Fail",IF(ISNUMBER($H763),"Fixed","OPEN"),"")</f>
        <v/>
      </c>
    </row>
    <row r="764" spans="1:10">
      <c r="A764" s="52"/>
      <c r="B764" s="54"/>
      <c r="C764" s="54"/>
      <c r="D764" s="54"/>
      <c r="E764" s="51"/>
      <c r="F764" s="54"/>
      <c r="G764" s="54"/>
      <c r="H764" s="52"/>
      <c r="I764" s="54"/>
      <c r="J764" s="85">
        <f>IF($E764="Fail",IF(ISNUMBER($H764),"Fixed","OPEN"),"")</f>
        <v/>
      </c>
    </row>
    <row r="765" spans="1:10">
      <c r="A765" s="52"/>
      <c r="B765" s="54"/>
      <c r="C765" s="54"/>
      <c r="D765" s="54"/>
      <c r="E765" s="51"/>
      <c r="F765" s="54"/>
      <c r="G765" s="54"/>
      <c r="H765" s="52"/>
      <c r="I765" s="54"/>
      <c r="J765" s="85">
        <f>IF($E765="Fail",IF(ISNUMBER($H765),"Fixed","OPEN"),"")</f>
        <v/>
      </c>
    </row>
    <row r="766" spans="1:10">
      <c r="A766" s="52"/>
      <c r="B766" s="54"/>
      <c r="C766" s="54"/>
      <c r="D766" s="54"/>
      <c r="E766" s="51"/>
      <c r="F766" s="54"/>
      <c r="G766" s="54"/>
      <c r="H766" s="52"/>
      <c r="I766" s="54"/>
      <c r="J766" s="85">
        <f>IF($E766="Fail",IF(ISNUMBER($H766),"Fixed","OPEN"),"")</f>
        <v/>
      </c>
    </row>
    <row r="767" spans="1:10">
      <c r="A767" s="52"/>
      <c r="B767" s="54"/>
      <c r="C767" s="54"/>
      <c r="D767" s="54"/>
      <c r="E767" s="51"/>
      <c r="F767" s="54"/>
      <c r="G767" s="54"/>
      <c r="H767" s="52"/>
      <c r="I767" s="54"/>
      <c r="J767" s="85">
        <f>IF($E767="Fail",IF(ISNUMBER($H767),"Fixed","OPEN"),"")</f>
        <v/>
      </c>
    </row>
    <row r="768" spans="1:10">
      <c r="A768" s="52"/>
      <c r="B768" s="54"/>
      <c r="C768" s="54"/>
      <c r="D768" s="54"/>
      <c r="E768" s="51"/>
      <c r="F768" s="54"/>
      <c r="G768" s="54"/>
      <c r="H768" s="52"/>
      <c r="I768" s="54"/>
      <c r="J768" s="85">
        <f>IF($E768="Fail",IF(ISNUMBER($H768),"Fixed","OPEN"),"")</f>
        <v/>
      </c>
    </row>
    <row r="769" spans="1:10">
      <c r="A769" s="52"/>
      <c r="B769" s="54"/>
      <c r="C769" s="54"/>
      <c r="D769" s="54"/>
      <c r="E769" s="51"/>
      <c r="F769" s="54"/>
      <c r="G769" s="54"/>
      <c r="H769" s="52"/>
      <c r="I769" s="54"/>
      <c r="J769" s="85">
        <f>IF($E769="Fail",IF(ISNUMBER($H769),"Fixed","OPEN"),"")</f>
        <v/>
      </c>
    </row>
    <row r="770" spans="1:10">
      <c r="A770" s="52"/>
      <c r="B770" s="54"/>
      <c r="C770" s="54"/>
      <c r="D770" s="54"/>
      <c r="E770" s="51"/>
      <c r="F770" s="54"/>
      <c r="G770" s="54"/>
      <c r="H770" s="52"/>
      <c r="I770" s="54"/>
      <c r="J770" s="85">
        <f>IF($E770="Fail",IF(ISNUMBER($H770),"Fixed","OPEN"),"")</f>
        <v/>
      </c>
    </row>
    <row r="771" spans="1:10">
      <c r="A771" s="52"/>
      <c r="B771" s="54"/>
      <c r="C771" s="54"/>
      <c r="D771" s="54"/>
      <c r="E771" s="51"/>
      <c r="F771" s="54"/>
      <c r="G771" s="54"/>
      <c r="H771" s="52"/>
      <c r="I771" s="54"/>
      <c r="J771" s="85">
        <f>IF($E771="Fail",IF(ISNUMBER($H771),"Fixed","OPEN"),"")</f>
        <v/>
      </c>
    </row>
    <row r="772" spans="1:10">
      <c r="A772" s="52"/>
      <c r="B772" s="54"/>
      <c r="C772" s="54"/>
      <c r="D772" s="54"/>
      <c r="E772" s="51"/>
      <c r="F772" s="54"/>
      <c r="G772" s="54"/>
      <c r="H772" s="52"/>
      <c r="I772" s="54"/>
      <c r="J772" s="85">
        <f>IF($E772="Fail",IF(ISNUMBER($H772),"Fixed","OPEN"),"")</f>
        <v/>
      </c>
    </row>
    <row r="773" spans="1:10">
      <c r="A773" s="52"/>
      <c r="B773" s="54"/>
      <c r="C773" s="54"/>
      <c r="D773" s="54"/>
      <c r="E773" s="51"/>
      <c r="F773" s="54"/>
      <c r="G773" s="54"/>
      <c r="H773" s="52"/>
      <c r="I773" s="54"/>
      <c r="J773" s="85">
        <f>IF($E773="Fail",IF(ISNUMBER($H773),"Fixed","OPEN"),"")</f>
        <v/>
      </c>
    </row>
    <row r="774" spans="1:10">
      <c r="A774" s="52"/>
      <c r="B774" s="54"/>
      <c r="C774" s="54"/>
      <c r="D774" s="54"/>
      <c r="E774" s="51"/>
      <c r="F774" s="54"/>
      <c r="G774" s="54"/>
      <c r="H774" s="52"/>
      <c r="I774" s="54"/>
      <c r="J774" s="85">
        <f>IF($E774="Fail",IF(ISNUMBER($H774),"Fixed","OPEN"),"")</f>
        <v/>
      </c>
    </row>
    <row r="775" spans="1:10">
      <c r="A775" s="52"/>
      <c r="B775" s="54"/>
      <c r="C775" s="54"/>
      <c r="D775" s="54"/>
      <c r="E775" s="51"/>
      <c r="F775" s="54"/>
      <c r="G775" s="54"/>
      <c r="H775" s="52"/>
      <c r="I775" s="54"/>
      <c r="J775" s="85">
        <f>IF($E775="Fail",IF(ISNUMBER($H775),"Fixed","OPEN"),"")</f>
        <v/>
      </c>
    </row>
    <row r="776" spans="1:10">
      <c r="A776" s="52"/>
      <c r="B776" s="54"/>
      <c r="C776" s="54"/>
      <c r="D776" s="54"/>
      <c r="E776" s="51"/>
      <c r="F776" s="54"/>
      <c r="G776" s="54"/>
      <c r="H776" s="52"/>
      <c r="I776" s="54"/>
      <c r="J776" s="85">
        <f>IF($E776="Fail",IF(ISNUMBER($H776),"Fixed","OPEN"),"")</f>
        <v/>
      </c>
    </row>
    <row r="777" spans="1:10">
      <c r="A777" s="52"/>
      <c r="B777" s="54"/>
      <c r="C777" s="54"/>
      <c r="D777" s="54"/>
      <c r="E777" s="51"/>
      <c r="F777" s="54"/>
      <c r="G777" s="54"/>
      <c r="H777" s="52"/>
      <c r="I777" s="54"/>
      <c r="J777" s="85">
        <f>IF($E777="Fail",IF(ISNUMBER($H777),"Fixed","OPEN"),"")</f>
        <v/>
      </c>
    </row>
    <row r="778" spans="1:10">
      <c r="A778" s="52"/>
      <c r="B778" s="54"/>
      <c r="C778" s="54"/>
      <c r="D778" s="54"/>
      <c r="E778" s="51"/>
      <c r="F778" s="54"/>
      <c r="G778" s="54"/>
      <c r="H778" s="52"/>
      <c r="I778" s="54"/>
      <c r="J778" s="85">
        <f>IF($E778="Fail",IF(ISNUMBER($H778),"Fixed","OPEN"),"")</f>
        <v/>
      </c>
    </row>
    <row r="779" spans="1:10">
      <c r="A779" s="52"/>
      <c r="B779" s="54"/>
      <c r="C779" s="54"/>
      <c r="D779" s="54"/>
      <c r="E779" s="51"/>
      <c r="F779" s="54"/>
      <c r="G779" s="54"/>
      <c r="H779" s="52"/>
      <c r="I779" s="54"/>
      <c r="J779" s="85">
        <f>IF($E779="Fail",IF(ISNUMBER($H779),"Fixed","OPEN"),"")</f>
        <v/>
      </c>
    </row>
    <row r="780" spans="1:10">
      <c r="A780" s="52"/>
      <c r="B780" s="54"/>
      <c r="C780" s="54"/>
      <c r="D780" s="54"/>
      <c r="E780" s="51"/>
      <c r="F780" s="54"/>
      <c r="G780" s="54"/>
      <c r="H780" s="52"/>
      <c r="I780" s="54"/>
      <c r="J780" s="85">
        <f>IF($E780="Fail",IF(ISNUMBER($H780),"Fixed","OPEN"),"")</f>
        <v/>
      </c>
    </row>
    <row r="781" spans="1:10">
      <c r="A781" s="52"/>
      <c r="B781" s="54"/>
      <c r="C781" s="54"/>
      <c r="D781" s="54"/>
      <c r="E781" s="51"/>
      <c r="F781" s="54"/>
      <c r="G781" s="54"/>
      <c r="H781" s="52"/>
      <c r="I781" s="54"/>
      <c r="J781" s="85">
        <f>IF($E781="Fail",IF(ISNUMBER($H781),"Fixed","OPEN"),"")</f>
        <v/>
      </c>
    </row>
    <row r="782" spans="1:10">
      <c r="A782" s="52"/>
      <c r="B782" s="54"/>
      <c r="C782" s="54"/>
      <c r="D782" s="54"/>
      <c r="E782" s="51"/>
      <c r="F782" s="54"/>
      <c r="G782" s="54"/>
      <c r="H782" s="52"/>
      <c r="I782" s="54"/>
      <c r="J782" s="85">
        <f>IF($E782="Fail",IF(ISNUMBER($H782),"Fixed","OPEN"),"")</f>
        <v/>
      </c>
    </row>
    <row r="783" spans="1:10">
      <c r="A783" s="52"/>
      <c r="B783" s="54"/>
      <c r="C783" s="54"/>
      <c r="D783" s="54"/>
      <c r="E783" s="51"/>
      <c r="F783" s="54"/>
      <c r="G783" s="54"/>
      <c r="H783" s="52"/>
      <c r="I783" s="54"/>
      <c r="J783" s="85">
        <f>IF($E783="Fail",IF(ISNUMBER($H783),"Fixed","OPEN"),"")</f>
        <v/>
      </c>
    </row>
    <row r="784" spans="1:10">
      <c r="A784" s="52"/>
      <c r="B784" s="54"/>
      <c r="C784" s="54"/>
      <c r="D784" s="54"/>
      <c r="E784" s="51"/>
      <c r="F784" s="54"/>
      <c r="G784" s="54"/>
      <c r="H784" s="52"/>
      <c r="I784" s="54"/>
      <c r="J784" s="85">
        <f>IF($E784="Fail",IF(ISNUMBER($H784),"Fixed","OPEN"),"")</f>
        <v/>
      </c>
    </row>
    <row r="785" spans="1:10">
      <c r="A785" s="52"/>
      <c r="B785" s="54"/>
      <c r="C785" s="54"/>
      <c r="D785" s="54"/>
      <c r="E785" s="51"/>
      <c r="F785" s="54"/>
      <c r="G785" s="54"/>
      <c r="H785" s="52"/>
      <c r="I785" s="54"/>
      <c r="J785" s="85">
        <f>IF($E785="Fail",IF(ISNUMBER($H785),"Fixed","OPEN"),"")</f>
        <v/>
      </c>
    </row>
    <row r="786" spans="1:10">
      <c r="A786" s="52"/>
      <c r="B786" s="54"/>
      <c r="C786" s="54"/>
      <c r="D786" s="54"/>
      <c r="E786" s="51"/>
      <c r="F786" s="54"/>
      <c r="G786" s="54"/>
      <c r="H786" s="52"/>
      <c r="I786" s="54"/>
      <c r="J786" s="85">
        <f>IF($E786="Fail",IF(ISNUMBER($H786),"Fixed","OPEN"),"")</f>
        <v/>
      </c>
    </row>
    <row r="787" spans="1:10">
      <c r="A787" s="52"/>
      <c r="B787" s="54"/>
      <c r="C787" s="54"/>
      <c r="D787" s="54"/>
      <c r="E787" s="51"/>
      <c r="F787" s="54"/>
      <c r="G787" s="54"/>
      <c r="H787" s="52"/>
      <c r="I787" s="54"/>
      <c r="J787" s="85">
        <f>IF($E787="Fail",IF(ISNUMBER($H787),"Fixed","OPEN"),"")</f>
        <v/>
      </c>
    </row>
    <row r="788" spans="1:10">
      <c r="A788" s="52"/>
      <c r="B788" s="54"/>
      <c r="C788" s="54"/>
      <c r="D788" s="54"/>
      <c r="E788" s="51"/>
      <c r="F788" s="54"/>
      <c r="G788" s="54"/>
      <c r="H788" s="52"/>
      <c r="I788" s="54"/>
      <c r="J788" s="85">
        <f>IF($E788="Fail",IF(ISNUMBER($H788),"Fixed","OPEN"),"")</f>
        <v/>
      </c>
    </row>
    <row r="789" spans="1:10">
      <c r="A789" s="52"/>
      <c r="B789" s="54"/>
      <c r="C789" s="54"/>
      <c r="D789" s="54"/>
      <c r="E789" s="51"/>
      <c r="F789" s="54"/>
      <c r="G789" s="54"/>
      <c r="H789" s="52"/>
      <c r="I789" s="54"/>
      <c r="J789" s="85">
        <f>IF($E789="Fail",IF(ISNUMBER($H789),"Fixed","OPEN"),"")</f>
        <v/>
      </c>
    </row>
    <row r="790" spans="1:10">
      <c r="A790" s="52"/>
      <c r="B790" s="54"/>
      <c r="C790" s="54"/>
      <c r="D790" s="54"/>
      <c r="E790" s="51"/>
      <c r="F790" s="54"/>
      <c r="G790" s="54"/>
      <c r="H790" s="52"/>
      <c r="I790" s="54"/>
      <c r="J790" s="85">
        <f>IF($E790="Fail",IF(ISNUMBER($H790),"Fixed","OPEN"),"")</f>
        <v/>
      </c>
    </row>
    <row r="791" spans="1:10">
      <c r="A791" s="52"/>
      <c r="B791" s="54"/>
      <c r="C791" s="54"/>
      <c r="D791" s="54"/>
      <c r="E791" s="51"/>
      <c r="F791" s="54"/>
      <c r="G791" s="54"/>
      <c r="H791" s="52"/>
      <c r="I791" s="54"/>
      <c r="J791" s="85">
        <f>IF($E791="Fail",IF(ISNUMBER($H791),"Fixed","OPEN"),"")</f>
        <v/>
      </c>
    </row>
    <row r="792" spans="1:10">
      <c r="A792" s="52"/>
      <c r="B792" s="54"/>
      <c r="C792" s="54"/>
      <c r="D792" s="54"/>
      <c r="E792" s="51"/>
      <c r="F792" s="54"/>
      <c r="G792" s="54"/>
      <c r="H792" s="52"/>
      <c r="I792" s="54"/>
      <c r="J792" s="85">
        <f>IF($E792="Fail",IF(ISNUMBER($H792),"Fixed","OPEN"),"")</f>
        <v/>
      </c>
    </row>
    <row r="793" spans="1:10">
      <c r="A793" s="52"/>
      <c r="B793" s="54"/>
      <c r="C793" s="54"/>
      <c r="D793" s="54"/>
      <c r="E793" s="51"/>
      <c r="F793" s="54"/>
      <c r="G793" s="54"/>
      <c r="H793" s="52"/>
      <c r="I793" s="54"/>
      <c r="J793" s="85">
        <f>IF($E793="Fail",IF(ISNUMBER($H793),"Fixed","OPEN"),"")</f>
        <v/>
      </c>
    </row>
    <row r="794" spans="1:10">
      <c r="A794" s="52"/>
      <c r="B794" s="54"/>
      <c r="C794" s="54"/>
      <c r="D794" s="54"/>
      <c r="E794" s="51"/>
      <c r="F794" s="54"/>
      <c r="G794" s="54"/>
      <c r="H794" s="52"/>
      <c r="I794" s="54"/>
      <c r="J794" s="85">
        <f>IF($E794="Fail",IF(ISNUMBER($H794),"Fixed","OPEN"),"")</f>
        <v/>
      </c>
    </row>
    <row r="795" spans="1:10">
      <c r="A795" s="52"/>
      <c r="B795" s="54"/>
      <c r="C795" s="54"/>
      <c r="D795" s="54"/>
      <c r="E795" s="51"/>
      <c r="F795" s="54"/>
      <c r="G795" s="54"/>
      <c r="H795" s="52"/>
      <c r="I795" s="54"/>
      <c r="J795" s="85">
        <f>IF($E795="Fail",IF(ISNUMBER($H795),"Fixed","OPEN"),"")</f>
        <v/>
      </c>
    </row>
    <row r="796" spans="1:10">
      <c r="A796" s="52"/>
      <c r="B796" s="54"/>
      <c r="C796" s="54"/>
      <c r="D796" s="54"/>
      <c r="E796" s="51"/>
      <c r="F796" s="54"/>
      <c r="G796" s="54"/>
      <c r="H796" s="52"/>
      <c r="I796" s="54"/>
      <c r="J796" s="85">
        <f>IF($E796="Fail",IF(ISNUMBER($H796),"Fixed","OPEN"),"")</f>
        <v/>
      </c>
    </row>
    <row r="797" spans="1:10">
      <c r="A797" s="52"/>
      <c r="B797" s="54"/>
      <c r="C797" s="54"/>
      <c r="D797" s="54"/>
      <c r="E797" s="51"/>
      <c r="F797" s="54"/>
      <c r="G797" s="54"/>
      <c r="H797" s="52"/>
      <c r="I797" s="54"/>
      <c r="J797" s="85">
        <f>IF($E797="Fail",IF(ISNUMBER($H797),"Fixed","OPEN"),"")</f>
        <v/>
      </c>
    </row>
    <row r="798" spans="1:10">
      <c r="A798" s="52"/>
      <c r="B798" s="54"/>
      <c r="C798" s="54"/>
      <c r="D798" s="54"/>
      <c r="E798" s="51"/>
      <c r="F798" s="54"/>
      <c r="G798" s="54"/>
      <c r="H798" s="52"/>
      <c r="I798" s="54"/>
      <c r="J798" s="85">
        <f>IF($E798="Fail",IF(ISNUMBER($H798),"Fixed","OPEN"),"")</f>
        <v/>
      </c>
    </row>
    <row r="799" spans="1:10">
      <c r="A799" s="52"/>
      <c r="B799" s="54"/>
      <c r="C799" s="54"/>
      <c r="D799" s="54"/>
      <c r="E799" s="51"/>
      <c r="F799" s="54"/>
      <c r="G799" s="54"/>
      <c r="H799" s="52"/>
      <c r="I799" s="54"/>
      <c r="J799" s="85">
        <f>IF($E799="Fail",IF(ISNUMBER($H799),"Fixed","OPEN"),"")</f>
        <v/>
      </c>
    </row>
    <row r="800" spans="1:10">
      <c r="A800" s="52"/>
      <c r="B800" s="54"/>
      <c r="C800" s="54"/>
      <c r="D800" s="54"/>
      <c r="E800" s="51"/>
      <c r="F800" s="54"/>
      <c r="G800" s="54"/>
      <c r="H800" s="52"/>
      <c r="I800" s="54"/>
      <c r="J800" s="85">
        <f>IF($E800="Fail",IF(ISNUMBER($H800),"Fixed","OPEN"),"")</f>
        <v/>
      </c>
    </row>
    <row r="801" spans="1:10">
      <c r="A801" s="52"/>
      <c r="B801" s="54"/>
      <c r="C801" s="54"/>
      <c r="D801" s="54"/>
      <c r="E801" s="51"/>
      <c r="F801" s="54"/>
      <c r="G801" s="54"/>
      <c r="H801" s="52"/>
      <c r="I801" s="54"/>
      <c r="J801" s="85">
        <f>IF($E801="Fail",IF(ISNUMBER($H801),"Fixed","OPEN"),"")</f>
        <v/>
      </c>
    </row>
    <row r="802" spans="1:10">
      <c r="A802" s="52"/>
      <c r="B802" s="54"/>
      <c r="C802" s="54"/>
      <c r="D802" s="54"/>
      <c r="E802" s="51"/>
      <c r="F802" s="54"/>
      <c r="G802" s="54"/>
      <c r="H802" s="52"/>
      <c r="I802" s="54"/>
      <c r="J802" s="85">
        <f>IF($E802="Fail",IF(ISNUMBER($H802),"Fixed","OPEN"),"")</f>
        <v/>
      </c>
    </row>
    <row r="803" spans="1:10">
      <c r="A803" s="52"/>
      <c r="B803" s="54"/>
      <c r="C803" s="54"/>
      <c r="D803" s="54"/>
      <c r="E803" s="51"/>
      <c r="F803" s="54"/>
      <c r="G803" s="54"/>
      <c r="H803" s="52"/>
      <c r="I803" s="54"/>
      <c r="J803" s="85">
        <f>IF($E803="Fail",IF(ISNUMBER($H803),"Fixed","OPEN"),"")</f>
        <v/>
      </c>
    </row>
    <row r="804" spans="1:10">
      <c r="A804" s="52"/>
      <c r="B804" s="54"/>
      <c r="C804" s="54"/>
      <c r="D804" s="54"/>
      <c r="E804" s="51"/>
      <c r="F804" s="54"/>
      <c r="G804" s="54"/>
      <c r="H804" s="52"/>
      <c r="I804" s="54"/>
      <c r="J804" s="85">
        <f>IF($E804="Fail",IF(ISNUMBER($H804),"Fixed","OPEN"),"")</f>
        <v/>
      </c>
    </row>
    <row r="805" spans="1:10">
      <c r="A805" s="52"/>
      <c r="B805" s="54"/>
      <c r="C805" s="54"/>
      <c r="D805" s="54"/>
      <c r="E805" s="51"/>
      <c r="F805" s="54"/>
      <c r="G805" s="54"/>
      <c r="H805" s="52"/>
      <c r="I805" s="54"/>
      <c r="J805" s="85">
        <f>IF($E805="Fail",IF(ISNUMBER($H805),"Fixed","OPEN"),"")</f>
        <v/>
      </c>
    </row>
    <row r="806" spans="1:10">
      <c r="A806" s="52"/>
      <c r="B806" s="54"/>
      <c r="C806" s="54"/>
      <c r="D806" s="54"/>
      <c r="E806" s="51"/>
      <c r="F806" s="54"/>
      <c r="G806" s="54"/>
      <c r="H806" s="52"/>
      <c r="I806" s="54"/>
      <c r="J806" s="85">
        <f>IF($E806="Fail",IF(ISNUMBER($H806),"Fixed","OPEN"),"")</f>
        <v/>
      </c>
    </row>
    <row r="807" spans="1:10">
      <c r="A807" s="52"/>
      <c r="B807" s="54"/>
      <c r="C807" s="54"/>
      <c r="D807" s="54"/>
      <c r="E807" s="51"/>
      <c r="F807" s="54"/>
      <c r="G807" s="54"/>
      <c r="H807" s="52"/>
      <c r="I807" s="54"/>
      <c r="J807" s="85">
        <f>IF($E807="Fail",IF(ISNUMBER($H807),"Fixed","OPEN"),"")</f>
        <v/>
      </c>
    </row>
    <row r="808" spans="1:10">
      <c r="A808" s="52"/>
      <c r="B808" s="54"/>
      <c r="C808" s="54"/>
      <c r="D808" s="54"/>
      <c r="E808" s="51"/>
      <c r="F808" s="54"/>
      <c r="G808" s="54"/>
      <c r="H808" s="52"/>
      <c r="I808" s="54"/>
      <c r="J808" s="85">
        <f>IF($E808="Fail",IF(ISNUMBER($H808),"Fixed","OPEN"),"")</f>
        <v/>
      </c>
    </row>
    <row r="809" spans="1:10">
      <c r="A809" s="52"/>
      <c r="B809" s="54"/>
      <c r="C809" s="54"/>
      <c r="D809" s="54"/>
      <c r="E809" s="51"/>
      <c r="F809" s="54"/>
      <c r="G809" s="54"/>
      <c r="H809" s="52"/>
      <c r="I809" s="54"/>
      <c r="J809" s="85">
        <f>IF($E809="Fail",IF(ISNUMBER($H809),"Fixed","OPEN"),"")</f>
        <v/>
      </c>
    </row>
    <row r="810" spans="1:10">
      <c r="A810" s="52"/>
      <c r="B810" s="54"/>
      <c r="C810" s="54"/>
      <c r="D810" s="54"/>
      <c r="E810" s="51"/>
      <c r="F810" s="54"/>
      <c r="G810" s="54"/>
      <c r="H810" s="52"/>
      <c r="I810" s="54"/>
      <c r="J810" s="85">
        <f>IF($E810="Fail",IF(ISNUMBER($H810),"Fixed","OPEN"),"")</f>
        <v/>
      </c>
    </row>
    <row r="811" spans="1:10">
      <c r="A811" s="52"/>
      <c r="B811" s="54"/>
      <c r="C811" s="54"/>
      <c r="D811" s="54"/>
      <c r="E811" s="51"/>
      <c r="F811" s="54"/>
      <c r="G811" s="54"/>
      <c r="H811" s="52"/>
      <c r="I811" s="54"/>
      <c r="J811" s="85">
        <f>IF($E811="Fail",IF(ISNUMBER($H811),"Fixed","OPEN"),"")</f>
        <v/>
      </c>
    </row>
    <row r="812" spans="1:10">
      <c r="A812" s="52"/>
      <c r="B812" s="54"/>
      <c r="C812" s="54"/>
      <c r="D812" s="54"/>
      <c r="E812" s="51"/>
      <c r="F812" s="54"/>
      <c r="G812" s="54"/>
      <c r="H812" s="52"/>
      <c r="I812" s="54"/>
      <c r="J812" s="85">
        <f>IF($E812="Fail",IF(ISNUMBER($H812),"Fixed","OPEN"),"")</f>
        <v/>
      </c>
    </row>
    <row r="813" spans="1:10">
      <c r="A813" s="52"/>
      <c r="B813" s="54"/>
      <c r="C813" s="54"/>
      <c r="D813" s="54"/>
      <c r="E813" s="51"/>
      <c r="F813" s="54"/>
      <c r="G813" s="54"/>
      <c r="H813" s="52"/>
      <c r="I813" s="54"/>
      <c r="J813" s="85">
        <f>IF($E813="Fail",IF(ISNUMBER($H813),"Fixed","OPEN"),"")</f>
        <v/>
      </c>
    </row>
    <row r="814" spans="1:10">
      <c r="A814" s="52"/>
      <c r="B814" s="54"/>
      <c r="C814" s="54"/>
      <c r="D814" s="54"/>
      <c r="E814" s="51"/>
      <c r="F814" s="54"/>
      <c r="G814" s="54"/>
      <c r="H814" s="52"/>
      <c r="I814" s="54"/>
      <c r="J814" s="85">
        <f>IF($E814="Fail",IF(ISNUMBER($H814),"Fixed","OPEN"),"")</f>
        <v/>
      </c>
    </row>
    <row r="815" spans="1:10">
      <c r="A815" s="52"/>
      <c r="B815" s="54"/>
      <c r="C815" s="54"/>
      <c r="D815" s="54"/>
      <c r="E815" s="51"/>
      <c r="F815" s="54"/>
      <c r="G815" s="54"/>
      <c r="H815" s="52"/>
      <c r="I815" s="54"/>
      <c r="J815" s="85">
        <f>IF($E815="Fail",IF(ISNUMBER($H815),"Fixed","OPEN"),"")</f>
        <v/>
      </c>
    </row>
    <row r="816" spans="1:10">
      <c r="A816" s="52"/>
      <c r="B816" s="54"/>
      <c r="C816" s="54"/>
      <c r="D816" s="54"/>
      <c r="E816" s="51"/>
      <c r="F816" s="54"/>
      <c r="G816" s="54"/>
      <c r="H816" s="52"/>
      <c r="I816" s="54"/>
      <c r="J816" s="85">
        <f>IF($E816="Fail",IF(ISNUMBER($H816),"Fixed","OPEN"),"")</f>
        <v/>
      </c>
    </row>
    <row r="817" spans="1:10">
      <c r="A817" s="52"/>
      <c r="B817" s="54"/>
      <c r="C817" s="54"/>
      <c r="D817" s="54"/>
      <c r="E817" s="51"/>
      <c r="F817" s="54"/>
      <c r="G817" s="54"/>
      <c r="H817" s="52"/>
      <c r="I817" s="54"/>
      <c r="J817" s="85">
        <f>IF($E817="Fail",IF(ISNUMBER($H817),"Fixed","OPEN"),"")</f>
        <v/>
      </c>
    </row>
    <row r="818" spans="1:10">
      <c r="A818" s="52"/>
      <c r="B818" s="54"/>
      <c r="C818" s="54"/>
      <c r="D818" s="54"/>
      <c r="E818" s="51"/>
      <c r="F818" s="54"/>
      <c r="G818" s="54"/>
      <c r="H818" s="52"/>
      <c r="I818" s="54"/>
      <c r="J818" s="85">
        <f>IF($E818="Fail",IF(ISNUMBER($H818),"Fixed","OPEN"),"")</f>
        <v/>
      </c>
    </row>
    <row r="819" spans="1:10">
      <c r="A819" s="52"/>
      <c r="B819" s="54"/>
      <c r="C819" s="54"/>
      <c r="D819" s="54"/>
      <c r="E819" s="51"/>
      <c r="F819" s="54"/>
      <c r="G819" s="54"/>
      <c r="H819" s="52"/>
      <c r="I819" s="54"/>
      <c r="J819" s="85">
        <f>IF($E819="Fail",IF(ISNUMBER($H819),"Fixed","OPEN"),"")</f>
        <v/>
      </c>
    </row>
    <row r="820" spans="1:10">
      <c r="A820" s="52"/>
      <c r="B820" s="54"/>
      <c r="C820" s="54"/>
      <c r="D820" s="54"/>
      <c r="E820" s="51"/>
      <c r="F820" s="54"/>
      <c r="G820" s="54"/>
      <c r="H820" s="52"/>
      <c r="I820" s="54"/>
      <c r="J820" s="85">
        <f>IF($E820="Fail",IF(ISNUMBER($H820),"Fixed","OPEN"),"")</f>
        <v/>
      </c>
    </row>
    <row r="821" spans="1:10">
      <c r="A821" s="52"/>
      <c r="B821" s="54"/>
      <c r="C821" s="54"/>
      <c r="D821" s="54"/>
      <c r="E821" s="51"/>
      <c r="F821" s="54"/>
      <c r="G821" s="54"/>
      <c r="H821" s="52"/>
      <c r="I821" s="54"/>
      <c r="J821" s="85">
        <f>IF($E821="Fail",IF(ISNUMBER($H821),"Fixed","OPEN"),"")</f>
        <v/>
      </c>
    </row>
    <row r="822" spans="1:10">
      <c r="A822" s="52"/>
      <c r="B822" s="54"/>
      <c r="C822" s="54"/>
      <c r="D822" s="54"/>
      <c r="E822" s="51"/>
      <c r="F822" s="54"/>
      <c r="G822" s="54"/>
      <c r="H822" s="52"/>
      <c r="I822" s="54"/>
      <c r="J822" s="85">
        <f>IF($E822="Fail",IF(ISNUMBER($H822),"Fixed","OPEN"),"")</f>
        <v/>
      </c>
    </row>
    <row r="823" spans="1:10">
      <c r="A823" s="52"/>
      <c r="B823" s="54"/>
      <c r="C823" s="54"/>
      <c r="D823" s="54"/>
      <c r="E823" s="51"/>
      <c r="F823" s="54"/>
      <c r="G823" s="54"/>
      <c r="H823" s="52"/>
      <c r="I823" s="54"/>
      <c r="J823" s="85">
        <f>IF($E823="Fail",IF(ISNUMBER($H823),"Fixed","OPEN"),"")</f>
        <v/>
      </c>
    </row>
    <row r="824" spans="1:10">
      <c r="A824" s="52"/>
      <c r="B824" s="54"/>
      <c r="C824" s="54"/>
      <c r="D824" s="54"/>
      <c r="E824" s="51"/>
      <c r="F824" s="54"/>
      <c r="G824" s="54"/>
      <c r="H824" s="52"/>
      <c r="I824" s="54"/>
      <c r="J824" s="85">
        <f>IF($E824="Fail",IF(ISNUMBER($H824),"Fixed","OPEN"),"")</f>
        <v/>
      </c>
    </row>
    <row r="825" spans="1:10">
      <c r="A825" s="52"/>
      <c r="B825" s="54"/>
      <c r="C825" s="54"/>
      <c r="D825" s="54"/>
      <c r="E825" s="51"/>
      <c r="F825" s="54"/>
      <c r="G825" s="54"/>
      <c r="H825" s="52"/>
      <c r="I825" s="54"/>
      <c r="J825" s="85">
        <f>IF($E825="Fail",IF(ISNUMBER($H825),"Fixed","OPEN"),"")</f>
        <v/>
      </c>
    </row>
    <row r="826" spans="1:10">
      <c r="A826" s="52"/>
      <c r="B826" s="54"/>
      <c r="C826" s="54"/>
      <c r="D826" s="54"/>
      <c r="E826" s="51"/>
      <c r="F826" s="54"/>
      <c r="G826" s="54"/>
      <c r="H826" s="52"/>
      <c r="I826" s="54"/>
      <c r="J826" s="85">
        <f>IF($E826="Fail",IF(ISNUMBER($H826),"Fixed","OPEN"),"")</f>
        <v/>
      </c>
    </row>
    <row r="827" spans="1:10">
      <c r="A827" s="52"/>
      <c r="B827" s="54"/>
      <c r="C827" s="54"/>
      <c r="D827" s="54"/>
      <c r="E827" s="51"/>
      <c r="F827" s="54"/>
      <c r="G827" s="54"/>
      <c r="H827" s="52"/>
      <c r="I827" s="54"/>
      <c r="J827" s="85">
        <f>IF($E827="Fail",IF(ISNUMBER($H827),"Fixed","OPEN"),"")</f>
        <v/>
      </c>
    </row>
    <row r="828" spans="1:10">
      <c r="A828" s="52"/>
      <c r="B828" s="54"/>
      <c r="C828" s="54"/>
      <c r="D828" s="54"/>
      <c r="E828" s="51"/>
      <c r="F828" s="54"/>
      <c r="G828" s="54"/>
      <c r="H828" s="52"/>
      <c r="I828" s="54"/>
      <c r="J828" s="85">
        <f>IF($E828="Fail",IF(ISNUMBER($H828),"Fixed","OPEN"),"")</f>
        <v/>
      </c>
    </row>
    <row r="829" spans="1:10">
      <c r="A829" s="52"/>
      <c r="B829" s="54"/>
      <c r="C829" s="54"/>
      <c r="D829" s="54"/>
      <c r="E829" s="51"/>
      <c r="F829" s="54"/>
      <c r="G829" s="54"/>
      <c r="H829" s="52"/>
      <c r="I829" s="54"/>
      <c r="J829" s="85">
        <f>IF($E829="Fail",IF(ISNUMBER($H829),"Fixed","OPEN"),"")</f>
        <v/>
      </c>
    </row>
    <row r="830" spans="1:10">
      <c r="A830" s="52"/>
      <c r="B830" s="54"/>
      <c r="C830" s="54"/>
      <c r="D830" s="54"/>
      <c r="E830" s="51"/>
      <c r="F830" s="54"/>
      <c r="G830" s="54"/>
      <c r="H830" s="52"/>
      <c r="I830" s="54"/>
      <c r="J830" s="85">
        <f>IF($E830="Fail",IF(ISNUMBER($H830),"Fixed","OPEN"),"")</f>
        <v/>
      </c>
    </row>
    <row r="831" spans="1:10">
      <c r="A831" s="52"/>
      <c r="B831" s="54"/>
      <c r="C831" s="54"/>
      <c r="D831" s="54"/>
      <c r="E831" s="51"/>
      <c r="F831" s="54"/>
      <c r="G831" s="54"/>
      <c r="H831" s="52"/>
      <c r="I831" s="54"/>
      <c r="J831" s="85">
        <f>IF($E831="Fail",IF(ISNUMBER($H831),"Fixed","OPEN"),"")</f>
        <v/>
      </c>
    </row>
    <row r="832" spans="1:10">
      <c r="A832" s="52"/>
      <c r="B832" s="54"/>
      <c r="C832" s="54"/>
      <c r="D832" s="54"/>
      <c r="E832" s="51"/>
      <c r="F832" s="54"/>
      <c r="G832" s="54"/>
      <c r="H832" s="52"/>
      <c r="I832" s="54"/>
      <c r="J832" s="85">
        <f>IF($E832="Fail",IF(ISNUMBER($H832),"Fixed","OPEN"),"")</f>
        <v/>
      </c>
    </row>
    <row r="833" spans="1:10">
      <c r="A833" s="52"/>
      <c r="B833" s="54"/>
      <c r="C833" s="54"/>
      <c r="D833" s="54"/>
      <c r="E833" s="51"/>
      <c r="F833" s="54"/>
      <c r="G833" s="54"/>
      <c r="H833" s="52"/>
      <c r="I833" s="54"/>
      <c r="J833" s="85">
        <f>IF($E833="Fail",IF(ISNUMBER($H833),"Fixed","OPEN"),"")</f>
        <v/>
      </c>
    </row>
    <row r="834" spans="1:10">
      <c r="A834" s="52"/>
      <c r="B834" s="54"/>
      <c r="C834" s="54"/>
      <c r="D834" s="54"/>
      <c r="E834" s="51"/>
      <c r="F834" s="54"/>
      <c r="G834" s="54"/>
      <c r="H834" s="52"/>
      <c r="I834" s="54"/>
      <c r="J834" s="85">
        <f>IF($E834="Fail",IF(ISNUMBER($H834),"Fixed","OPEN"),"")</f>
        <v/>
      </c>
    </row>
    <row r="835" spans="1:10">
      <c r="A835" s="52"/>
      <c r="B835" s="54"/>
      <c r="C835" s="54"/>
      <c r="D835" s="54"/>
      <c r="E835" s="51"/>
      <c r="F835" s="54"/>
      <c r="G835" s="54"/>
      <c r="H835" s="52"/>
      <c r="I835" s="54"/>
      <c r="J835" s="85">
        <f>IF($E835="Fail",IF(ISNUMBER($H835),"Fixed","OPEN"),"")</f>
        <v/>
      </c>
    </row>
    <row r="836" spans="1:10">
      <c r="A836" s="52"/>
      <c r="B836" s="54"/>
      <c r="C836" s="54"/>
      <c r="D836" s="54"/>
      <c r="E836" s="51"/>
      <c r="F836" s="54"/>
      <c r="G836" s="54"/>
      <c r="H836" s="52"/>
      <c r="I836" s="54"/>
      <c r="J836" s="85">
        <f>IF($E836="Fail",IF(ISNUMBER($H836),"Fixed","OPEN"),"")</f>
        <v/>
      </c>
    </row>
    <row r="837" spans="1:10">
      <c r="A837" s="52"/>
      <c r="B837" s="54"/>
      <c r="C837" s="54"/>
      <c r="D837" s="54"/>
      <c r="E837" s="51"/>
      <c r="F837" s="54"/>
      <c r="G837" s="54"/>
      <c r="H837" s="52"/>
      <c r="I837" s="54"/>
      <c r="J837" s="85">
        <f>IF($E837="Fail",IF(ISNUMBER($H837),"Fixed","OPEN"),"")</f>
        <v/>
      </c>
    </row>
    <row r="838" spans="1:10">
      <c r="A838" s="52"/>
      <c r="B838" s="54"/>
      <c r="C838" s="54"/>
      <c r="D838" s="54"/>
      <c r="E838" s="51"/>
      <c r="F838" s="54"/>
      <c r="G838" s="54"/>
      <c r="H838" s="52"/>
      <c r="I838" s="54"/>
      <c r="J838" s="85">
        <f>IF($E838="Fail",IF(ISNUMBER($H838),"Fixed","OPEN"),"")</f>
        <v/>
      </c>
    </row>
    <row r="839" spans="1:10">
      <c r="A839" s="52"/>
      <c r="B839" s="54"/>
      <c r="C839" s="54"/>
      <c r="D839" s="54"/>
      <c r="E839" s="51"/>
      <c r="F839" s="54"/>
      <c r="G839" s="54"/>
      <c r="H839" s="52"/>
      <c r="I839" s="54"/>
      <c r="J839" s="85">
        <f>IF($E839="Fail",IF(ISNUMBER($H839),"Fixed","OPEN"),"")</f>
        <v/>
      </c>
    </row>
    <row r="840" spans="1:10">
      <c r="A840" s="52"/>
      <c r="B840" s="54"/>
      <c r="C840" s="54"/>
      <c r="D840" s="54"/>
      <c r="E840" s="51"/>
      <c r="F840" s="54"/>
      <c r="G840" s="54"/>
      <c r="H840" s="52"/>
      <c r="I840" s="54"/>
      <c r="J840" s="85">
        <f>IF($E840="Fail",IF(ISNUMBER($H840),"Fixed","OPEN"),"")</f>
        <v/>
      </c>
    </row>
    <row r="841" spans="1:10">
      <c r="A841" s="52"/>
      <c r="B841" s="54"/>
      <c r="C841" s="54"/>
      <c r="D841" s="54"/>
      <c r="E841" s="51"/>
      <c r="F841" s="54"/>
      <c r="G841" s="54"/>
      <c r="H841" s="52"/>
      <c r="I841" s="54"/>
      <c r="J841" s="85">
        <f>IF($E841="Fail",IF(ISNUMBER($H841),"Fixed","OPEN"),"")</f>
        <v/>
      </c>
    </row>
    <row r="842" spans="1:10">
      <c r="A842" s="52"/>
      <c r="B842" s="54"/>
      <c r="C842" s="54"/>
      <c r="D842" s="54"/>
      <c r="E842" s="51"/>
      <c r="F842" s="54"/>
      <c r="G842" s="54"/>
      <c r="H842" s="52"/>
      <c r="I842" s="54"/>
      <c r="J842" s="85">
        <f>IF($E842="Fail",IF(ISNUMBER($H842),"Fixed","OPEN"),"")</f>
        <v/>
      </c>
    </row>
    <row r="843" spans="1:10">
      <c r="A843" s="52"/>
      <c r="B843" s="54"/>
      <c r="C843" s="54"/>
      <c r="D843" s="54"/>
      <c r="E843" s="51"/>
      <c r="F843" s="54"/>
      <c r="G843" s="54"/>
      <c r="H843" s="52"/>
      <c r="I843" s="54"/>
      <c r="J843" s="85">
        <f>IF($E843="Fail",IF(ISNUMBER($H843),"Fixed","OPEN"),"")</f>
        <v/>
      </c>
    </row>
    <row r="844" spans="1:10">
      <c r="A844" s="52"/>
      <c r="B844" s="54"/>
      <c r="C844" s="54"/>
      <c r="D844" s="54"/>
      <c r="E844" s="51"/>
      <c r="F844" s="54"/>
      <c r="G844" s="54"/>
      <c r="H844" s="52"/>
      <c r="I844" s="54"/>
      <c r="J844" s="85">
        <f>IF($E844="Fail",IF(ISNUMBER($H844),"Fixed","OPEN"),"")</f>
        <v/>
      </c>
    </row>
    <row r="845" spans="1:10">
      <c r="A845" s="52"/>
      <c r="B845" s="54"/>
      <c r="C845" s="54"/>
      <c r="D845" s="54"/>
      <c r="E845" s="51"/>
      <c r="F845" s="54"/>
      <c r="G845" s="54"/>
      <c r="H845" s="52"/>
      <c r="I845" s="54"/>
      <c r="J845" s="85">
        <f>IF($E845="Fail",IF(ISNUMBER($H845),"Fixed","OPEN"),"")</f>
        <v/>
      </c>
    </row>
    <row r="846" spans="1:10">
      <c r="A846" s="52"/>
      <c r="B846" s="54"/>
      <c r="C846" s="54"/>
      <c r="D846" s="54"/>
      <c r="E846" s="51"/>
      <c r="F846" s="54"/>
      <c r="G846" s="54"/>
      <c r="H846" s="52"/>
      <c r="I846" s="54"/>
      <c r="J846" s="85">
        <f>IF($E846="Fail",IF(ISNUMBER($H846),"Fixed","OPEN"),"")</f>
        <v/>
      </c>
    </row>
    <row r="847" spans="1:10">
      <c r="A847" s="52"/>
      <c r="B847" s="54"/>
      <c r="C847" s="54"/>
      <c r="D847" s="54"/>
      <c r="E847" s="51"/>
      <c r="F847" s="54"/>
      <c r="G847" s="54"/>
      <c r="H847" s="52"/>
      <c r="I847" s="54"/>
      <c r="J847" s="85">
        <f>IF($E847="Fail",IF(ISNUMBER($H847),"Fixed","OPEN"),"")</f>
        <v/>
      </c>
    </row>
    <row r="848" spans="1:10">
      <c r="A848" s="52"/>
      <c r="B848" s="54"/>
      <c r="C848" s="54"/>
      <c r="D848" s="54"/>
      <c r="E848" s="51"/>
      <c r="F848" s="54"/>
      <c r="G848" s="54"/>
      <c r="H848" s="52"/>
      <c r="I848" s="54"/>
      <c r="J848" s="85">
        <f>IF($E848="Fail",IF(ISNUMBER($H848),"Fixed","OPEN"),"")</f>
        <v/>
      </c>
    </row>
    <row r="849" spans="1:10">
      <c r="A849" s="52"/>
      <c r="B849" s="54"/>
      <c r="C849" s="54"/>
      <c r="D849" s="54"/>
      <c r="E849" s="51"/>
      <c r="F849" s="54"/>
      <c r="G849" s="54"/>
      <c r="H849" s="52"/>
      <c r="I849" s="54"/>
      <c r="J849" s="85">
        <f>IF($E849="Fail",IF(ISNUMBER($H849),"Fixed","OPEN"),"")</f>
        <v/>
      </c>
    </row>
    <row r="850" spans="1:10">
      <c r="A850" s="52"/>
      <c r="B850" s="54"/>
      <c r="C850" s="54"/>
      <c r="D850" s="54"/>
      <c r="E850" s="51"/>
      <c r="F850" s="54"/>
      <c r="G850" s="54"/>
      <c r="H850" s="52"/>
      <c r="I850" s="54"/>
      <c r="J850" s="85">
        <f>IF($E850="Fail",IF(ISNUMBER($H850),"Fixed","OPEN"),"")</f>
        <v/>
      </c>
    </row>
    <row r="851" spans="1:10">
      <c r="A851" s="52"/>
      <c r="B851" s="54"/>
      <c r="C851" s="54"/>
      <c r="D851" s="54"/>
      <c r="E851" s="51"/>
      <c r="F851" s="54"/>
      <c r="G851" s="54"/>
      <c r="H851" s="52"/>
      <c r="I851" s="54"/>
      <c r="J851" s="85">
        <f>IF($E851="Fail",IF(ISNUMBER($H851),"Fixed","OPEN"),"")</f>
        <v/>
      </c>
    </row>
    <row r="852" spans="1:10">
      <c r="A852" s="52"/>
      <c r="B852" s="54"/>
      <c r="C852" s="54"/>
      <c r="D852" s="54"/>
      <c r="E852" s="51"/>
      <c r="F852" s="54"/>
      <c r="G852" s="54"/>
      <c r="H852" s="52"/>
      <c r="I852" s="54"/>
      <c r="J852" s="85">
        <f>IF($E852="Fail",IF(ISNUMBER($H852),"Fixed","OPEN"),"")</f>
        <v/>
      </c>
    </row>
    <row r="853" spans="1:10">
      <c r="A853" s="52"/>
      <c r="B853" s="54"/>
      <c r="C853" s="54"/>
      <c r="D853" s="54"/>
      <c r="E853" s="51"/>
      <c r="F853" s="54"/>
      <c r="G853" s="54"/>
      <c r="H853" s="52"/>
      <c r="I853" s="54"/>
      <c r="J853" s="85">
        <f>IF($E853="Fail",IF(ISNUMBER($H853),"Fixed","OPEN"),"")</f>
        <v/>
      </c>
    </row>
    <row r="854" spans="1:10">
      <c r="A854" s="52"/>
      <c r="B854" s="54"/>
      <c r="C854" s="54"/>
      <c r="D854" s="54"/>
      <c r="E854" s="51"/>
      <c r="F854" s="54"/>
      <c r="G854" s="54"/>
      <c r="H854" s="52"/>
      <c r="I854" s="54"/>
      <c r="J854" s="85">
        <f>IF($E854="Fail",IF(ISNUMBER($H854),"Fixed","OPEN"),"")</f>
        <v/>
      </c>
    </row>
    <row r="855" spans="1:10">
      <c r="A855" s="52"/>
      <c r="B855" s="54"/>
      <c r="C855" s="54"/>
      <c r="D855" s="54"/>
      <c r="E855" s="51"/>
      <c r="F855" s="54"/>
      <c r="G855" s="54"/>
      <c r="H855" s="52"/>
      <c r="I855" s="54"/>
      <c r="J855" s="85">
        <f>IF($E855="Fail",IF(ISNUMBER($H855),"Fixed","OPEN"),"")</f>
        <v/>
      </c>
    </row>
    <row r="856" spans="1:10">
      <c r="A856" s="52"/>
      <c r="B856" s="54"/>
      <c r="C856" s="54"/>
      <c r="D856" s="54"/>
      <c r="E856" s="51"/>
      <c r="F856" s="54"/>
      <c r="G856" s="54"/>
      <c r="H856" s="52"/>
      <c r="I856" s="54"/>
      <c r="J856" s="85">
        <f>IF($E856="Fail",IF(ISNUMBER($H856),"Fixed","OPEN"),"")</f>
        <v/>
      </c>
    </row>
    <row r="857" spans="1:10">
      <c r="A857" s="52"/>
      <c r="B857" s="54"/>
      <c r="C857" s="54"/>
      <c r="D857" s="54"/>
      <c r="E857" s="51"/>
      <c r="F857" s="54"/>
      <c r="G857" s="54"/>
      <c r="H857" s="52"/>
      <c r="I857" s="54"/>
      <c r="J857" s="85">
        <f>IF($E857="Fail",IF(ISNUMBER($H857),"Fixed","OPEN"),"")</f>
        <v/>
      </c>
    </row>
    <row r="858" spans="1:10">
      <c r="A858" s="52"/>
      <c r="B858" s="54"/>
      <c r="C858" s="54"/>
      <c r="D858" s="54"/>
      <c r="E858" s="51"/>
      <c r="F858" s="54"/>
      <c r="G858" s="54"/>
      <c r="H858" s="52"/>
      <c r="I858" s="54"/>
      <c r="J858" s="85">
        <f>IF($E858="Fail",IF(ISNUMBER($H858),"Fixed","OPEN"),"")</f>
        <v/>
      </c>
    </row>
    <row r="859" spans="1:10">
      <c r="A859" s="52"/>
      <c r="B859" s="54"/>
      <c r="C859" s="54"/>
      <c r="D859" s="54"/>
      <c r="E859" s="51"/>
      <c r="F859" s="54"/>
      <c r="G859" s="54"/>
      <c r="H859" s="52"/>
      <c r="I859" s="54"/>
      <c r="J859" s="85">
        <f>IF($E859="Fail",IF(ISNUMBER($H859),"Fixed","OPEN"),"")</f>
        <v/>
      </c>
    </row>
    <row r="860" spans="1:10">
      <c r="A860" s="52"/>
      <c r="B860" s="54"/>
      <c r="C860" s="54"/>
      <c r="D860" s="54"/>
      <c r="E860" s="51"/>
      <c r="F860" s="54"/>
      <c r="G860" s="54"/>
      <c r="H860" s="52"/>
      <c r="I860" s="54"/>
      <c r="J860" s="85">
        <f>IF($E860="Fail",IF(ISNUMBER($H860),"Fixed","OPEN"),"")</f>
        <v/>
      </c>
    </row>
    <row r="861" spans="1:10">
      <c r="A861" s="52"/>
      <c r="B861" s="54"/>
      <c r="C861" s="54"/>
      <c r="D861" s="54"/>
      <c r="E861" s="51"/>
      <c r="F861" s="54"/>
      <c r="G861" s="54"/>
      <c r="H861" s="52"/>
      <c r="I861" s="54"/>
      <c r="J861" s="85">
        <f>IF($E861="Fail",IF(ISNUMBER($H861),"Fixed","OPEN"),"")</f>
        <v/>
      </c>
    </row>
    <row r="862" spans="1:10">
      <c r="A862" s="52"/>
      <c r="B862" s="54"/>
      <c r="C862" s="54"/>
      <c r="D862" s="54"/>
      <c r="E862" s="51"/>
      <c r="F862" s="54"/>
      <c r="G862" s="54"/>
      <c r="H862" s="52"/>
      <c r="I862" s="54"/>
      <c r="J862" s="85">
        <f>IF($E862="Fail",IF(ISNUMBER($H862),"Fixed","OPEN"),"")</f>
        <v/>
      </c>
    </row>
    <row r="863" spans="1:10">
      <c r="A863" s="52"/>
      <c r="B863" s="54"/>
      <c r="C863" s="54"/>
      <c r="D863" s="54"/>
      <c r="E863" s="51"/>
      <c r="F863" s="54"/>
      <c r="G863" s="54"/>
      <c r="H863" s="52"/>
      <c r="I863" s="54"/>
      <c r="J863" s="85">
        <f>IF($E863="Fail",IF(ISNUMBER($H863),"Fixed","OPEN"),"")</f>
        <v/>
      </c>
    </row>
    <row r="864" spans="1:10">
      <c r="A864" s="52"/>
      <c r="B864" s="54"/>
      <c r="C864" s="54"/>
      <c r="D864" s="54"/>
      <c r="E864" s="51"/>
      <c r="F864" s="54"/>
      <c r="G864" s="54"/>
      <c r="H864" s="52"/>
      <c r="I864" s="54"/>
      <c r="J864" s="85">
        <f>IF($E864="Fail",IF(ISNUMBER($H864),"Fixed","OPEN"),"")</f>
        <v/>
      </c>
    </row>
    <row r="865" spans="1:10">
      <c r="A865" s="52"/>
      <c r="B865" s="54"/>
      <c r="C865" s="54"/>
      <c r="D865" s="54"/>
      <c r="E865" s="51"/>
      <c r="F865" s="54"/>
      <c r="G865" s="54"/>
      <c r="H865" s="52"/>
      <c r="I865" s="54"/>
      <c r="J865" s="85">
        <f>IF($E865="Fail",IF(ISNUMBER($H865),"Fixed","OPEN"),"")</f>
        <v/>
      </c>
    </row>
    <row r="866" spans="1:10">
      <c r="A866" s="52"/>
      <c r="B866" s="54"/>
      <c r="C866" s="54"/>
      <c r="D866" s="54"/>
      <c r="E866" s="51"/>
      <c r="F866" s="54"/>
      <c r="G866" s="54"/>
      <c r="H866" s="52"/>
      <c r="I866" s="54"/>
      <c r="J866" s="85">
        <f>IF($E866="Fail",IF(ISNUMBER($H866),"Fixed","OPEN"),"")</f>
        <v/>
      </c>
    </row>
    <row r="867" spans="1:10">
      <c r="A867" s="52"/>
      <c r="B867" s="54"/>
      <c r="C867" s="54"/>
      <c r="D867" s="54"/>
      <c r="E867" s="51"/>
      <c r="F867" s="54"/>
      <c r="G867" s="54"/>
      <c r="H867" s="52"/>
      <c r="I867" s="54"/>
      <c r="J867" s="85">
        <f>IF($E867="Fail",IF(ISNUMBER($H867),"Fixed","OPEN"),"")</f>
        <v/>
      </c>
    </row>
    <row r="868" spans="1:10">
      <c r="A868" s="52"/>
      <c r="B868" s="54"/>
      <c r="C868" s="54"/>
      <c r="D868" s="54"/>
      <c r="E868" s="51"/>
      <c r="F868" s="54"/>
      <c r="G868" s="54"/>
      <c r="H868" s="52"/>
      <c r="I868" s="54"/>
      <c r="J868" s="85">
        <f>IF($E868="Fail",IF(ISNUMBER($H868),"Fixed","OPEN"),"")</f>
        <v/>
      </c>
    </row>
    <row r="869" spans="1:10">
      <c r="A869" s="52"/>
      <c r="B869" s="54"/>
      <c r="C869" s="54"/>
      <c r="D869" s="54"/>
      <c r="E869" s="51"/>
      <c r="F869" s="54"/>
      <c r="G869" s="54"/>
      <c r="H869" s="52"/>
      <c r="I869" s="54"/>
      <c r="J869" s="85">
        <f>IF($E869="Fail",IF(ISNUMBER($H869),"Fixed","OPEN"),"")</f>
        <v/>
      </c>
    </row>
    <row r="870" spans="1:10">
      <c r="A870" s="52"/>
      <c r="B870" s="54"/>
      <c r="C870" s="54"/>
      <c r="D870" s="54"/>
      <c r="E870" s="51"/>
      <c r="F870" s="54"/>
      <c r="G870" s="54"/>
      <c r="H870" s="52"/>
      <c r="I870" s="54"/>
      <c r="J870" s="85">
        <f>IF($E870="Fail",IF(ISNUMBER($H870),"Fixed","OPEN"),"")</f>
        <v/>
      </c>
    </row>
    <row r="871" spans="1:10">
      <c r="A871" s="52"/>
      <c r="B871" s="54"/>
      <c r="C871" s="54"/>
      <c r="D871" s="54"/>
      <c r="E871" s="51"/>
      <c r="F871" s="54"/>
      <c r="G871" s="54"/>
      <c r="H871" s="52"/>
      <c r="I871" s="54"/>
      <c r="J871" s="85">
        <f>IF($E871="Fail",IF(ISNUMBER($H871),"Fixed","OPEN"),"")</f>
        <v/>
      </c>
    </row>
    <row r="872" spans="1:10">
      <c r="A872" s="52"/>
      <c r="B872" s="54"/>
      <c r="C872" s="54"/>
      <c r="D872" s="54"/>
      <c r="E872" s="51"/>
      <c r="F872" s="54"/>
      <c r="G872" s="54"/>
      <c r="H872" s="52"/>
      <c r="I872" s="54"/>
      <c r="J872" s="85">
        <f>IF($E872="Fail",IF(ISNUMBER($H872),"Fixed","OPEN"),"")</f>
        <v/>
      </c>
    </row>
    <row r="873" spans="1:10">
      <c r="A873" s="52"/>
      <c r="B873" s="54"/>
      <c r="C873" s="54"/>
      <c r="D873" s="54"/>
      <c r="E873" s="51"/>
      <c r="F873" s="54"/>
      <c r="G873" s="54"/>
      <c r="H873" s="52"/>
      <c r="I873" s="54"/>
      <c r="J873" s="85">
        <f>IF($E873="Fail",IF(ISNUMBER($H873),"Fixed","OPEN"),"")</f>
        <v/>
      </c>
    </row>
    <row r="874" spans="1:10">
      <c r="A874" s="52"/>
      <c r="B874" s="54"/>
      <c r="C874" s="54"/>
      <c r="D874" s="54"/>
      <c r="E874" s="51"/>
      <c r="F874" s="54"/>
      <c r="G874" s="54"/>
      <c r="H874" s="52"/>
      <c r="I874" s="54"/>
      <c r="J874" s="85">
        <f>IF($E874="Fail",IF(ISNUMBER($H874),"Fixed","OPEN"),"")</f>
        <v/>
      </c>
    </row>
    <row r="875" spans="1:10">
      <c r="A875" s="52"/>
      <c r="B875" s="54"/>
      <c r="C875" s="54"/>
      <c r="D875" s="54"/>
      <c r="E875" s="51"/>
      <c r="F875" s="54"/>
      <c r="G875" s="54"/>
      <c r="H875" s="52"/>
      <c r="I875" s="54"/>
      <c r="J875" s="85">
        <f>IF($E875="Fail",IF(ISNUMBER($H875),"Fixed","OPEN"),"")</f>
        <v/>
      </c>
    </row>
    <row r="876" spans="1:10">
      <c r="A876" s="52"/>
      <c r="B876" s="54"/>
      <c r="C876" s="54"/>
      <c r="D876" s="54"/>
      <c r="E876" s="51"/>
      <c r="F876" s="54"/>
      <c r="G876" s="54"/>
      <c r="H876" s="52"/>
      <c r="I876" s="54"/>
      <c r="J876" s="85">
        <f>IF($E876="Fail",IF(ISNUMBER($H876),"Fixed","OPEN"),"")</f>
        <v/>
      </c>
    </row>
    <row r="877" spans="1:10">
      <c r="A877" s="52"/>
      <c r="B877" s="54"/>
      <c r="C877" s="54"/>
      <c r="D877" s="54"/>
      <c r="E877" s="51"/>
      <c r="F877" s="54"/>
      <c r="G877" s="54"/>
      <c r="H877" s="52"/>
      <c r="I877" s="54"/>
      <c r="J877" s="85">
        <f>IF($E877="Fail",IF(ISNUMBER($H877),"Fixed","OPEN"),"")</f>
        <v/>
      </c>
    </row>
    <row r="878" spans="1:10">
      <c r="A878" s="52"/>
      <c r="B878" s="54"/>
      <c r="C878" s="54"/>
      <c r="D878" s="54"/>
      <c r="E878" s="51"/>
      <c r="F878" s="54"/>
      <c r="G878" s="54"/>
      <c r="H878" s="52"/>
      <c r="I878" s="54"/>
      <c r="J878" s="85">
        <f>IF($E878="Fail",IF(ISNUMBER($H878),"Fixed","OPEN"),"")</f>
        <v/>
      </c>
    </row>
    <row r="879" spans="1:10">
      <c r="A879" s="52"/>
      <c r="B879" s="54"/>
      <c r="C879" s="54"/>
      <c r="D879" s="54"/>
      <c r="E879" s="51"/>
      <c r="F879" s="54"/>
      <c r="G879" s="54"/>
      <c r="H879" s="52"/>
      <c r="I879" s="54"/>
      <c r="J879" s="85">
        <f>IF($E879="Fail",IF(ISNUMBER($H879),"Fixed","OPEN"),"")</f>
        <v/>
      </c>
    </row>
    <row r="880" spans="1:10">
      <c r="A880" s="52"/>
      <c r="B880" s="54"/>
      <c r="C880" s="54"/>
      <c r="D880" s="54"/>
      <c r="E880" s="51"/>
      <c r="F880" s="54"/>
      <c r="G880" s="54"/>
      <c r="H880" s="52"/>
      <c r="I880" s="54"/>
      <c r="J880" s="85">
        <f>IF($E880="Fail",IF(ISNUMBER($H880),"Fixed","OPEN"),"")</f>
        <v/>
      </c>
    </row>
    <row r="881" spans="1:10">
      <c r="A881" s="52"/>
      <c r="B881" s="54"/>
      <c r="C881" s="54"/>
      <c r="D881" s="54"/>
      <c r="E881" s="51"/>
      <c r="F881" s="54"/>
      <c r="G881" s="54"/>
      <c r="H881" s="52"/>
      <c r="I881" s="54"/>
      <c r="J881" s="85">
        <f>IF($E881="Fail",IF(ISNUMBER($H881),"Fixed","OPEN"),"")</f>
        <v/>
      </c>
    </row>
    <row r="882" spans="1:10">
      <c r="A882" s="52"/>
      <c r="B882" s="54"/>
      <c r="C882" s="54"/>
      <c r="D882" s="54"/>
      <c r="E882" s="51"/>
      <c r="F882" s="54"/>
      <c r="G882" s="54"/>
      <c r="H882" s="52"/>
      <c r="I882" s="54"/>
      <c r="J882" s="85">
        <f>IF($E882="Fail",IF(ISNUMBER($H882),"Fixed","OPEN"),"")</f>
        <v/>
      </c>
    </row>
    <row r="883" spans="1:10">
      <c r="A883" s="52"/>
      <c r="B883" s="54"/>
      <c r="C883" s="54"/>
      <c r="D883" s="54"/>
      <c r="E883" s="51"/>
      <c r="F883" s="54"/>
      <c r="G883" s="54"/>
      <c r="H883" s="52"/>
      <c r="I883" s="54"/>
      <c r="J883" s="85">
        <f>IF($E883="Fail",IF(ISNUMBER($H883),"Fixed","OPEN"),"")</f>
        <v/>
      </c>
    </row>
    <row r="884" spans="1:10">
      <c r="A884" s="52"/>
      <c r="B884" s="54"/>
      <c r="C884" s="54"/>
      <c r="D884" s="54"/>
      <c r="E884" s="51"/>
      <c r="F884" s="54"/>
      <c r="G884" s="54"/>
      <c r="H884" s="52"/>
      <c r="I884" s="54"/>
      <c r="J884" s="85">
        <f>IF($E884="Fail",IF(ISNUMBER($H884),"Fixed","OPEN"),"")</f>
        <v/>
      </c>
    </row>
    <row r="885" spans="1:10">
      <c r="A885" s="52"/>
      <c r="B885" s="54"/>
      <c r="C885" s="54"/>
      <c r="D885" s="54"/>
      <c r="E885" s="51"/>
      <c r="F885" s="54"/>
      <c r="G885" s="54"/>
      <c r="H885" s="52"/>
      <c r="I885" s="54"/>
      <c r="J885" s="85">
        <f>IF($E885="Fail",IF(ISNUMBER($H885),"Fixed","OPEN"),"")</f>
        <v/>
      </c>
    </row>
    <row r="886" spans="1:10">
      <c r="A886" s="52"/>
      <c r="B886" s="54"/>
      <c r="C886" s="54"/>
      <c r="D886" s="54"/>
      <c r="E886" s="51"/>
      <c r="F886" s="54"/>
      <c r="G886" s="54"/>
      <c r="H886" s="52"/>
      <c r="I886" s="54"/>
      <c r="J886" s="85">
        <f>IF($E886="Fail",IF(ISNUMBER($H886),"Fixed","OPEN"),"")</f>
        <v/>
      </c>
    </row>
    <row r="887" spans="1:10">
      <c r="A887" s="52"/>
      <c r="B887" s="54"/>
      <c r="C887" s="54"/>
      <c r="D887" s="54"/>
      <c r="E887" s="51"/>
      <c r="F887" s="54"/>
      <c r="G887" s="54"/>
      <c r="H887" s="52"/>
      <c r="I887" s="54"/>
      <c r="J887" s="85">
        <f>IF($E887="Fail",IF(ISNUMBER($H887),"Fixed","OPEN"),"")</f>
        <v/>
      </c>
    </row>
    <row r="888" spans="1:10">
      <c r="A888" s="52"/>
      <c r="B888" s="54"/>
      <c r="C888" s="54"/>
      <c r="D888" s="54"/>
      <c r="E888" s="51"/>
      <c r="F888" s="54"/>
      <c r="G888" s="54"/>
      <c r="H888" s="52"/>
      <c r="I888" s="54"/>
      <c r="J888" s="85">
        <f>IF($E888="Fail",IF(ISNUMBER($H888),"Fixed","OPEN"),"")</f>
        <v/>
      </c>
    </row>
    <row r="889" spans="1:10">
      <c r="A889" s="52"/>
      <c r="B889" s="54"/>
      <c r="C889" s="54"/>
      <c r="D889" s="54"/>
      <c r="E889" s="51"/>
      <c r="F889" s="54"/>
      <c r="G889" s="54"/>
      <c r="H889" s="52"/>
      <c r="I889" s="54"/>
      <c r="J889" s="85">
        <f>IF($E889="Fail",IF(ISNUMBER($H889),"Fixed","OPEN"),"")</f>
        <v/>
      </c>
    </row>
    <row r="890" spans="1:10">
      <c r="A890" s="52"/>
      <c r="B890" s="54"/>
      <c r="C890" s="54"/>
      <c r="D890" s="54"/>
      <c r="E890" s="51"/>
      <c r="F890" s="54"/>
      <c r="G890" s="54"/>
      <c r="H890" s="52"/>
      <c r="I890" s="54"/>
      <c r="J890" s="85">
        <f>IF($E890="Fail",IF(ISNUMBER($H890),"Fixed","OPEN"),"")</f>
        <v/>
      </c>
    </row>
    <row r="891" spans="1:10">
      <c r="A891" s="52"/>
      <c r="B891" s="54"/>
      <c r="C891" s="54"/>
      <c r="D891" s="54"/>
      <c r="E891" s="51"/>
      <c r="F891" s="54"/>
      <c r="G891" s="54"/>
      <c r="H891" s="52"/>
      <c r="I891" s="54"/>
      <c r="J891" s="85">
        <f>IF($E891="Fail",IF(ISNUMBER($H891),"Fixed","OPEN"),"")</f>
        <v/>
      </c>
    </row>
    <row r="892" spans="1:10">
      <c r="A892" s="52"/>
      <c r="B892" s="54"/>
      <c r="C892" s="54"/>
      <c r="D892" s="54"/>
      <c r="E892" s="51"/>
      <c r="F892" s="54"/>
      <c r="G892" s="54"/>
      <c r="H892" s="52"/>
      <c r="I892" s="54"/>
      <c r="J892" s="85">
        <f>IF($E892="Fail",IF(ISNUMBER($H892),"Fixed","OPEN"),"")</f>
        <v/>
      </c>
    </row>
    <row r="893" spans="1:10">
      <c r="A893" s="52"/>
      <c r="B893" s="54"/>
      <c r="C893" s="54"/>
      <c r="D893" s="54"/>
      <c r="E893" s="51"/>
      <c r="F893" s="54"/>
      <c r="G893" s="54"/>
      <c r="H893" s="52"/>
      <c r="I893" s="54"/>
      <c r="J893" s="85">
        <f>IF($E893="Fail",IF(ISNUMBER($H893),"Fixed","OPEN"),"")</f>
        <v/>
      </c>
    </row>
    <row r="894" spans="1:10">
      <c r="A894" s="52"/>
      <c r="B894" s="54"/>
      <c r="C894" s="54"/>
      <c r="D894" s="54"/>
      <c r="E894" s="51"/>
      <c r="F894" s="54"/>
      <c r="G894" s="54"/>
      <c r="H894" s="52"/>
      <c r="I894" s="54"/>
      <c r="J894" s="85">
        <f>IF($E894="Fail",IF(ISNUMBER($H894),"Fixed","OPEN"),"")</f>
        <v/>
      </c>
    </row>
    <row r="895" spans="1:10">
      <c r="A895" s="52"/>
      <c r="B895" s="54"/>
      <c r="C895" s="54"/>
      <c r="D895" s="54"/>
      <c r="E895" s="51"/>
      <c r="F895" s="54"/>
      <c r="G895" s="54"/>
      <c r="H895" s="52"/>
      <c r="I895" s="54"/>
      <c r="J895" s="85">
        <f>IF($E895="Fail",IF(ISNUMBER($H895),"Fixed","OPEN"),"")</f>
        <v/>
      </c>
    </row>
    <row r="896" spans="1:10">
      <c r="A896" s="52"/>
      <c r="B896" s="54"/>
      <c r="C896" s="54"/>
      <c r="D896" s="54"/>
      <c r="E896" s="51"/>
      <c r="F896" s="54"/>
      <c r="G896" s="54"/>
      <c r="H896" s="52"/>
      <c r="I896" s="54"/>
      <c r="J896" s="85">
        <f>IF($E896="Fail",IF(ISNUMBER($H896),"Fixed","OPEN"),"")</f>
        <v/>
      </c>
    </row>
    <row r="897" spans="1:10">
      <c r="A897" s="52"/>
      <c r="B897" s="54"/>
      <c r="C897" s="54"/>
      <c r="D897" s="54"/>
      <c r="E897" s="51"/>
      <c r="F897" s="54"/>
      <c r="G897" s="54"/>
      <c r="H897" s="52"/>
      <c r="I897" s="54"/>
      <c r="J897" s="85">
        <f>IF($E897="Fail",IF(ISNUMBER($H897),"Fixed","OPEN"),"")</f>
        <v/>
      </c>
    </row>
    <row r="898" spans="1:10">
      <c r="A898" s="52"/>
      <c r="B898" s="54"/>
      <c r="C898" s="54"/>
      <c r="D898" s="54"/>
      <c r="E898" s="51"/>
      <c r="F898" s="54"/>
      <c r="G898" s="54"/>
      <c r="H898" s="52"/>
      <c r="I898" s="54"/>
      <c r="J898" s="85">
        <f>IF($E898="Fail",IF(ISNUMBER($H898),"Fixed","OPEN"),"")</f>
        <v/>
      </c>
    </row>
    <row r="899" spans="1:10">
      <c r="A899" s="52"/>
      <c r="B899" s="54"/>
      <c r="C899" s="54"/>
      <c r="D899" s="54"/>
      <c r="E899" s="51"/>
      <c r="F899" s="54"/>
      <c r="G899" s="54"/>
      <c r="H899" s="52"/>
      <c r="I899" s="54"/>
      <c r="J899" s="85">
        <f>IF($E899="Fail",IF(ISNUMBER($H899),"Fixed","OPEN"),"")</f>
        <v/>
      </c>
    </row>
    <row r="900" spans="1:10">
      <c r="A900" s="52"/>
      <c r="B900" s="54"/>
      <c r="C900" s="54"/>
      <c r="D900" s="54"/>
      <c r="E900" s="51"/>
      <c r="F900" s="54"/>
      <c r="G900" s="54"/>
      <c r="H900" s="52"/>
      <c r="I900" s="54"/>
      <c r="J900" s="85">
        <f>IF($E900="Fail",IF(ISNUMBER($H900),"Fixed","OPEN"),"")</f>
        <v/>
      </c>
    </row>
    <row r="901" spans="1:10">
      <c r="A901" s="52"/>
      <c r="B901" s="54"/>
      <c r="C901" s="54"/>
      <c r="D901" s="54"/>
      <c r="E901" s="51"/>
      <c r="F901" s="54"/>
      <c r="G901" s="54"/>
      <c r="H901" s="52"/>
      <c r="I901" s="54"/>
      <c r="J901" s="85">
        <f>IF($E901="Fail",IF(ISNUMBER($H901),"Fixed","OPEN"),"")</f>
        <v/>
      </c>
    </row>
    <row r="902" spans="1:10">
      <c r="A902" s="52"/>
      <c r="B902" s="54"/>
      <c r="C902" s="54"/>
      <c r="D902" s="54"/>
      <c r="E902" s="51"/>
      <c r="F902" s="54"/>
      <c r="G902" s="54"/>
      <c r="H902" s="52"/>
      <c r="I902" s="54"/>
      <c r="J902" s="85">
        <f>IF($E902="Fail",IF(ISNUMBER($H902),"Fixed","OPEN"),"")</f>
        <v/>
      </c>
    </row>
    <row r="903" spans="1:10">
      <c r="A903" s="52"/>
      <c r="B903" s="54"/>
      <c r="C903" s="54"/>
      <c r="D903" s="54"/>
      <c r="E903" s="51"/>
      <c r="F903" s="54"/>
      <c r="G903" s="54"/>
      <c r="H903" s="52"/>
      <c r="I903" s="54"/>
      <c r="J903" s="85">
        <f>IF($E903="Fail",IF(ISNUMBER($H903),"Fixed","OPEN"),"")</f>
        <v/>
      </c>
    </row>
    <row r="904" spans="1:10">
      <c r="A904" s="52"/>
      <c r="B904" s="54"/>
      <c r="C904" s="54"/>
      <c r="D904" s="54"/>
      <c r="E904" s="51"/>
      <c r="F904" s="54"/>
      <c r="G904" s="54"/>
      <c r="H904" s="52"/>
      <c r="I904" s="54"/>
      <c r="J904" s="85">
        <f>IF($E904="Fail",IF(ISNUMBER($H904),"Fixed","OPEN"),"")</f>
        <v/>
      </c>
    </row>
    <row r="905" spans="1:10">
      <c r="A905" s="52"/>
      <c r="B905" s="54"/>
      <c r="C905" s="54"/>
      <c r="D905" s="54"/>
      <c r="E905" s="51"/>
      <c r="F905" s="54"/>
      <c r="G905" s="54"/>
      <c r="H905" s="52"/>
      <c r="I905" s="54"/>
      <c r="J905" s="85">
        <f>IF($E905="Fail",IF(ISNUMBER($H905),"Fixed","OPEN"),"")</f>
        <v/>
      </c>
    </row>
    <row r="906" spans="1:10">
      <c r="A906" s="52"/>
      <c r="B906" s="54"/>
      <c r="C906" s="54"/>
      <c r="D906" s="54"/>
      <c r="E906" s="51"/>
      <c r="F906" s="54"/>
      <c r="G906" s="54"/>
      <c r="H906" s="52"/>
      <c r="I906" s="54"/>
      <c r="J906" s="85">
        <f>IF($E906="Fail",IF(ISNUMBER($H906),"Fixed","OPEN"),"")</f>
        <v/>
      </c>
    </row>
    <row r="907" spans="1:10">
      <c r="A907" s="52"/>
      <c r="B907" s="54"/>
      <c r="C907" s="54"/>
      <c r="D907" s="54"/>
      <c r="E907" s="51"/>
      <c r="F907" s="54"/>
      <c r="G907" s="54"/>
      <c r="H907" s="52"/>
      <c r="I907" s="54"/>
      <c r="J907" s="85">
        <f>IF($E907="Fail",IF(ISNUMBER($H907),"Fixed","OPEN"),"")</f>
        <v/>
      </c>
    </row>
    <row r="908" spans="1:10">
      <c r="A908" s="52"/>
      <c r="B908" s="54"/>
      <c r="C908" s="54"/>
      <c r="D908" s="54"/>
      <c r="E908" s="51"/>
      <c r="F908" s="54"/>
      <c r="G908" s="54"/>
      <c r="H908" s="52"/>
      <c r="I908" s="54"/>
      <c r="J908" s="85">
        <f>IF($E908="Fail",IF(ISNUMBER($H908),"Fixed","OPEN"),"")</f>
        <v/>
      </c>
    </row>
    <row r="909" spans="1:10">
      <c r="A909" s="52"/>
      <c r="B909" s="54"/>
      <c r="C909" s="54"/>
      <c r="D909" s="54"/>
      <c r="E909" s="51"/>
      <c r="F909" s="54"/>
      <c r="G909" s="54"/>
      <c r="H909" s="52"/>
      <c r="I909" s="54"/>
      <c r="J909" s="85">
        <f>IF($E909="Fail",IF(ISNUMBER($H909),"Fixed","OPEN"),"")</f>
        <v/>
      </c>
    </row>
    <row r="910" spans="1:10">
      <c r="A910" s="52"/>
      <c r="B910" s="54"/>
      <c r="C910" s="54"/>
      <c r="D910" s="54"/>
      <c r="E910" s="51"/>
      <c r="F910" s="54"/>
      <c r="G910" s="54"/>
      <c r="H910" s="52"/>
      <c r="I910" s="54"/>
      <c r="J910" s="85">
        <f>IF($E910="Fail",IF(ISNUMBER($H910),"Fixed","OPEN"),"")</f>
        <v/>
      </c>
    </row>
    <row r="911" spans="1:10">
      <c r="A911" s="52"/>
      <c r="B911" s="54"/>
      <c r="C911" s="54"/>
      <c r="D911" s="54"/>
      <c r="E911" s="51"/>
      <c r="F911" s="54"/>
      <c r="G911" s="54"/>
      <c r="H911" s="52"/>
      <c r="I911" s="54"/>
      <c r="J911" s="85">
        <f>IF($E911="Fail",IF(ISNUMBER($H911),"Fixed","OPEN"),"")</f>
        <v/>
      </c>
    </row>
    <row r="912" spans="1:10">
      <c r="A912" s="52"/>
      <c r="B912" s="54"/>
      <c r="C912" s="54"/>
      <c r="D912" s="54"/>
      <c r="E912" s="51"/>
      <c r="F912" s="54"/>
      <c r="G912" s="54"/>
      <c r="H912" s="52"/>
      <c r="I912" s="54"/>
      <c r="J912" s="85">
        <f>IF($E912="Fail",IF(ISNUMBER($H912),"Fixed","OPEN"),"")</f>
        <v/>
      </c>
    </row>
    <row r="913" spans="1:10">
      <c r="A913" s="52"/>
      <c r="B913" s="54"/>
      <c r="C913" s="54"/>
      <c r="D913" s="54"/>
      <c r="E913" s="51"/>
      <c r="F913" s="54"/>
      <c r="G913" s="54"/>
      <c r="H913" s="52"/>
      <c r="I913" s="54"/>
      <c r="J913" s="85">
        <f>IF($E913="Fail",IF(ISNUMBER($H913),"Fixed","OPEN"),"")</f>
        <v/>
      </c>
    </row>
    <row r="914" spans="1:10">
      <c r="A914" s="52"/>
      <c r="B914" s="54"/>
      <c r="C914" s="54"/>
      <c r="D914" s="54"/>
      <c r="E914" s="51"/>
      <c r="F914" s="54"/>
      <c r="G914" s="54"/>
      <c r="H914" s="52"/>
      <c r="I914" s="54"/>
      <c r="J914" s="85">
        <f>IF($E914="Fail",IF(ISNUMBER($H914),"Fixed","OPEN"),"")</f>
        <v/>
      </c>
    </row>
    <row r="915" spans="1:10">
      <c r="A915" s="52"/>
      <c r="B915" s="54"/>
      <c r="C915" s="54"/>
      <c r="D915" s="54"/>
      <c r="E915" s="51"/>
      <c r="F915" s="54"/>
      <c r="G915" s="54"/>
      <c r="H915" s="52"/>
      <c r="I915" s="54"/>
      <c r="J915" s="85">
        <f>IF($E915="Fail",IF(ISNUMBER($H915),"Fixed","OPEN"),"")</f>
        <v/>
      </c>
    </row>
    <row r="916" spans="1:10">
      <c r="A916" s="52"/>
      <c r="B916" s="54"/>
      <c r="C916" s="54"/>
      <c r="D916" s="54"/>
      <c r="E916" s="51"/>
      <c r="F916" s="54"/>
      <c r="G916" s="54"/>
      <c r="H916" s="52"/>
      <c r="I916" s="54"/>
      <c r="J916" s="85">
        <f>IF($E916="Fail",IF(ISNUMBER($H916),"Fixed","OPEN"),"")</f>
        <v/>
      </c>
    </row>
    <row r="917" spans="1:10">
      <c r="A917" s="52"/>
      <c r="B917" s="54"/>
      <c r="C917" s="54"/>
      <c r="D917" s="54"/>
      <c r="E917" s="51"/>
      <c r="F917" s="54"/>
      <c r="G917" s="54"/>
      <c r="H917" s="52"/>
      <c r="I917" s="54"/>
      <c r="J917" s="85">
        <f>IF($E917="Fail",IF(ISNUMBER($H917),"Fixed","OPEN"),"")</f>
        <v/>
      </c>
    </row>
    <row r="918" spans="1:10">
      <c r="A918" s="52"/>
      <c r="B918" s="54"/>
      <c r="C918" s="54"/>
      <c r="D918" s="54"/>
      <c r="E918" s="51"/>
      <c r="F918" s="54"/>
      <c r="G918" s="54"/>
      <c r="H918" s="52"/>
      <c r="I918" s="54"/>
      <c r="J918" s="85">
        <f>IF($E918="Fail",IF(ISNUMBER($H918),"Fixed","OPEN"),"")</f>
        <v/>
      </c>
    </row>
    <row r="919" spans="1:10">
      <c r="A919" s="52"/>
      <c r="B919" s="54"/>
      <c r="C919" s="54"/>
      <c r="D919" s="54"/>
      <c r="E919" s="51"/>
      <c r="F919" s="54"/>
      <c r="G919" s="54"/>
      <c r="H919" s="52"/>
      <c r="I919" s="54"/>
      <c r="J919" s="85">
        <f>IF($E919="Fail",IF(ISNUMBER($H919),"Fixed","OPEN"),"")</f>
        <v/>
      </c>
    </row>
    <row r="920" spans="1:10">
      <c r="A920" s="52"/>
      <c r="B920" s="54"/>
      <c r="C920" s="54"/>
      <c r="D920" s="54"/>
      <c r="E920" s="51"/>
      <c r="F920" s="54"/>
      <c r="G920" s="54"/>
      <c r="H920" s="52"/>
      <c r="I920" s="54"/>
      <c r="J920" s="85">
        <f>IF($E920="Fail",IF(ISNUMBER($H920),"Fixed","OPEN"),"")</f>
        <v/>
      </c>
    </row>
    <row r="921" spans="1:10">
      <c r="A921" s="52"/>
      <c r="B921" s="54"/>
      <c r="C921" s="54"/>
      <c r="D921" s="54"/>
      <c r="E921" s="51"/>
      <c r="F921" s="54"/>
      <c r="G921" s="54"/>
      <c r="H921" s="52"/>
      <c r="I921" s="54"/>
      <c r="J921" s="85">
        <f>IF($E921="Fail",IF(ISNUMBER($H921),"Fixed","OPEN"),"")</f>
        <v/>
      </c>
    </row>
    <row r="922" spans="1:10">
      <c r="A922" s="52"/>
      <c r="B922" s="54"/>
      <c r="C922" s="54"/>
      <c r="D922" s="54"/>
      <c r="E922" s="51"/>
      <c r="F922" s="54"/>
      <c r="G922" s="54"/>
      <c r="H922" s="52"/>
      <c r="I922" s="54"/>
      <c r="J922" s="85">
        <f>IF($E922="Fail",IF(ISNUMBER($H922),"Fixed","OPEN"),"")</f>
        <v/>
      </c>
    </row>
    <row r="923" spans="1:10">
      <c r="A923" s="52"/>
      <c r="B923" s="54"/>
      <c r="C923" s="54"/>
      <c r="D923" s="54"/>
      <c r="E923" s="51"/>
      <c r="F923" s="54"/>
      <c r="G923" s="54"/>
      <c r="H923" s="52"/>
      <c r="I923" s="54"/>
      <c r="J923" s="85">
        <f>IF($E923="Fail",IF(ISNUMBER($H923),"Fixed","OPEN"),"")</f>
        <v/>
      </c>
    </row>
    <row r="924" spans="1:10">
      <c r="A924" s="52"/>
      <c r="B924" s="54"/>
      <c r="C924" s="54"/>
      <c r="D924" s="54"/>
      <c r="E924" s="51"/>
      <c r="F924" s="54"/>
      <c r="G924" s="54"/>
      <c r="H924" s="52"/>
      <c r="I924" s="54"/>
      <c r="J924" s="85">
        <f>IF($E924="Fail",IF(ISNUMBER($H924),"Fixed","OPEN"),"")</f>
        <v/>
      </c>
    </row>
    <row r="925" spans="1:10">
      <c r="A925" s="52"/>
      <c r="B925" s="54"/>
      <c r="C925" s="54"/>
      <c r="D925" s="54"/>
      <c r="E925" s="51"/>
      <c r="F925" s="54"/>
      <c r="G925" s="54"/>
      <c r="H925" s="52"/>
      <c r="I925" s="54"/>
      <c r="J925" s="85">
        <f>IF($E925="Fail",IF(ISNUMBER($H925),"Fixed","OPEN"),"")</f>
        <v/>
      </c>
    </row>
    <row r="926" spans="1:10">
      <c r="A926" s="52"/>
      <c r="B926" s="54"/>
      <c r="C926" s="54"/>
      <c r="D926" s="54"/>
      <c r="E926" s="51"/>
      <c r="F926" s="54"/>
      <c r="G926" s="54"/>
      <c r="H926" s="52"/>
      <c r="I926" s="54"/>
      <c r="J926" s="85">
        <f>IF($E926="Fail",IF(ISNUMBER($H926),"Fixed","OPEN"),"")</f>
        <v/>
      </c>
    </row>
    <row r="927" spans="1:10">
      <c r="A927" s="52"/>
      <c r="B927" s="54"/>
      <c r="C927" s="54"/>
      <c r="D927" s="54"/>
      <c r="E927" s="51"/>
      <c r="F927" s="54"/>
      <c r="G927" s="54"/>
      <c r="H927" s="52"/>
      <c r="I927" s="54"/>
      <c r="J927" s="85">
        <f>IF($E927="Fail",IF(ISNUMBER($H927),"Fixed","OPEN"),"")</f>
        <v/>
      </c>
    </row>
    <row r="928" spans="1:10">
      <c r="A928" s="52"/>
      <c r="B928" s="54"/>
      <c r="C928" s="54"/>
      <c r="D928" s="54"/>
      <c r="E928" s="51"/>
      <c r="F928" s="54"/>
      <c r="G928" s="54"/>
      <c r="H928" s="52"/>
      <c r="I928" s="54"/>
      <c r="J928" s="85">
        <f>IF($E928="Fail",IF(ISNUMBER($H928),"Fixed","OPEN"),"")</f>
        <v/>
      </c>
    </row>
    <row r="929" spans="1:10">
      <c r="A929" s="52"/>
      <c r="B929" s="54"/>
      <c r="C929" s="54"/>
      <c r="D929" s="54"/>
      <c r="E929" s="51"/>
      <c r="F929" s="54"/>
      <c r="G929" s="54"/>
      <c r="H929" s="52"/>
      <c r="I929" s="54"/>
      <c r="J929" s="85">
        <f>IF($E929="Fail",IF(ISNUMBER($H929),"Fixed","OPEN"),"")</f>
        <v/>
      </c>
    </row>
    <row r="930" spans="1:10">
      <c r="A930" s="52"/>
      <c r="B930" s="54"/>
      <c r="C930" s="54"/>
      <c r="D930" s="54"/>
      <c r="E930" s="51"/>
      <c r="F930" s="54"/>
      <c r="G930" s="54"/>
      <c r="H930" s="52"/>
      <c r="I930" s="54"/>
      <c r="J930" s="85">
        <f>IF($E930="Fail",IF(ISNUMBER($H930),"Fixed","OPEN"),"")</f>
        <v/>
      </c>
    </row>
    <row r="931" spans="1:10">
      <c r="A931" s="52"/>
      <c r="B931" s="54"/>
      <c r="C931" s="54"/>
      <c r="D931" s="54"/>
      <c r="E931" s="51"/>
      <c r="F931" s="54"/>
      <c r="G931" s="54"/>
      <c r="H931" s="52"/>
      <c r="I931" s="54"/>
      <c r="J931" s="85">
        <f>IF($E931="Fail",IF(ISNUMBER($H931),"Fixed","OPEN"),"")</f>
        <v/>
      </c>
    </row>
    <row r="932" spans="1:10">
      <c r="A932" s="52"/>
      <c r="B932" s="54"/>
      <c r="C932" s="54"/>
      <c r="D932" s="54"/>
      <c r="E932" s="51"/>
      <c r="F932" s="54"/>
      <c r="G932" s="54"/>
      <c r="H932" s="52"/>
      <c r="I932" s="54"/>
      <c r="J932" s="85">
        <f>IF($E932="Fail",IF(ISNUMBER($H932),"Fixed","OPEN"),"")</f>
        <v/>
      </c>
    </row>
    <row r="933" spans="1:10">
      <c r="A933" s="52"/>
      <c r="B933" s="54"/>
      <c r="C933" s="54"/>
      <c r="D933" s="54"/>
      <c r="E933" s="51"/>
      <c r="F933" s="54"/>
      <c r="G933" s="54"/>
      <c r="H933" s="52"/>
      <c r="I933" s="54"/>
      <c r="J933" s="85">
        <f>IF($E933="Fail",IF(ISNUMBER($H933),"Fixed","OPEN"),"")</f>
        <v/>
      </c>
    </row>
    <row r="934" spans="1:10">
      <c r="A934" s="52"/>
      <c r="B934" s="54"/>
      <c r="C934" s="54"/>
      <c r="D934" s="54"/>
      <c r="E934" s="51"/>
      <c r="F934" s="54"/>
      <c r="G934" s="54"/>
      <c r="H934" s="52"/>
      <c r="I934" s="54"/>
      <c r="J934" s="85">
        <f>IF($E934="Fail",IF(ISNUMBER($H934),"Fixed","OPEN"),"")</f>
        <v/>
      </c>
    </row>
    <row r="935" spans="1:10">
      <c r="A935" s="52"/>
      <c r="B935" s="54"/>
      <c r="C935" s="54"/>
      <c r="D935" s="54"/>
      <c r="E935" s="51"/>
      <c r="F935" s="54"/>
      <c r="G935" s="54"/>
      <c r="H935" s="52"/>
      <c r="I935" s="54"/>
      <c r="J935" s="85">
        <f>IF($E935="Fail",IF(ISNUMBER($H935),"Fixed","OPEN"),"")</f>
        <v/>
      </c>
    </row>
    <row r="936" spans="1:10">
      <c r="A936" s="52"/>
      <c r="B936" s="54"/>
      <c r="C936" s="54"/>
      <c r="D936" s="54"/>
      <c r="E936" s="51"/>
      <c r="F936" s="54"/>
      <c r="G936" s="54"/>
      <c r="H936" s="52"/>
      <c r="I936" s="54"/>
      <c r="J936" s="85">
        <f>IF($E936="Fail",IF(ISNUMBER($H936),"Fixed","OPEN"),"")</f>
        <v/>
      </c>
    </row>
    <row r="937" spans="1:10">
      <c r="A937" s="52"/>
      <c r="B937" s="54"/>
      <c r="C937" s="54"/>
      <c r="D937" s="54"/>
      <c r="E937" s="51"/>
      <c r="F937" s="54"/>
      <c r="G937" s="54"/>
      <c r="H937" s="52"/>
      <c r="I937" s="54"/>
      <c r="J937" s="85">
        <f>IF($E937="Fail",IF(ISNUMBER($H937),"Fixed","OPEN"),"")</f>
        <v/>
      </c>
    </row>
    <row r="938" spans="1:10">
      <c r="A938" s="52"/>
      <c r="B938" s="54"/>
      <c r="C938" s="54"/>
      <c r="D938" s="54"/>
      <c r="E938" s="51"/>
      <c r="F938" s="54"/>
      <c r="G938" s="54"/>
      <c r="H938" s="52"/>
      <c r="I938" s="54"/>
      <c r="J938" s="85">
        <f>IF($E938="Fail",IF(ISNUMBER($H938),"Fixed","OPEN"),"")</f>
        <v/>
      </c>
    </row>
    <row r="939" spans="1:10">
      <c r="A939" s="52"/>
      <c r="B939" s="54"/>
      <c r="C939" s="54"/>
      <c r="D939" s="54"/>
      <c r="E939" s="51"/>
      <c r="F939" s="54"/>
      <c r="G939" s="54"/>
      <c r="H939" s="52"/>
      <c r="I939" s="54"/>
      <c r="J939" s="85">
        <f>IF($E939="Fail",IF(ISNUMBER($H939),"Fixed","OPEN"),"")</f>
        <v/>
      </c>
    </row>
    <row r="940" spans="1:10">
      <c r="A940" s="52"/>
      <c r="B940" s="54"/>
      <c r="C940" s="54"/>
      <c r="D940" s="54"/>
      <c r="E940" s="51"/>
      <c r="F940" s="54"/>
      <c r="G940" s="54"/>
      <c r="H940" s="52"/>
      <c r="I940" s="54"/>
      <c r="J940" s="85">
        <f>IF($E940="Fail",IF(ISNUMBER($H940),"Fixed","OPEN"),"")</f>
        <v/>
      </c>
    </row>
    <row r="941" spans="1:10">
      <c r="A941" s="52"/>
      <c r="B941" s="54"/>
      <c r="C941" s="54"/>
      <c r="D941" s="54"/>
      <c r="E941" s="51"/>
      <c r="F941" s="54"/>
      <c r="G941" s="54"/>
      <c r="H941" s="52"/>
      <c r="I941" s="54"/>
      <c r="J941" s="85">
        <f>IF($E941="Fail",IF(ISNUMBER($H941),"Fixed","OPEN"),"")</f>
        <v/>
      </c>
    </row>
    <row r="942" spans="1:10">
      <c r="A942" s="52"/>
      <c r="B942" s="54"/>
      <c r="C942" s="54"/>
      <c r="D942" s="54"/>
      <c r="E942" s="51"/>
      <c r="F942" s="54"/>
      <c r="G942" s="54"/>
      <c r="H942" s="52"/>
      <c r="I942" s="54"/>
      <c r="J942" s="85">
        <f>IF($E942="Fail",IF(ISNUMBER($H942),"Fixed","OPEN"),"")</f>
        <v/>
      </c>
    </row>
    <row r="943" spans="1:10">
      <c r="A943" s="52"/>
      <c r="B943" s="54"/>
      <c r="C943" s="54"/>
      <c r="D943" s="54"/>
      <c r="E943" s="51"/>
      <c r="F943" s="54"/>
      <c r="G943" s="54"/>
      <c r="H943" s="52"/>
      <c r="I943" s="54"/>
      <c r="J943" s="85">
        <f>IF($E943="Fail",IF(ISNUMBER($H943),"Fixed","OPEN"),"")</f>
        <v/>
      </c>
    </row>
    <row r="944" spans="1:10">
      <c r="A944" s="52"/>
      <c r="B944" s="54"/>
      <c r="C944" s="54"/>
      <c r="D944" s="54"/>
      <c r="E944" s="51"/>
      <c r="F944" s="54"/>
      <c r="G944" s="54"/>
      <c r="H944" s="52"/>
      <c r="I944" s="54"/>
      <c r="J944" s="85">
        <f>IF($E944="Fail",IF(ISNUMBER($H944),"Fixed","OPEN"),"")</f>
        <v/>
      </c>
    </row>
    <row r="945" spans="1:10">
      <c r="A945" s="52"/>
      <c r="B945" s="54"/>
      <c r="C945" s="54"/>
      <c r="D945" s="54"/>
      <c r="E945" s="51"/>
      <c r="F945" s="54"/>
      <c r="G945" s="54"/>
      <c r="H945" s="52"/>
      <c r="I945" s="54"/>
      <c r="J945" s="85">
        <f>IF($E945="Fail",IF(ISNUMBER($H945),"Fixed","OPEN"),"")</f>
        <v/>
      </c>
    </row>
    <row r="946" spans="1:10">
      <c r="A946" s="52"/>
      <c r="B946" s="54"/>
      <c r="C946" s="54"/>
      <c r="D946" s="54"/>
      <c r="E946" s="51"/>
      <c r="F946" s="54"/>
      <c r="G946" s="54"/>
      <c r="H946" s="52"/>
      <c r="I946" s="54"/>
      <c r="J946" s="85">
        <f>IF($E946="Fail",IF(ISNUMBER($H946),"Fixed","OPEN"),"")</f>
        <v/>
      </c>
    </row>
    <row r="947" spans="1:10">
      <c r="A947" s="52"/>
      <c r="B947" s="54"/>
      <c r="C947" s="54"/>
      <c r="D947" s="54"/>
      <c r="E947" s="51"/>
      <c r="F947" s="54"/>
      <c r="G947" s="54"/>
      <c r="H947" s="52"/>
      <c r="I947" s="54"/>
      <c r="J947" s="85">
        <f>IF($E947="Fail",IF(ISNUMBER($H947),"Fixed","OPEN"),"")</f>
        <v/>
      </c>
    </row>
    <row r="948" spans="1:10">
      <c r="A948" s="52"/>
      <c r="B948" s="54"/>
      <c r="C948" s="54"/>
      <c r="D948" s="54"/>
      <c r="E948" s="51"/>
      <c r="F948" s="54"/>
      <c r="G948" s="54"/>
      <c r="H948" s="52"/>
      <c r="I948" s="54"/>
      <c r="J948" s="85">
        <f>IF($E948="Fail",IF(ISNUMBER($H948),"Fixed","OPEN"),"")</f>
        <v/>
      </c>
    </row>
    <row r="949" spans="1:10">
      <c r="A949" s="52"/>
      <c r="B949" s="54"/>
      <c r="C949" s="54"/>
      <c r="D949" s="54"/>
      <c r="E949" s="51"/>
      <c r="F949" s="54"/>
      <c r="G949" s="54"/>
      <c r="H949" s="52"/>
      <c r="I949" s="54"/>
      <c r="J949" s="85">
        <f>IF($E949="Fail",IF(ISNUMBER($H949),"Fixed","OPEN"),"")</f>
        <v/>
      </c>
    </row>
    <row r="950" spans="1:10">
      <c r="A950" s="52"/>
      <c r="B950" s="54"/>
      <c r="C950" s="54"/>
      <c r="D950" s="54"/>
      <c r="E950" s="51"/>
      <c r="F950" s="54"/>
      <c r="G950" s="54"/>
      <c r="H950" s="52"/>
      <c r="I950" s="54"/>
      <c r="J950" s="85">
        <f>IF($E950="Fail",IF(ISNUMBER($H950),"Fixed","OPEN"),"")</f>
        <v/>
      </c>
    </row>
    <row r="951" spans="1:10">
      <c r="A951" s="52"/>
      <c r="B951" s="54"/>
      <c r="C951" s="54"/>
      <c r="D951" s="54"/>
      <c r="E951" s="51"/>
      <c r="F951" s="54"/>
      <c r="G951" s="54"/>
      <c r="H951" s="52"/>
      <c r="I951" s="54"/>
      <c r="J951" s="85">
        <f>IF($E951="Fail",IF(ISNUMBER($H951),"Fixed","OPEN"),"")</f>
        <v/>
      </c>
    </row>
    <row r="952" spans="1:10">
      <c r="A952" s="52"/>
      <c r="B952" s="54"/>
      <c r="C952" s="54"/>
      <c r="D952" s="54"/>
      <c r="E952" s="51"/>
      <c r="F952" s="54"/>
      <c r="G952" s="54"/>
      <c r="H952" s="52"/>
      <c r="I952" s="54"/>
      <c r="J952" s="85">
        <f>IF($E952="Fail",IF(ISNUMBER($H952),"Fixed","OPEN"),"")</f>
        <v/>
      </c>
    </row>
    <row r="953" spans="1:10">
      <c r="A953" s="52"/>
      <c r="B953" s="54"/>
      <c r="C953" s="54"/>
      <c r="D953" s="54"/>
      <c r="E953" s="51"/>
      <c r="F953" s="54"/>
      <c r="G953" s="54"/>
      <c r="H953" s="52"/>
      <c r="I953" s="54"/>
      <c r="J953" s="85">
        <f>IF($E953="Fail",IF(ISNUMBER($H953),"Fixed","OPEN"),"")</f>
        <v/>
      </c>
    </row>
    <row r="954" spans="1:10">
      <c r="A954" s="52"/>
      <c r="B954" s="54"/>
      <c r="C954" s="54"/>
      <c r="D954" s="54"/>
      <c r="E954" s="51"/>
      <c r="F954" s="54"/>
      <c r="G954" s="54"/>
      <c r="H954" s="52"/>
      <c r="I954" s="54"/>
      <c r="J954" s="85">
        <f>IF($E954="Fail",IF(ISNUMBER($H954),"Fixed","OPEN"),"")</f>
        <v/>
      </c>
    </row>
    <row r="955" spans="1:10">
      <c r="A955" s="52"/>
      <c r="B955" s="54"/>
      <c r="C955" s="54"/>
      <c r="D955" s="54"/>
      <c r="E955" s="51"/>
      <c r="F955" s="54"/>
      <c r="G955" s="54"/>
      <c r="H955" s="52"/>
      <c r="I955" s="54"/>
      <c r="J955" s="85">
        <f>IF($E955="Fail",IF(ISNUMBER($H955),"Fixed","OPEN"),"")</f>
        <v/>
      </c>
    </row>
    <row r="956" spans="1:10">
      <c r="A956" s="52"/>
      <c r="B956" s="54"/>
      <c r="C956" s="54"/>
      <c r="D956" s="54"/>
      <c r="E956" s="51"/>
      <c r="F956" s="54"/>
      <c r="G956" s="54"/>
      <c r="H956" s="52"/>
      <c r="I956" s="54"/>
      <c r="J956" s="85">
        <f>IF($E956="Fail",IF(ISNUMBER($H956),"Fixed","OPEN"),"")</f>
        <v/>
      </c>
    </row>
    <row r="957" spans="1:10">
      <c r="A957" s="52"/>
      <c r="B957" s="54"/>
      <c r="C957" s="54"/>
      <c r="D957" s="54"/>
      <c r="E957" s="51"/>
      <c r="F957" s="54"/>
      <c r="G957" s="54"/>
      <c r="H957" s="52"/>
      <c r="I957" s="54"/>
      <c r="J957" s="85">
        <f>IF($E957="Fail",IF(ISNUMBER($H957),"Fixed","OPEN"),"")</f>
        <v/>
      </c>
    </row>
    <row r="958" spans="1:10">
      <c r="A958" s="52"/>
      <c r="B958" s="54"/>
      <c r="C958" s="54"/>
      <c r="D958" s="54"/>
      <c r="E958" s="51"/>
      <c r="F958" s="54"/>
      <c r="G958" s="54"/>
      <c r="H958" s="52"/>
      <c r="I958" s="54"/>
      <c r="J958" s="85">
        <f>IF($E958="Fail",IF(ISNUMBER($H958),"Fixed","OPEN"),"")</f>
        <v/>
      </c>
    </row>
    <row r="959" spans="1:10">
      <c r="A959" s="52"/>
      <c r="B959" s="54"/>
      <c r="C959" s="54"/>
      <c r="D959" s="54"/>
      <c r="E959" s="51"/>
      <c r="F959" s="54"/>
      <c r="G959" s="54"/>
      <c r="H959" s="52"/>
      <c r="I959" s="54"/>
      <c r="J959" s="85">
        <f>IF($E959="Fail",IF(ISNUMBER($H959),"Fixed","OPEN"),"")</f>
        <v/>
      </c>
    </row>
    <row r="960" spans="1:10">
      <c r="A960" s="52"/>
      <c r="B960" s="54"/>
      <c r="C960" s="54"/>
      <c r="D960" s="54"/>
      <c r="E960" s="51"/>
      <c r="F960" s="54"/>
      <c r="G960" s="54"/>
      <c r="H960" s="52"/>
      <c r="I960" s="54"/>
      <c r="J960" s="85">
        <f>IF($E960="Fail",IF(ISNUMBER($H960),"Fixed","OPEN"),"")</f>
        <v/>
      </c>
    </row>
    <row r="961" spans="1:10">
      <c r="A961" s="52"/>
      <c r="B961" s="54"/>
      <c r="C961" s="54"/>
      <c r="D961" s="54"/>
      <c r="E961" s="51"/>
      <c r="F961" s="54"/>
      <c r="G961" s="54"/>
      <c r="H961" s="52"/>
      <c r="I961" s="54"/>
      <c r="J961" s="85">
        <f>IF($E961="Fail",IF(ISNUMBER($H961),"Fixed","OPEN"),"")</f>
        <v/>
      </c>
    </row>
    <row r="962" spans="1:10">
      <c r="A962" s="52"/>
      <c r="B962" s="54"/>
      <c r="C962" s="54"/>
      <c r="D962" s="54"/>
      <c r="E962" s="51"/>
      <c r="F962" s="54"/>
      <c r="G962" s="54"/>
      <c r="H962" s="52"/>
      <c r="I962" s="54"/>
      <c r="J962" s="85">
        <f>IF($E962="Fail",IF(ISNUMBER($H962),"Fixed","OPEN"),"")</f>
        <v/>
      </c>
    </row>
    <row r="963" spans="1:10">
      <c r="A963" s="52"/>
      <c r="B963" s="54"/>
      <c r="C963" s="54"/>
      <c r="D963" s="54"/>
      <c r="E963" s="51"/>
      <c r="F963" s="54"/>
      <c r="G963" s="54"/>
      <c r="H963" s="52"/>
      <c r="I963" s="54"/>
      <c r="J963" s="85">
        <f>IF($E963="Fail",IF(ISNUMBER($H963),"Fixed","OPEN"),"")</f>
        <v/>
      </c>
    </row>
    <row r="964" spans="1:10">
      <c r="A964" s="52"/>
      <c r="B964" s="54"/>
      <c r="C964" s="54"/>
      <c r="D964" s="54"/>
      <c r="E964" s="51"/>
      <c r="F964" s="54"/>
      <c r="G964" s="54"/>
      <c r="H964" s="52"/>
      <c r="I964" s="54"/>
      <c r="J964" s="85">
        <f>IF($E964="Fail",IF(ISNUMBER($H964),"Fixed","OPEN"),"")</f>
        <v/>
      </c>
    </row>
    <row r="965" spans="1:10">
      <c r="A965" s="52"/>
      <c r="B965" s="54"/>
      <c r="C965" s="54"/>
      <c r="D965" s="54"/>
      <c r="E965" s="51"/>
      <c r="F965" s="54"/>
      <c r="G965" s="54"/>
      <c r="H965" s="52"/>
      <c r="I965" s="54"/>
      <c r="J965" s="85">
        <f>IF($E965="Fail",IF(ISNUMBER($H965),"Fixed","OPEN"),"")</f>
        <v/>
      </c>
    </row>
    <row r="966" spans="1:10">
      <c r="A966" s="52"/>
      <c r="B966" s="54"/>
      <c r="C966" s="54"/>
      <c r="D966" s="54"/>
      <c r="E966" s="51"/>
      <c r="F966" s="54"/>
      <c r="G966" s="54"/>
      <c r="H966" s="52"/>
      <c r="I966" s="54"/>
      <c r="J966" s="85">
        <f>IF($E966="Fail",IF(ISNUMBER($H966),"Fixed","OPEN"),"")</f>
        <v/>
      </c>
    </row>
    <row r="967" spans="1:10">
      <c r="A967" s="52"/>
      <c r="B967" s="54"/>
      <c r="C967" s="54"/>
      <c r="D967" s="54"/>
      <c r="E967" s="51"/>
      <c r="F967" s="54"/>
      <c r="G967" s="54"/>
      <c r="H967" s="52"/>
      <c r="I967" s="54"/>
      <c r="J967" s="85">
        <f>IF($E967="Fail",IF(ISNUMBER($H967),"Fixed","OPEN"),"")</f>
        <v/>
      </c>
    </row>
    <row r="968" spans="1:10">
      <c r="A968" s="52"/>
      <c r="B968" s="54"/>
      <c r="C968" s="54"/>
      <c r="D968" s="54"/>
      <c r="E968" s="51"/>
      <c r="F968" s="54"/>
      <c r="G968" s="54"/>
      <c r="H968" s="52"/>
      <c r="I968" s="54"/>
      <c r="J968" s="85">
        <f>IF($E968="Fail",IF(ISNUMBER($H968),"Fixed","OPEN"),"")</f>
        <v/>
      </c>
    </row>
    <row r="969" spans="1:10">
      <c r="A969" s="52"/>
      <c r="B969" s="54"/>
      <c r="C969" s="54"/>
      <c r="D969" s="54"/>
      <c r="E969" s="51"/>
      <c r="F969" s="54"/>
      <c r="G969" s="54"/>
      <c r="H969" s="52"/>
      <c r="I969" s="54"/>
      <c r="J969" s="85">
        <f>IF($E969="Fail",IF(ISNUMBER($H969),"Fixed","OPEN"),"")</f>
        <v/>
      </c>
    </row>
    <row r="970" spans="1:10">
      <c r="A970" s="52"/>
      <c r="B970" s="54"/>
      <c r="C970" s="54"/>
      <c r="D970" s="54"/>
      <c r="E970" s="51"/>
      <c r="F970" s="54"/>
      <c r="G970" s="54"/>
      <c r="H970" s="52"/>
      <c r="I970" s="54"/>
      <c r="J970" s="85">
        <f>IF($E970="Fail",IF(ISNUMBER($H970),"Fixed","OPEN"),"")</f>
        <v/>
      </c>
    </row>
    <row r="971" spans="1:10">
      <c r="A971" s="52"/>
      <c r="B971" s="54"/>
      <c r="C971" s="54"/>
      <c r="D971" s="54"/>
      <c r="E971" s="51"/>
      <c r="F971" s="54"/>
      <c r="G971" s="54"/>
      <c r="H971" s="52"/>
      <c r="I971" s="54"/>
      <c r="J971" s="85">
        <f>IF($E971="Fail",IF(ISNUMBER($H971),"Fixed","OPEN"),"")</f>
        <v/>
      </c>
    </row>
    <row r="972" spans="1:10">
      <c r="A972" s="52"/>
      <c r="B972" s="54"/>
      <c r="C972" s="54"/>
      <c r="D972" s="54"/>
      <c r="E972" s="51"/>
      <c r="F972" s="54"/>
      <c r="G972" s="54"/>
      <c r="H972" s="52"/>
      <c r="I972" s="54"/>
      <c r="J972" s="85">
        <f>IF($E972="Fail",IF(ISNUMBER($H972),"Fixed","OPEN"),"")</f>
        <v/>
      </c>
    </row>
    <row r="973" spans="1:10">
      <c r="A973" s="52"/>
      <c r="B973" s="54"/>
      <c r="C973" s="54"/>
      <c r="D973" s="54"/>
      <c r="E973" s="51"/>
      <c r="F973" s="54"/>
      <c r="G973" s="54"/>
      <c r="H973" s="52"/>
      <c r="I973" s="54"/>
      <c r="J973" s="85">
        <f>IF($E973="Fail",IF(ISNUMBER($H973),"Fixed","OPEN"),"")</f>
        <v/>
      </c>
    </row>
    <row r="974" spans="1:10">
      <c r="A974" s="52"/>
      <c r="B974" s="54"/>
      <c r="C974" s="54"/>
      <c r="D974" s="54"/>
      <c r="E974" s="51"/>
      <c r="F974" s="54"/>
      <c r="G974" s="54"/>
      <c r="H974" s="52"/>
      <c r="I974" s="54"/>
      <c r="J974" s="85">
        <f>IF($E974="Fail",IF(ISNUMBER($H974),"Fixed","OPEN"),"")</f>
        <v/>
      </c>
    </row>
    <row r="975" spans="1:10">
      <c r="A975" s="52"/>
      <c r="B975" s="54"/>
      <c r="C975" s="54"/>
      <c r="D975" s="54"/>
      <c r="E975" s="51"/>
      <c r="F975" s="54"/>
      <c r="G975" s="54"/>
      <c r="H975" s="52"/>
      <c r="I975" s="54"/>
      <c r="J975" s="85">
        <f>IF($E975="Fail",IF(ISNUMBER($H975),"Fixed","OPEN"),"")</f>
        <v/>
      </c>
    </row>
    <row r="976" spans="1:10">
      <c r="A976" s="52"/>
      <c r="B976" s="54"/>
      <c r="C976" s="54"/>
      <c r="D976" s="54"/>
      <c r="E976" s="51"/>
      <c r="F976" s="54"/>
      <c r="G976" s="54"/>
      <c r="H976" s="52"/>
      <c r="I976" s="54"/>
      <c r="J976" s="85">
        <f>IF($E976="Fail",IF(ISNUMBER($H976),"Fixed","OPEN"),"")</f>
        <v/>
      </c>
    </row>
    <row r="977" spans="1:10">
      <c r="A977" s="52"/>
      <c r="B977" s="54"/>
      <c r="C977" s="54"/>
      <c r="D977" s="54"/>
      <c r="E977" s="51"/>
      <c r="F977" s="54"/>
      <c r="G977" s="54"/>
      <c r="H977" s="52"/>
      <c r="I977" s="54"/>
      <c r="J977" s="85">
        <f>IF($E977="Fail",IF(ISNUMBER($H977),"Fixed","OPEN"),"")</f>
        <v/>
      </c>
    </row>
    <row r="978" spans="1:10">
      <c r="A978" s="52"/>
      <c r="B978" s="54"/>
      <c r="C978" s="54"/>
      <c r="D978" s="54"/>
      <c r="E978" s="51"/>
      <c r="F978" s="54"/>
      <c r="G978" s="54"/>
      <c r="H978" s="52"/>
      <c r="I978" s="54"/>
      <c r="J978" s="85">
        <f>IF($E978="Fail",IF(ISNUMBER($H978),"Fixed","OPEN"),"")</f>
        <v/>
      </c>
    </row>
    <row r="979" spans="1:10">
      <c r="A979" s="52"/>
      <c r="B979" s="54"/>
      <c r="C979" s="54"/>
      <c r="D979" s="54"/>
      <c r="E979" s="51"/>
      <c r="F979" s="54"/>
      <c r="G979" s="54"/>
      <c r="H979" s="52"/>
      <c r="I979" s="54"/>
      <c r="J979" s="85">
        <f>IF($E979="Fail",IF(ISNUMBER($H979),"Fixed","OPEN"),"")</f>
        <v/>
      </c>
    </row>
    <row r="980" spans="1:10">
      <c r="A980" s="52"/>
      <c r="B980" s="54"/>
      <c r="C980" s="54"/>
      <c r="D980" s="54"/>
      <c r="E980" s="51"/>
      <c r="F980" s="54"/>
      <c r="G980" s="54"/>
      <c r="H980" s="52"/>
      <c r="I980" s="54"/>
      <c r="J980" s="85">
        <f>IF($E980="Fail",IF(ISNUMBER($H980),"Fixed","OPEN"),"")</f>
        <v/>
      </c>
    </row>
    <row r="981" spans="1:10">
      <c r="A981" s="52"/>
      <c r="B981" s="54"/>
      <c r="C981" s="54"/>
      <c r="D981" s="54"/>
      <c r="E981" s="51"/>
      <c r="F981" s="54"/>
      <c r="G981" s="54"/>
      <c r="H981" s="52"/>
      <c r="I981" s="54"/>
      <c r="J981" s="85">
        <f>IF($E981="Fail",IF(ISNUMBER($H981),"Fixed","OPEN"),"")</f>
        <v/>
      </c>
    </row>
    <row r="982" spans="1:10">
      <c r="A982" s="52"/>
      <c r="B982" s="54"/>
      <c r="C982" s="54"/>
      <c r="D982" s="54"/>
      <c r="E982" s="51"/>
      <c r="F982" s="54"/>
      <c r="G982" s="54"/>
      <c r="H982" s="52"/>
      <c r="I982" s="54"/>
      <c r="J982" s="85">
        <f>IF($E982="Fail",IF(ISNUMBER($H982),"Fixed","OPEN"),"")</f>
        <v/>
      </c>
    </row>
    <row r="983" spans="1:10">
      <c r="A983" s="52"/>
      <c r="B983" s="54"/>
      <c r="C983" s="54"/>
      <c r="D983" s="54"/>
      <c r="E983" s="51"/>
      <c r="F983" s="54"/>
      <c r="G983" s="54"/>
      <c r="H983" s="52"/>
      <c r="I983" s="54"/>
      <c r="J983" s="85">
        <f>IF($E983="Fail",IF(ISNUMBER($H983),"Fixed","OPEN"),"")</f>
        <v/>
      </c>
    </row>
    <row r="984" spans="1:10">
      <c r="A984" s="52"/>
      <c r="B984" s="54"/>
      <c r="C984" s="54"/>
      <c r="D984" s="54"/>
      <c r="E984" s="51"/>
      <c r="F984" s="54"/>
      <c r="G984" s="54"/>
      <c r="H984" s="52"/>
      <c r="I984" s="54"/>
      <c r="J984" s="85">
        <f>IF($E984="Fail",IF(ISNUMBER($H984),"Fixed","OPEN"),"")</f>
        <v/>
      </c>
    </row>
    <row r="985" spans="1:10">
      <c r="A985" s="52"/>
      <c r="B985" s="54"/>
      <c r="C985" s="54"/>
      <c r="D985" s="54"/>
      <c r="E985" s="51"/>
      <c r="F985" s="54"/>
      <c r="G985" s="54"/>
      <c r="H985" s="52"/>
      <c r="I985" s="54"/>
      <c r="J985" s="85">
        <f>IF($E985="Fail",IF(ISNUMBER($H985),"Fixed","OPEN"),"")</f>
        <v/>
      </c>
    </row>
    <row r="986" spans="1:10">
      <c r="A986" s="52"/>
      <c r="B986" s="54"/>
      <c r="C986" s="54"/>
      <c r="D986" s="54"/>
      <c r="E986" s="51"/>
      <c r="F986" s="54"/>
      <c r="G986" s="54"/>
      <c r="H986" s="52"/>
      <c r="I986" s="54"/>
      <c r="J986" s="85">
        <f>IF($E986="Fail",IF(ISNUMBER($H986),"Fixed","OPEN"),"")</f>
        <v/>
      </c>
    </row>
    <row r="987" spans="1:10">
      <c r="A987" s="52"/>
      <c r="B987" s="54"/>
      <c r="C987" s="54"/>
      <c r="D987" s="54"/>
      <c r="E987" s="51"/>
      <c r="F987" s="54"/>
      <c r="G987" s="54"/>
      <c r="H987" s="52"/>
      <c r="I987" s="54"/>
      <c r="J987" s="85">
        <f>IF($E987="Fail",IF(ISNUMBER($H987),"Fixed","OPEN"),"")</f>
        <v/>
      </c>
    </row>
    <row r="988" spans="1:10">
      <c r="A988" s="52"/>
      <c r="B988" s="54"/>
      <c r="C988" s="54"/>
      <c r="D988" s="54"/>
      <c r="E988" s="51"/>
      <c r="F988" s="54"/>
      <c r="G988" s="54"/>
      <c r="H988" s="52"/>
      <c r="I988" s="54"/>
      <c r="J988" s="85">
        <f>IF($E988="Fail",IF(ISNUMBER($H988),"Fixed","OPEN"),"")</f>
        <v/>
      </c>
    </row>
    <row r="989" spans="1:10">
      <c r="A989" s="52"/>
      <c r="B989" s="54"/>
      <c r="C989" s="54"/>
      <c r="D989" s="54"/>
      <c r="E989" s="51"/>
      <c r="F989" s="54"/>
      <c r="G989" s="54"/>
      <c r="H989" s="52"/>
      <c r="I989" s="54"/>
      <c r="J989" s="85">
        <f>IF($E989="Fail",IF(ISNUMBER($H989),"Fixed","OPEN"),"")</f>
        <v/>
      </c>
    </row>
    <row r="990" spans="1:10">
      <c r="A990" s="52"/>
      <c r="B990" s="54"/>
      <c r="C990" s="54"/>
      <c r="D990" s="54"/>
      <c r="E990" s="51"/>
      <c r="F990" s="54"/>
      <c r="G990" s="54"/>
      <c r="H990" s="52"/>
      <c r="I990" s="54"/>
      <c r="J990" s="85">
        <f>IF($E990="Fail",IF(ISNUMBER($H990),"Fixed","OPEN"),"")</f>
        <v/>
      </c>
    </row>
    <row r="991" spans="1:10">
      <c r="A991" s="52"/>
      <c r="B991" s="54"/>
      <c r="C991" s="54"/>
      <c r="D991" s="54"/>
      <c r="E991" s="51"/>
      <c r="F991" s="54"/>
      <c r="G991" s="54"/>
      <c r="H991" s="52"/>
      <c r="I991" s="54"/>
      <c r="J991" s="85">
        <f>IF($E991="Fail",IF(ISNUMBER($H991),"Fixed","OPEN"),"")</f>
        <v/>
      </c>
    </row>
    <row r="992" spans="1:10">
      <c r="A992" s="52"/>
      <c r="B992" s="54"/>
      <c r="C992" s="54"/>
      <c r="D992" s="54"/>
      <c r="E992" s="51"/>
      <c r="F992" s="54"/>
      <c r="G992" s="54"/>
      <c r="H992" s="52"/>
      <c r="I992" s="54"/>
      <c r="J992" s="85">
        <f>IF($E992="Fail",IF(ISNUMBER($H992),"Fixed","OPEN"),"")</f>
        <v/>
      </c>
    </row>
    <row r="993" spans="1:10">
      <c r="A993" s="52"/>
      <c r="B993" s="54"/>
      <c r="C993" s="54"/>
      <c r="D993" s="54"/>
      <c r="E993" s="51"/>
      <c r="F993" s="54"/>
      <c r="G993" s="54"/>
      <c r="H993" s="52"/>
      <c r="I993" s="54"/>
      <c r="J993" s="85">
        <f>IF($E993="Fail",IF(ISNUMBER($H993),"Fixed","OPEN"),"")</f>
        <v/>
      </c>
    </row>
    <row r="994" spans="1:10">
      <c r="A994" s="52"/>
      <c r="B994" s="54"/>
      <c r="C994" s="54"/>
      <c r="D994" s="54"/>
      <c r="E994" s="51"/>
      <c r="F994" s="54"/>
      <c r="G994" s="54"/>
      <c r="H994" s="52"/>
      <c r="I994" s="54"/>
      <c r="J994" s="85">
        <f>IF($E994="Fail",IF(ISNUMBER($H994),"Fixed","OPEN"),"")</f>
        <v/>
      </c>
    </row>
    <row r="995" spans="1:10">
      <c r="A995" s="52"/>
      <c r="B995" s="54"/>
      <c r="C995" s="54"/>
      <c r="D995" s="54"/>
      <c r="E995" s="51"/>
      <c r="F995" s="54"/>
      <c r="G995" s="54"/>
      <c r="H995" s="52"/>
      <c r="I995" s="54"/>
      <c r="J995" s="85">
        <f>IF($E995="Fail",IF(ISNUMBER($H995),"Fixed","OPEN"),"")</f>
        <v/>
      </c>
    </row>
    <row r="996" spans="1:10">
      <c r="A996" s="52"/>
      <c r="B996" s="54"/>
      <c r="C996" s="54"/>
      <c r="D996" s="54"/>
      <c r="E996" s="51"/>
      <c r="F996" s="54"/>
      <c r="G996" s="54"/>
      <c r="H996" s="52"/>
      <c r="I996" s="54"/>
      <c r="J996" s="85">
        <f>IF($E996="Fail",IF(ISNUMBER($H996),"Fixed","OPEN"),"")</f>
        <v/>
      </c>
    </row>
    <row r="997" spans="1:10">
      <c r="A997" s="52"/>
      <c r="B997" s="54"/>
      <c r="C997" s="54"/>
      <c r="D997" s="54"/>
      <c r="E997" s="51"/>
      <c r="F997" s="54"/>
      <c r="G997" s="54"/>
      <c r="H997" s="52"/>
      <c r="I997" s="54"/>
      <c r="J997" s="85">
        <f>IF($E997="Fail",IF(ISNUMBER($H997),"Fixed","OPEN"),"")</f>
        <v/>
      </c>
    </row>
    <row r="998" spans="1:10">
      <c r="A998" s="52"/>
      <c r="B998" s="54"/>
      <c r="C998" s="54"/>
      <c r="D998" s="54"/>
      <c r="E998" s="51"/>
      <c r="F998" s="54"/>
      <c r="G998" s="54"/>
      <c r="H998" s="52"/>
      <c r="I998" s="54"/>
      <c r="J998" s="85">
        <f>IF($E998="Fail",IF(ISNUMBER($H998),"Fixed","OPEN"),"")</f>
        <v/>
      </c>
    </row>
    <row r="999" spans="1:10">
      <c r="A999" s="52"/>
      <c r="B999" s="54"/>
      <c r="C999" s="54"/>
      <c r="D999" s="54"/>
      <c r="E999" s="51"/>
      <c r="F999" s="54"/>
      <c r="G999" s="54"/>
      <c r="H999" s="52"/>
      <c r="I999" s="54"/>
      <c r="J999" s="85">
        <f>IF($E999="Fail",IF(ISNUMBER($H999),"Fixed","OPEN"),"")</f>
        <v/>
      </c>
    </row>
    <row r="1000" spans="1:10">
      <c r="A1000" s="52"/>
      <c r="B1000" s="54"/>
      <c r="C1000" s="54"/>
      <c r="D1000" s="54"/>
      <c r="E1000" s="51"/>
      <c r="F1000" s="54"/>
      <c r="G1000" s="54"/>
      <c r="H1000" s="52"/>
      <c r="I1000" s="54"/>
      <c r="J1000" s="85">
        <f>IF($E1000="Fail",IF(ISNUMBER($H1000),"Fixed","OPEN"),"")</f>
        <v/>
      </c>
    </row>
    <row r="1001" spans="1:10">
      <c r="A1001" s="52"/>
      <c r="B1001" s="54"/>
      <c r="C1001" s="54"/>
      <c r="D1001" s="54"/>
      <c r="E1001" s="51"/>
      <c r="F1001" s="54"/>
      <c r="G1001" s="54"/>
      <c r="H1001" s="52"/>
      <c r="I1001" s="54"/>
      <c r="J1001" s="85">
        <f>IF($E1001="Fail",IF(ISNUMBER($H1001),"Fixed","OPEN"),"")</f>
        <v/>
      </c>
    </row>
    <row r="1002" spans="1:10">
      <c r="A1002" s="52"/>
      <c r="B1002" s="54"/>
      <c r="C1002" s="54"/>
      <c r="D1002" s="54"/>
      <c r="E1002" s="51"/>
      <c r="F1002" s="54"/>
      <c r="G1002" s="54"/>
      <c r="H1002" s="52"/>
      <c r="I1002" s="54"/>
      <c r="J1002" s="85">
        <f>IF($E1002="Fail",IF(ISNUMBER($H1002),"Fixed","OPEN"),"")</f>
        <v/>
      </c>
    </row>
    <row r="1003" spans="1:10">
      <c r="A1003" s="52"/>
      <c r="B1003" s="54"/>
      <c r="C1003" s="54"/>
      <c r="D1003" s="54"/>
      <c r="E1003" s="51"/>
      <c r="F1003" s="54"/>
      <c r="G1003" s="54"/>
      <c r="H1003" s="52"/>
      <c r="I1003" s="54"/>
      <c r="J1003" s="85">
        <f>IF($E1003="Fail",IF(ISNUMBER($H1003),"Fixed","OPEN"),"")</f>
        <v/>
      </c>
    </row>
    <row r="1004" spans="1:10">
      <c r="A1004" s="52"/>
      <c r="B1004" s="54"/>
      <c r="C1004" s="54"/>
      <c r="D1004" s="54"/>
      <c r="E1004" s="51"/>
      <c r="F1004" s="54"/>
      <c r="G1004" s="54"/>
      <c r="H1004" s="52"/>
      <c r="I1004" s="54"/>
      <c r="J1004" s="85">
        <f>IF($E1004="Fail",IF(ISNUMBER($H1004),"Fixed","OPEN"),"")</f>
        <v/>
      </c>
    </row>
    <row r="1005" spans="1:10">
      <c r="A1005" s="52"/>
      <c r="B1005" s="54"/>
      <c r="C1005" s="54"/>
      <c r="D1005" s="54"/>
      <c r="E1005" s="51"/>
      <c r="F1005" s="54"/>
      <c r="G1005" s="54"/>
      <c r="H1005" s="52"/>
      <c r="I1005" s="54"/>
      <c r="J1005" s="85">
        <f>IF($E1005="Fail",IF(ISNUMBER($H1005),"Fixed","OPEN"),"")</f>
        <v/>
      </c>
    </row>
  </sheetData>
  <mergeCells count="1">
    <mergeCell ref="A3:J3"/>
  </mergeCells>
  <conditionalFormatting sqref="E6:E1005">
    <cfRule type="cellIs" dxfId="0" priority="1" operator="equal">
      <formula>"Fail"</formula>
    </cfRule>
    <cfRule type="cellIs" dxfId="3" priority="2" operator="equal">
      <formula>"Pass"</formula>
    </cfRule>
  </conditionalFormatting>
  <conditionalFormatting sqref="J6:J1005">
    <cfRule type="cellIs" dxfId="0" priority="3" operator="equal">
      <formula>"OPEN"</formula>
    </cfRule>
    <cfRule type="cellIs" dxfId="3" priority="4" operator="equal">
      <formula>"Fixed"</formula>
    </cfRule>
  </conditionalFormatting>
  <dataValidations count="5">
    <dataValidation type="list" allowBlank="1" showInputMessage="1" showErrorMessage="1" errorTitle="Property not found" error="Choose a property from the dropdown." sqref="B6:B1005">
      <formula1>Properties!$A$6:$A$105</formula1>
    </dataValidation>
    <dataValidation type="list" allowBlank="1" showInputMessage="1" showErrorMessage="1" errorTitle="Test type" error="Choose a test type from the dropdown." sqref="C6:C1005">
      <formula1>"Weekly alarm test,Monthly emergency lighting test,Fire door check,Extinguisher visual check,Fire drill,Other"</formula1>
    </dataValidation>
    <dataValidation type="list" allowBlank="1" showInputMessage="1" showErrorMessage="1" errorTitle="Result" error="Choose Pass or Fail." sqref="E6:E1005">
      <formula1>"Pass,Fail"</formula1>
    </dataValidation>
    <dataValidation type="date" allowBlank="1" showInputMessage="1" showErrorMessage="1" errorTitle="Not a date" error="Enter a date as dd/mm/yyyy. In Google Sheets set File &gt; Settings &gt; Locale to United Kingdom." sqref="A6:A1005">
      <formula1>36526</formula1>
      <formula2>73415</formula2>
    </dataValidation>
    <dataValidation type="date" allowBlank="1" showInputMessage="1" showErrorMessage="1" errorTitle="Not a date" error="Enter a date as dd/mm/yyyy. In Google Sheets set File &gt; Settings &gt; Locale to United Kingdom." sqref="H6:H1005">
      <formula1>36526</formula1>
      <formula2>73415</formula2>
    </dataValidation>
  </dataValidations>
  <pageMargins left="0.4" right="0.4" top="0.5" bottom="0.55" header="0.3" footer="0.3"/>
  <pageSetup paperSize="9" fitToHeight="0" orientation="landscape"/>
  <headerFooter>
    <oddFooter>&amp;L&amp;8&amp;A&amp;C&amp;8Page &amp;P of &amp;N&amp;R&amp;8Printed &amp;D</oddFooter>
  </headerFooter>
  <ignoredErrors>
    <ignoredError sqref="A1:Z2000" numberStoredAsText="1"/>
    <ignoredError sqref="A1:Z2000" formula="1"/>
  </ignoredErrors>
</worksheet>
</file>

<file path=xl/worksheets/sheet7.xml><?xml version="1.0" encoding="utf-8"?>
<worksheet xmlns="http://schemas.openxmlformats.org/spreadsheetml/2006/main" xmlns:r="http://schemas.openxmlformats.org/officeDocument/2006/relationships">
  <sheetPr>
    <tabColor rgb="FF6A1B9A"/>
    <pageSetUpPr fitToPage="1"/>
  </sheetPr>
  <dimension ref="A1:P283"/>
  <sheetViews>
    <sheetView workbookViewId="0"/>
  </sheetViews>
  <sheetFormatPr defaultRowHeight="15"/>
  <cols>
    <col min="1" max="1" width="6.7109375" customWidth="1"/>
    <col min="2" max="2" width="64.7109375" customWidth="1"/>
    <col min="3" max="3" width="13.7109375" customWidth="1"/>
    <col min="4" max="4" width="24.7109375" customWidth="1"/>
    <col min="5" max="5" width="11.7109375" customWidth="1"/>
    <col min="6" max="6" width="34.7109375" customWidth="1"/>
    <col min="7" max="7" width="12.7109375" customWidth="1"/>
    <col min="8" max="8" width="3.7109375" customWidth="1"/>
    <col min="9" max="9" width="34.7109375" customWidth="1"/>
    <col min="10" max="10" width="14.7109375" customWidth="1"/>
    <col min="11" max="11" width="11.7109375" customWidth="1"/>
    <col min="12" max="13" width="12.7109375" customWidth="1"/>
    <col min="14" max="14" width="11.7109375" customWidth="1"/>
    <col min="15" max="16" width="26.7109375" customWidth="1"/>
  </cols>
  <sheetData>
    <row r="1" spans="1:16" ht="17" customHeight="1">
      <c r="A1" s="25" t="str">
        <f>IF(TRIM('Start Here'!$C$20)="","HMO Compliance Tracker 2026",TRIM('Start Here'!$C$20))&amp;IF(TRIM('Start Here'!$C$21)="","","  |  "&amp;TRIM('Start Here'!$C$21))&amp;IF(TRIM('Start Here'!$C$22)="","","  |  "&amp;TRIM('Start Here'!$C$22))&amp;IF(TRIM('Start Here'!$C$23)="","","  |  "&amp;TRIM('Start Here'!$C$23))</f>
        <v>HMO Compliance Tracker 2026</v>
      </c>
      <c r="B1" s="26"/>
      <c r="C1" s="26"/>
      <c r="D1" s="26"/>
      <c r="E1" s="26"/>
      <c r="F1" s="26"/>
      <c r="G1" s="26"/>
    </row>
    <row r="2" spans="1:16" ht="30" customHeight="1">
      <c r="A2" s="55" t="s">
        <v>278</v>
      </c>
      <c r="I2" s="106" t="s">
        <v>280</v>
      </c>
    </row>
    <row r="3" spans="1:16" ht="44" customHeight="1">
      <c r="A3" s="95" t="s">
        <v>279</v>
      </c>
      <c r="B3" s="95"/>
      <c r="C3" s="95"/>
      <c r="D3" s="95"/>
      <c r="E3" s="95"/>
      <c r="F3" s="95"/>
      <c r="G3" s="95"/>
    </row>
    <row r="5" spans="1:16" ht="24" customHeight="1">
      <c r="A5" s="107" t="s">
        <v>281</v>
      </c>
      <c r="B5" s="108" t="s">
        <v>169</v>
      </c>
      <c r="C5" s="109" t="str">
        <f>IF($B5="","Pick the property in the yellow cell",COUNTIF($E7:$E31,"Yes")&amp;" yes  |  "&amp;COUNTIF($E7:$E31,"No")&amp;" NO  |  "&amp;COUNTIF($E7:$E31,"N/A")&amp;" n/a  |  "&amp;(ROWS($E7:$E31)-COUNTIF($E7:$E31,"Yes")-COUNTIF($E7:$E31,"No")-COUNTIF($E7:$E31,"N/A"))&amp;" not answered")</f>
        <v>10 yes  |  1 NO  |  1 n/a  |  13 not answered</v>
      </c>
      <c r="D5" s="110"/>
      <c r="E5" s="110"/>
      <c r="F5" s="110"/>
      <c r="G5" s="110"/>
      <c r="I5" s="4" t="s">
        <v>381</v>
      </c>
      <c r="J5" s="4"/>
      <c r="K5" s="4"/>
      <c r="L5" s="4"/>
      <c r="M5" s="4"/>
      <c r="N5" s="4"/>
      <c r="O5" s="4"/>
      <c r="P5" s="4"/>
    </row>
    <row r="6" spans="1:16" ht="62" customHeight="1">
      <c r="A6" s="80" t="s">
        <v>282</v>
      </c>
      <c r="B6" s="80" t="s">
        <v>283</v>
      </c>
      <c r="C6" s="80" t="s">
        <v>284</v>
      </c>
      <c r="D6" s="80" t="s">
        <v>285</v>
      </c>
      <c r="E6" s="80" t="s">
        <v>286</v>
      </c>
      <c r="F6" s="80" t="s">
        <v>287</v>
      </c>
      <c r="G6" s="80" t="s">
        <v>288</v>
      </c>
      <c r="I6" s="111" t="s">
        <v>382</v>
      </c>
      <c r="J6" s="111"/>
      <c r="K6" s="111"/>
      <c r="L6" s="111"/>
      <c r="M6" s="111"/>
      <c r="N6" s="111"/>
      <c r="O6" s="111"/>
      <c r="P6" s="111"/>
    </row>
    <row r="7" spans="1:16" ht="42" customHeight="1">
      <c r="A7" s="112" t="s">
        <v>289</v>
      </c>
      <c r="B7" s="23" t="s">
        <v>290</v>
      </c>
      <c r="C7" s="113" t="s">
        <v>291</v>
      </c>
      <c r="D7" s="114" t="s">
        <v>292</v>
      </c>
      <c r="E7" s="94" t="s">
        <v>170</v>
      </c>
      <c r="F7" s="23" t="s">
        <v>369</v>
      </c>
      <c r="G7" s="52">
        <f>TODAY()-(30)</f>
        <v>46267.0</v>
      </c>
      <c r="I7" s="79" t="s">
        <v>82</v>
      </c>
      <c r="J7" s="79" t="s">
        <v>383</v>
      </c>
      <c r="K7" s="79" t="s">
        <v>384</v>
      </c>
      <c r="L7" s="79" t="s">
        <v>385</v>
      </c>
      <c r="M7" s="79" t="s">
        <v>386</v>
      </c>
      <c r="N7" s="80" t="s">
        <v>387</v>
      </c>
      <c r="O7" s="80" t="s">
        <v>388</v>
      </c>
      <c r="P7" s="80" t="s">
        <v>389</v>
      </c>
    </row>
    <row r="8" spans="1:16" ht="42.8" customHeight="1">
      <c r="A8" s="112" t="s">
        <v>293</v>
      </c>
      <c r="B8" s="23" t="s">
        <v>294</v>
      </c>
      <c r="C8" s="113" t="s">
        <v>291</v>
      </c>
      <c r="D8" s="114" t="s">
        <v>295</v>
      </c>
      <c r="E8" s="94" t="s">
        <v>170</v>
      </c>
      <c r="F8" s="23" t="s">
        <v>370</v>
      </c>
      <c r="G8" s="52">
        <f>TODAY()-(60)</f>
        <v>46237.0</v>
      </c>
      <c r="I8" s="115" t="s">
        <v>169</v>
      </c>
      <c r="J8" s="54" t="s">
        <v>390</v>
      </c>
      <c r="K8" s="116">
        <v>7.8</v>
      </c>
      <c r="L8" s="53">
        <v>1</v>
      </c>
      <c r="M8" s="53">
        <v>0</v>
      </c>
      <c r="N8" s="117">
        <f>IF(OR(NOT(ISNUMBER($K8)),N($L8)+N($M8)=0),"",IF(AND(N($L8)=1,N($M8)=0),6.51,IF(AND(N($L8)=2,N($M8)=0),10.22,IF(AND(N($L8)=0,N($M8)=1),4.64,"Council"))))</f>
        <v>6.51</v>
      </c>
      <c r="O8" s="118" t="str">
        <f>IF($N8="","",IF($K8&lt;4.64,"NO: under 4.64 m2, cannot be used to sleep",IF($N8="Council","Check council standard",IF($K8&gt;=$N8,"Yes","NO: too small"))))</f>
        <v>Yes</v>
      </c>
      <c r="P8" s="86" t="str">
        <f>IF(NOT(ISNUMBER($K8)),"",IF($K8&lt;4.64,"Not for sleeping",IF($K8&lt;6.51,"1 child under 10",IF($K8&lt;10.22,"1 person","2 persons (over 10)"))))</f>
        <v>1 person</v>
      </c>
    </row>
    <row r="9" spans="1:16" ht="42.8" customHeight="1">
      <c r="A9" s="112" t="s">
        <v>296</v>
      </c>
      <c r="B9" s="23" t="s">
        <v>297</v>
      </c>
      <c r="C9" s="113" t="s">
        <v>291</v>
      </c>
      <c r="D9" s="114" t="s">
        <v>298</v>
      </c>
      <c r="E9" s="94" t="s">
        <v>170</v>
      </c>
      <c r="F9" s="23" t="s">
        <v>371</v>
      </c>
      <c r="G9" s="52">
        <f>TODAY()-(90)</f>
        <v>46207.0</v>
      </c>
      <c r="I9" s="115" t="s">
        <v>169</v>
      </c>
      <c r="J9" s="54" t="s">
        <v>391</v>
      </c>
      <c r="K9" s="116">
        <v>11.5</v>
      </c>
      <c r="L9" s="53">
        <v>2</v>
      </c>
      <c r="M9" s="53">
        <v>0</v>
      </c>
      <c r="N9" s="117">
        <f>IF(OR(NOT(ISNUMBER($K9)),N($L9)+N($M9)=0),"",IF(AND(N($L9)=1,N($M9)=0),6.51,IF(AND(N($L9)=2,N($M9)=0),10.22,IF(AND(N($L9)=0,N($M9)=1),4.64,"Council"))))</f>
        <v>10.22</v>
      </c>
      <c r="O9" s="118" t="str">
        <f>IF($N9="","",IF($K9&lt;4.64,"NO: under 4.64 m2, cannot be used to sleep",IF($N9="Council","Check council standard",IF($K9&gt;=$N9,"Yes","NO: too small"))))</f>
        <v>Yes</v>
      </c>
      <c r="P9" s="86" t="str">
        <f>IF(NOT(ISNUMBER($K9)),"",IF($K9&lt;4.64,"Not for sleeping",IF($K9&lt;6.51,"1 child under 10",IF($K9&lt;10.22,"1 person","2 persons (over 10)"))))</f>
        <v>2 persons (over 10)</v>
      </c>
    </row>
    <row r="10" spans="1:16" ht="42.8" customHeight="1">
      <c r="A10" s="112" t="s">
        <v>299</v>
      </c>
      <c r="B10" s="23" t="s">
        <v>300</v>
      </c>
      <c r="C10" s="113" t="s">
        <v>291</v>
      </c>
      <c r="D10" s="114" t="s">
        <v>301</v>
      </c>
      <c r="E10" s="94" t="s">
        <v>170</v>
      </c>
      <c r="F10" s="23" t="s">
        <v>372</v>
      </c>
      <c r="G10" s="52">
        <f>TODAY()-(7)</f>
        <v>46290.0</v>
      </c>
      <c r="I10" s="115" t="s">
        <v>169</v>
      </c>
      <c r="J10" s="54" t="s">
        <v>392</v>
      </c>
      <c r="K10" s="116">
        <v>6.2</v>
      </c>
      <c r="L10" s="53">
        <v>1</v>
      </c>
      <c r="M10" s="53">
        <v>0</v>
      </c>
      <c r="N10" s="117">
        <f>IF(OR(NOT(ISNUMBER($K10)),N($L10)+N($M10)=0),"",IF(AND(N($L10)=1,N($M10)=0),6.51,IF(AND(N($L10)=2,N($M10)=0),10.22,IF(AND(N($L10)=0,N($M10)=1),4.64,"Council"))))</f>
        <v>6.51</v>
      </c>
      <c r="O10" s="118" t="str">
        <f>IF($N10="","",IF($K10&lt;4.64,"NO: under 4.64 m2, cannot be used to sleep",IF($N10="Council","Check council standard",IF($K10&gt;=$N10,"Yes","NO: too small"))))</f>
        <v>NO: too small</v>
      </c>
      <c r="P10" s="86" t="str">
        <f>IF(NOT(ISNUMBER($K10)),"",IF($K10&lt;4.64,"Not for sleeping",IF($K10&lt;6.51,"1 child under 10",IF($K10&lt;10.22,"1 person","2 persons (over 10)"))))</f>
        <v>1 child under 10</v>
      </c>
    </row>
    <row r="11" spans="1:16" ht="42.8" customHeight="1">
      <c r="A11" s="112" t="s">
        <v>302</v>
      </c>
      <c r="B11" s="23" t="s">
        <v>303</v>
      </c>
      <c r="C11" s="113" t="s">
        <v>291</v>
      </c>
      <c r="D11" s="114" t="s">
        <v>304</v>
      </c>
      <c r="E11" s="94" t="s">
        <v>171</v>
      </c>
      <c r="F11" s="23" t="s">
        <v>373</v>
      </c>
      <c r="G11" s="52">
        <f>TODAY()-(90)</f>
        <v>46207.0</v>
      </c>
      <c r="I11" s="115" t="s">
        <v>169</v>
      </c>
      <c r="J11" s="54" t="s">
        <v>393</v>
      </c>
      <c r="K11" s="116">
        <v>4.9</v>
      </c>
      <c r="L11" s="53">
        <v>0</v>
      </c>
      <c r="M11" s="53">
        <v>1</v>
      </c>
      <c r="N11" s="117">
        <f>IF(OR(NOT(ISNUMBER($K11)),N($L11)+N($M11)=0),"",IF(AND(N($L11)=1,N($M11)=0),6.51,IF(AND(N($L11)=2,N($M11)=0),10.22,IF(AND(N($L11)=0,N($M11)=1),4.64,"Council"))))</f>
        <v>4.64</v>
      </c>
      <c r="O11" s="118" t="str">
        <f>IF($N11="","",IF($K11&lt;4.64,"NO: under 4.64 m2, cannot be used to sleep",IF($N11="Council","Check council standard",IF($K11&gt;=$N11,"Yes","NO: too small"))))</f>
        <v>Yes</v>
      </c>
      <c r="P11" s="86" t="str">
        <f>IF(NOT(ISNUMBER($K11)),"",IF($K11&lt;4.64,"Not for sleeping",IF($K11&lt;6.51,"1 child under 10",IF($K11&lt;10.22,"1 person","2 persons (over 10)"))))</f>
        <v>1 child under 10</v>
      </c>
    </row>
    <row r="12" spans="1:16" ht="30.2" customHeight="1">
      <c r="A12" s="112" t="s">
        <v>305</v>
      </c>
      <c r="B12" s="23" t="s">
        <v>306</v>
      </c>
      <c r="C12" s="113" t="s">
        <v>291</v>
      </c>
      <c r="D12" s="114" t="s">
        <v>307</v>
      </c>
      <c r="E12" s="94" t="s">
        <v>170</v>
      </c>
      <c r="F12" s="23" t="s">
        <v>374</v>
      </c>
      <c r="G12" s="52">
        <f>TODAY()-(90)</f>
        <v>46207.0</v>
      </c>
      <c r="I12" s="115" t="s">
        <v>169</v>
      </c>
      <c r="J12" s="54" t="s">
        <v>394</v>
      </c>
      <c r="K12" s="116">
        <v>9</v>
      </c>
      <c r="L12" s="53">
        <v>2</v>
      </c>
      <c r="M12" s="53">
        <v>0</v>
      </c>
      <c r="N12" s="117">
        <f>IF(OR(NOT(ISNUMBER($K12)),N($L12)+N($M12)=0),"",IF(AND(N($L12)=1,N($M12)=0),6.51,IF(AND(N($L12)=2,N($M12)=0),10.22,IF(AND(N($L12)=0,N($M12)=1),4.64,"Council"))))</f>
        <v>10.22</v>
      </c>
      <c r="O12" s="118" t="str">
        <f>IF($N12="","",IF($K12&lt;4.64,"NO: under 4.64 m2, cannot be used to sleep",IF($N12="Council","Check council standard",IF($K12&gt;=$N12,"Yes","NO: too small"))))</f>
        <v>NO: too small</v>
      </c>
      <c r="P12" s="86" t="str">
        <f>IF(NOT(ISNUMBER($K12)),"",IF($K12&lt;4.64,"Not for sleeping",IF($K12&lt;6.51,"1 child under 10",IF($K12&lt;10.22,"1 person","2 persons (over 10)"))))</f>
        <v>1 person</v>
      </c>
    </row>
    <row r="13" spans="1:16" ht="55.4" customHeight="1">
      <c r="A13" s="112" t="s">
        <v>308</v>
      </c>
      <c r="B13" s="23" t="s">
        <v>309</v>
      </c>
      <c r="C13" s="113" t="s">
        <v>291</v>
      </c>
      <c r="D13" s="114" t="s">
        <v>310</v>
      </c>
      <c r="E13" s="94" t="s">
        <v>170</v>
      </c>
      <c r="F13" s="23" t="s">
        <v>375</v>
      </c>
      <c r="G13" s="52">
        <f>TODAY()-(120)</f>
        <v>46177.0</v>
      </c>
      <c r="I13" s="115"/>
      <c r="J13" s="54"/>
      <c r="K13" s="116"/>
      <c r="L13" s="53"/>
      <c r="M13" s="53"/>
      <c r="N13" s="117">
        <f>IF(OR(NOT(ISNUMBER($K13)),N($L13)+N($M13)=0),"",IF(AND(N($L13)=1,N($M13)=0),6.51,IF(AND(N($L13)=2,N($M13)=0),10.22,IF(AND(N($L13)=0,N($M13)=1),4.64,"Council"))))</f>
        <v/>
      </c>
      <c r="O13" s="118">
        <f>IF($N13="","",IF($K13&lt;4.64,"NO: under 4.64 m2, cannot be used to sleep",IF($N13="Council","Check council standard",IF($K13&gt;=$N13,"Yes","NO: too small"))))</f>
        <v/>
      </c>
      <c r="P13" s="86">
        <f>IF(NOT(ISNUMBER($K13)),"",IF($K13&lt;4.64,"Not for sleeping",IF($K13&lt;6.51,"1 child under 10",IF($K13&lt;10.22,"1 person","2 persons (over 10)"))))</f>
        <v/>
      </c>
    </row>
    <row r="14" spans="1:16" ht="30.2" customHeight="1">
      <c r="A14" s="112" t="s">
        <v>311</v>
      </c>
      <c r="B14" s="23" t="s">
        <v>312</v>
      </c>
      <c r="C14" s="113" t="s">
        <v>291</v>
      </c>
      <c r="D14" s="114" t="s">
        <v>313</v>
      </c>
      <c r="E14" s="94" t="s">
        <v>170</v>
      </c>
      <c r="F14" s="23" t="s">
        <v>376</v>
      </c>
      <c r="G14" s="52">
        <f>TODAY()-(120)</f>
        <v>46177.0</v>
      </c>
      <c r="I14" s="115"/>
      <c r="J14" s="54"/>
      <c r="K14" s="116"/>
      <c r="L14" s="53"/>
      <c r="M14" s="53"/>
      <c r="N14" s="117">
        <f>IF(OR(NOT(ISNUMBER($K14)),N($L14)+N($M14)=0),"",IF(AND(N($L14)=1,N($M14)=0),6.51,IF(AND(N($L14)=2,N($M14)=0),10.22,IF(AND(N($L14)=0,N($M14)=1),4.64,"Council"))))</f>
        <v/>
      </c>
      <c r="O14" s="118">
        <f>IF($N14="","",IF($K14&lt;4.64,"NO: under 4.64 m2, cannot be used to sleep",IF($N14="Council","Check council standard",IF($K14&gt;=$N14,"Yes","NO: too small"))))</f>
        <v/>
      </c>
      <c r="P14" s="86">
        <f>IF(NOT(ISNUMBER($K14)),"",IF($K14&lt;4.64,"Not for sleeping",IF($K14&lt;6.51,"1 child under 10",IF($K14&lt;10.22,"1 person","2 persons (over 10)"))))</f>
        <v/>
      </c>
    </row>
    <row r="15" spans="1:16" ht="30.2" customHeight="1">
      <c r="A15" s="112" t="s">
        <v>314</v>
      </c>
      <c r="B15" s="23" t="s">
        <v>315</v>
      </c>
      <c r="C15" s="113" t="s">
        <v>291</v>
      </c>
      <c r="D15" s="114" t="s">
        <v>316</v>
      </c>
      <c r="E15" s="94" t="s">
        <v>170</v>
      </c>
      <c r="F15" s="23" t="s">
        <v>377</v>
      </c>
      <c r="G15" s="52">
        <f>TODAY()-(120)</f>
        <v>46177.0</v>
      </c>
      <c r="I15" s="115"/>
      <c r="J15" s="54"/>
      <c r="K15" s="116"/>
      <c r="L15" s="53"/>
      <c r="M15" s="53"/>
      <c r="N15" s="117">
        <f>IF(OR(NOT(ISNUMBER($K15)),N($L15)+N($M15)=0),"",IF(AND(N($L15)=1,N($M15)=0),6.51,IF(AND(N($L15)=2,N($M15)=0),10.22,IF(AND(N($L15)=0,N($M15)=1),4.64,"Council"))))</f>
        <v/>
      </c>
      <c r="O15" s="118">
        <f>IF($N15="","",IF($K15&lt;4.64,"NO: under 4.64 m2, cannot be used to sleep",IF($N15="Council","Check council standard",IF($K15&gt;=$N15,"Yes","NO: too small"))))</f>
        <v/>
      </c>
      <c r="P15" s="86">
        <f>IF(NOT(ISNUMBER($K15)),"",IF($K15&lt;4.64,"Not for sleeping",IF($K15&lt;6.51,"1 child under 10",IF($K15&lt;10.22,"1 person","2 persons (over 10)"))))</f>
        <v/>
      </c>
    </row>
    <row r="16" spans="1:16" ht="30.2" customHeight="1">
      <c r="A16" s="112" t="s">
        <v>317</v>
      </c>
      <c r="B16" s="23" t="s">
        <v>318</v>
      </c>
      <c r="C16" s="113" t="s">
        <v>291</v>
      </c>
      <c r="D16" s="114" t="s">
        <v>319</v>
      </c>
      <c r="E16" s="94" t="s">
        <v>172</v>
      </c>
      <c r="F16" s="23" t="s">
        <v>378</v>
      </c>
      <c r="G16" s="52">
        <f>TODAY()-(14)</f>
        <v>46283.0</v>
      </c>
      <c r="I16" s="115"/>
      <c r="J16" s="54"/>
      <c r="K16" s="116"/>
      <c r="L16" s="53"/>
      <c r="M16" s="53"/>
      <c r="N16" s="117">
        <f>IF(OR(NOT(ISNUMBER($K16)),N($L16)+N($M16)=0),"",IF(AND(N($L16)=1,N($M16)=0),6.51,IF(AND(N($L16)=2,N($M16)=0),10.22,IF(AND(N($L16)=0,N($M16)=1),4.64,"Council"))))</f>
        <v/>
      </c>
      <c r="O16" s="118">
        <f>IF($N16="","",IF($K16&lt;4.64,"NO: under 4.64 m2, cannot be used to sleep",IF($N16="Council","Check council standard",IF($K16&gt;=$N16,"Yes","NO: too small"))))</f>
        <v/>
      </c>
      <c r="P16" s="86">
        <f>IF(NOT(ISNUMBER($K16)),"",IF($K16&lt;4.64,"Not for sleeping",IF($K16&lt;6.51,"1 child under 10",IF($K16&lt;10.22,"1 person","2 persons (over 10)"))))</f>
        <v/>
      </c>
    </row>
    <row r="17" spans="1:16" ht="30.2" customHeight="1">
      <c r="A17" s="112" t="s">
        <v>320</v>
      </c>
      <c r="B17" s="23" t="s">
        <v>321</v>
      </c>
      <c r="C17" s="119" t="s">
        <v>36</v>
      </c>
      <c r="D17" s="114" t="s">
        <v>322</v>
      </c>
      <c r="E17" s="94" t="s">
        <v>170</v>
      </c>
      <c r="F17" s="23" t="s">
        <v>379</v>
      </c>
      <c r="G17" s="52">
        <f>TODAY()-(30)</f>
        <v>46267.0</v>
      </c>
      <c r="I17" s="115"/>
      <c r="J17" s="54"/>
      <c r="K17" s="116"/>
      <c r="L17" s="53"/>
      <c r="M17" s="53"/>
      <c r="N17" s="117">
        <f>IF(OR(NOT(ISNUMBER($K17)),N($L17)+N($M17)=0),"",IF(AND(N($L17)=1,N($M17)=0),6.51,IF(AND(N($L17)=2,N($M17)=0),10.22,IF(AND(N($L17)=0,N($M17)=1),4.64,"Council"))))</f>
        <v/>
      </c>
      <c r="O17" s="118">
        <f>IF($N17="","",IF($K17&lt;4.64,"NO: under 4.64 m2, cannot be used to sleep",IF($N17="Council","Check council standard",IF($K17&gt;=$N17,"Yes","NO: too small"))))</f>
        <v/>
      </c>
      <c r="P17" s="86">
        <f>IF(NOT(ISNUMBER($K17)),"",IF($K17&lt;4.64,"Not for sleeping",IF($K17&lt;6.51,"1 child under 10",IF($K17&lt;10.22,"1 person","2 persons (over 10)"))))</f>
        <v/>
      </c>
    </row>
    <row r="18" spans="1:16" ht="42.8" customHeight="1">
      <c r="A18" s="112" t="s">
        <v>323</v>
      </c>
      <c r="B18" s="23" t="s">
        <v>324</v>
      </c>
      <c r="C18" s="119" t="s">
        <v>36</v>
      </c>
      <c r="D18" s="114" t="s">
        <v>325</v>
      </c>
      <c r="E18" s="94" t="s">
        <v>170</v>
      </c>
      <c r="F18" s="23" t="s">
        <v>380</v>
      </c>
      <c r="G18" s="52">
        <f>TODAY()-(7)</f>
        <v>46290.0</v>
      </c>
      <c r="I18" s="115"/>
      <c r="J18" s="54"/>
      <c r="K18" s="116"/>
      <c r="L18" s="53"/>
      <c r="M18" s="53"/>
      <c r="N18" s="117">
        <f>IF(OR(NOT(ISNUMBER($K18)),N($L18)+N($M18)=0),"",IF(AND(N($L18)=1,N($M18)=0),6.51,IF(AND(N($L18)=2,N($M18)=0),10.22,IF(AND(N($L18)=0,N($M18)=1),4.64,"Council"))))</f>
        <v/>
      </c>
      <c r="O18" s="118">
        <f>IF($N18="","",IF($K18&lt;4.64,"NO: under 4.64 m2, cannot be used to sleep",IF($N18="Council","Check council standard",IF($K18&gt;=$N18,"Yes","NO: too small"))))</f>
        <v/>
      </c>
      <c r="P18" s="86">
        <f>IF(NOT(ISNUMBER($K18)),"",IF($K18&lt;4.64,"Not for sleeping",IF($K18&lt;6.51,"1 child under 10",IF($K18&lt;10.22,"1 person","2 persons (over 10)"))))</f>
        <v/>
      </c>
    </row>
    <row r="19" spans="1:16" ht="42.8" customHeight="1">
      <c r="A19" s="112" t="s">
        <v>326</v>
      </c>
      <c r="B19" s="23" t="s">
        <v>327</v>
      </c>
      <c r="C19" s="119" t="s">
        <v>36</v>
      </c>
      <c r="D19" s="114" t="s">
        <v>328</v>
      </c>
      <c r="E19" s="94"/>
      <c r="F19" s="23"/>
      <c r="G19" s="52"/>
      <c r="I19" s="115"/>
      <c r="J19" s="54"/>
      <c r="K19" s="116"/>
      <c r="L19" s="53"/>
      <c r="M19" s="53"/>
      <c r="N19" s="117">
        <f>IF(OR(NOT(ISNUMBER($K19)),N($L19)+N($M19)=0),"",IF(AND(N($L19)=1,N($M19)=0),6.51,IF(AND(N($L19)=2,N($M19)=0),10.22,IF(AND(N($L19)=0,N($M19)=1),4.64,"Council"))))</f>
        <v/>
      </c>
      <c r="O19" s="118">
        <f>IF($N19="","",IF($K19&lt;4.64,"NO: under 4.64 m2, cannot be used to sleep",IF($N19="Council","Check council standard",IF($K19&gt;=$N19,"Yes","NO: too small"))))</f>
        <v/>
      </c>
      <c r="P19" s="86">
        <f>IF(NOT(ISNUMBER($K19)),"",IF($K19&lt;4.64,"Not for sleeping",IF($K19&lt;6.51,"1 child under 10",IF($K19&lt;10.22,"1 person","2 persons (over 10)"))))</f>
        <v/>
      </c>
    </row>
    <row r="20" spans="1:16" ht="30.2" customHeight="1">
      <c r="A20" s="112" t="s">
        <v>329</v>
      </c>
      <c r="B20" s="23" t="s">
        <v>330</v>
      </c>
      <c r="C20" s="119" t="s">
        <v>36</v>
      </c>
      <c r="D20" s="114" t="s">
        <v>331</v>
      </c>
      <c r="E20" s="94"/>
      <c r="F20" s="23"/>
      <c r="G20" s="52"/>
      <c r="I20" s="115"/>
      <c r="J20" s="54"/>
      <c r="K20" s="116"/>
      <c r="L20" s="53"/>
      <c r="M20" s="53"/>
      <c r="N20" s="117">
        <f>IF(OR(NOT(ISNUMBER($K20)),N($L20)+N($M20)=0),"",IF(AND(N($L20)=1,N($M20)=0),6.51,IF(AND(N($L20)=2,N($M20)=0),10.22,IF(AND(N($L20)=0,N($M20)=1),4.64,"Council"))))</f>
        <v/>
      </c>
      <c r="O20" s="118">
        <f>IF($N20="","",IF($K20&lt;4.64,"NO: under 4.64 m2, cannot be used to sleep",IF($N20="Council","Check council standard",IF($K20&gt;=$N20,"Yes","NO: too small"))))</f>
        <v/>
      </c>
      <c r="P20" s="86">
        <f>IF(NOT(ISNUMBER($K20)),"",IF($K20&lt;4.64,"Not for sleeping",IF($K20&lt;6.51,"1 child under 10",IF($K20&lt;10.22,"1 person","2 persons (over 10)"))))</f>
        <v/>
      </c>
    </row>
    <row r="21" spans="1:16" ht="42.8" customHeight="1">
      <c r="A21" s="112" t="s">
        <v>332</v>
      </c>
      <c r="B21" s="23" t="s">
        <v>333</v>
      </c>
      <c r="C21" s="119" t="s">
        <v>36</v>
      </c>
      <c r="D21" s="114" t="s">
        <v>334</v>
      </c>
      <c r="E21" s="94"/>
      <c r="F21" s="23"/>
      <c r="G21" s="52"/>
      <c r="I21" s="115"/>
      <c r="J21" s="54"/>
      <c r="K21" s="116"/>
      <c r="L21" s="53"/>
      <c r="M21" s="53"/>
      <c r="N21" s="117">
        <f>IF(OR(NOT(ISNUMBER($K21)),N($L21)+N($M21)=0),"",IF(AND(N($L21)=1,N($M21)=0),6.51,IF(AND(N($L21)=2,N($M21)=0),10.22,IF(AND(N($L21)=0,N($M21)=1),4.64,"Council"))))</f>
        <v/>
      </c>
      <c r="O21" s="118">
        <f>IF($N21="","",IF($K21&lt;4.64,"NO: under 4.64 m2, cannot be used to sleep",IF($N21="Council","Check council standard",IF($K21&gt;=$N21,"Yes","NO: too small"))))</f>
        <v/>
      </c>
      <c r="P21" s="86">
        <f>IF(NOT(ISNUMBER($K21)),"",IF($K21&lt;4.64,"Not for sleeping",IF($K21&lt;6.51,"1 child under 10",IF($K21&lt;10.22,"1 person","2 persons (over 10)"))))</f>
        <v/>
      </c>
    </row>
    <row r="22" spans="1:16" ht="42.8" customHeight="1">
      <c r="A22" s="112" t="s">
        <v>335</v>
      </c>
      <c r="B22" s="23" t="s">
        <v>336</v>
      </c>
      <c r="C22" s="119" t="s">
        <v>36</v>
      </c>
      <c r="D22" s="114" t="s">
        <v>337</v>
      </c>
      <c r="E22" s="94"/>
      <c r="F22" s="23"/>
      <c r="G22" s="52"/>
      <c r="I22" s="115"/>
      <c r="J22" s="54"/>
      <c r="K22" s="116"/>
      <c r="L22" s="53"/>
      <c r="M22" s="53"/>
      <c r="N22" s="117">
        <f>IF(OR(NOT(ISNUMBER($K22)),N($L22)+N($M22)=0),"",IF(AND(N($L22)=1,N($M22)=0),6.51,IF(AND(N($L22)=2,N($M22)=0),10.22,IF(AND(N($L22)=0,N($M22)=1),4.64,"Council"))))</f>
        <v/>
      </c>
      <c r="O22" s="118">
        <f>IF($N22="","",IF($K22&lt;4.64,"NO: under 4.64 m2, cannot be used to sleep",IF($N22="Council","Check council standard",IF($K22&gt;=$N22,"Yes","NO: too small"))))</f>
        <v/>
      </c>
      <c r="P22" s="86">
        <f>IF(NOT(ISNUMBER($K22)),"",IF($K22&lt;4.64,"Not for sleeping",IF($K22&lt;6.51,"1 child under 10",IF($K22&lt;10.22,"1 person","2 persons (over 10)"))))</f>
        <v/>
      </c>
    </row>
    <row r="23" spans="1:16" ht="42.8" customHeight="1">
      <c r="A23" s="112" t="s">
        <v>338</v>
      </c>
      <c r="B23" s="23" t="s">
        <v>339</v>
      </c>
      <c r="C23" s="119" t="s">
        <v>36</v>
      </c>
      <c r="D23" s="114" t="s">
        <v>340</v>
      </c>
      <c r="E23" s="94"/>
      <c r="F23" s="23"/>
      <c r="G23" s="52"/>
      <c r="I23" s="115"/>
      <c r="J23" s="54"/>
      <c r="K23" s="116"/>
      <c r="L23" s="53"/>
      <c r="M23" s="53"/>
      <c r="N23" s="117">
        <f>IF(OR(NOT(ISNUMBER($K23)),N($L23)+N($M23)=0),"",IF(AND(N($L23)=1,N($M23)=0),6.51,IF(AND(N($L23)=2,N($M23)=0),10.22,IF(AND(N($L23)=0,N($M23)=1),4.64,"Council"))))</f>
        <v/>
      </c>
      <c r="O23" s="118">
        <f>IF($N23="","",IF($K23&lt;4.64,"NO: under 4.64 m2, cannot be used to sleep",IF($N23="Council","Check council standard",IF($K23&gt;=$N23,"Yes","NO: too small"))))</f>
        <v/>
      </c>
      <c r="P23" s="86">
        <f>IF(NOT(ISNUMBER($K23)),"",IF($K23&lt;4.64,"Not for sleeping",IF($K23&lt;6.51,"1 child under 10",IF($K23&lt;10.22,"1 person","2 persons (over 10)"))))</f>
        <v/>
      </c>
    </row>
    <row r="24" spans="1:16" ht="42.8" customHeight="1">
      <c r="A24" s="112" t="s">
        <v>341</v>
      </c>
      <c r="B24" s="23" t="s">
        <v>342</v>
      </c>
      <c r="C24" s="119" t="s">
        <v>343</v>
      </c>
      <c r="D24" s="114" t="s">
        <v>344</v>
      </c>
      <c r="E24" s="94"/>
      <c r="F24" s="23"/>
      <c r="G24" s="52"/>
      <c r="I24" s="115"/>
      <c r="J24" s="54"/>
      <c r="K24" s="116"/>
      <c r="L24" s="53"/>
      <c r="M24" s="53"/>
      <c r="N24" s="117">
        <f>IF(OR(NOT(ISNUMBER($K24)),N($L24)+N($M24)=0),"",IF(AND(N($L24)=1,N($M24)=0),6.51,IF(AND(N($L24)=2,N($M24)=0),10.22,IF(AND(N($L24)=0,N($M24)=1),4.64,"Council"))))</f>
        <v/>
      </c>
      <c r="O24" s="118">
        <f>IF($N24="","",IF($K24&lt;4.64,"NO: under 4.64 m2, cannot be used to sleep",IF($N24="Council","Check council standard",IF($K24&gt;=$N24,"Yes","NO: too small"))))</f>
        <v/>
      </c>
      <c r="P24" s="86">
        <f>IF(NOT(ISNUMBER($K24)),"",IF($K24&lt;4.64,"Not for sleeping",IF($K24&lt;6.51,"1 child under 10",IF($K24&lt;10.22,"1 person","2 persons (over 10)"))))</f>
        <v/>
      </c>
    </row>
    <row r="25" spans="1:16" ht="42.8" customHeight="1">
      <c r="A25" s="112" t="s">
        <v>345</v>
      </c>
      <c r="B25" s="23" t="s">
        <v>346</v>
      </c>
      <c r="C25" s="119" t="s">
        <v>343</v>
      </c>
      <c r="D25" s="114" t="s">
        <v>344</v>
      </c>
      <c r="E25" s="94"/>
      <c r="F25" s="23"/>
      <c r="G25" s="52"/>
      <c r="I25" s="115"/>
      <c r="J25" s="54"/>
      <c r="K25" s="116"/>
      <c r="L25" s="53"/>
      <c r="M25" s="53"/>
      <c r="N25" s="117">
        <f>IF(OR(NOT(ISNUMBER($K25)),N($L25)+N($M25)=0),"",IF(AND(N($L25)=1,N($M25)=0),6.51,IF(AND(N($L25)=2,N($M25)=0),10.22,IF(AND(N($L25)=0,N($M25)=1),4.64,"Council"))))</f>
        <v/>
      </c>
      <c r="O25" s="118">
        <f>IF($N25="","",IF($K25&lt;4.64,"NO: under 4.64 m2, cannot be used to sleep",IF($N25="Council","Check council standard",IF($K25&gt;=$N25,"Yes","NO: too small"))))</f>
        <v/>
      </c>
      <c r="P25" s="86">
        <f>IF(NOT(ISNUMBER($K25)),"",IF($K25&lt;4.64,"Not for sleeping",IF($K25&lt;6.51,"1 child under 10",IF($K25&lt;10.22,"1 person","2 persons (over 10)"))))</f>
        <v/>
      </c>
    </row>
    <row r="26" spans="1:16" ht="42.8" customHeight="1">
      <c r="A26" s="112" t="s">
        <v>347</v>
      </c>
      <c r="B26" s="23" t="s">
        <v>348</v>
      </c>
      <c r="C26" s="119" t="s">
        <v>343</v>
      </c>
      <c r="D26" s="114" t="s">
        <v>344</v>
      </c>
      <c r="E26" s="94"/>
      <c r="F26" s="23"/>
      <c r="G26" s="52"/>
      <c r="I26" s="115"/>
      <c r="J26" s="54"/>
      <c r="K26" s="116"/>
      <c r="L26" s="53"/>
      <c r="M26" s="53"/>
      <c r="N26" s="117">
        <f>IF(OR(NOT(ISNUMBER($K26)),N($L26)+N($M26)=0),"",IF(AND(N($L26)=1,N($M26)=0),6.51,IF(AND(N($L26)=2,N($M26)=0),10.22,IF(AND(N($L26)=0,N($M26)=1),4.64,"Council"))))</f>
        <v/>
      </c>
      <c r="O26" s="118">
        <f>IF($N26="","",IF($K26&lt;4.64,"NO: under 4.64 m2, cannot be used to sleep",IF($N26="Council","Check council standard",IF($K26&gt;=$N26,"Yes","NO: too small"))))</f>
        <v/>
      </c>
      <c r="P26" s="86">
        <f>IF(NOT(ISNUMBER($K26)),"",IF($K26&lt;4.64,"Not for sleeping",IF($K26&lt;6.51,"1 child under 10",IF($K26&lt;10.22,"1 person","2 persons (over 10)"))))</f>
        <v/>
      </c>
    </row>
    <row r="27" spans="1:16" ht="42.8" customHeight="1">
      <c r="A27" s="112" t="s">
        <v>349</v>
      </c>
      <c r="B27" s="23" t="s">
        <v>350</v>
      </c>
      <c r="C27" s="119" t="s">
        <v>343</v>
      </c>
      <c r="D27" s="114" t="s">
        <v>344</v>
      </c>
      <c r="E27" s="94"/>
      <c r="F27" s="23"/>
      <c r="G27" s="52"/>
      <c r="I27" s="115"/>
      <c r="J27" s="54"/>
      <c r="K27" s="116"/>
      <c r="L27" s="53"/>
      <c r="M27" s="53"/>
      <c r="N27" s="117">
        <f>IF(OR(NOT(ISNUMBER($K27)),N($L27)+N($M27)=0),"",IF(AND(N($L27)=1,N($M27)=0),6.51,IF(AND(N($L27)=2,N($M27)=0),10.22,IF(AND(N($L27)=0,N($M27)=1),4.64,"Council"))))</f>
        <v/>
      </c>
      <c r="O27" s="118">
        <f>IF($N27="","",IF($K27&lt;4.64,"NO: under 4.64 m2, cannot be used to sleep",IF($N27="Council","Check council standard",IF($K27&gt;=$N27,"Yes","NO: too small"))))</f>
        <v/>
      </c>
      <c r="P27" s="86">
        <f>IF(NOT(ISNUMBER($K27)),"",IF($K27&lt;4.64,"Not for sleeping",IF($K27&lt;6.51,"1 child under 10",IF($K27&lt;10.22,"1 person","2 persons (over 10)"))))</f>
        <v/>
      </c>
    </row>
    <row r="28" spans="1:16" ht="30.2" customHeight="1">
      <c r="A28" s="112" t="s">
        <v>351</v>
      </c>
      <c r="B28" s="23" t="s">
        <v>352</v>
      </c>
      <c r="C28" s="119" t="s">
        <v>343</v>
      </c>
      <c r="D28" s="114" t="s">
        <v>353</v>
      </c>
      <c r="E28" s="94"/>
      <c r="F28" s="23"/>
      <c r="G28" s="52"/>
      <c r="I28" s="115"/>
      <c r="J28" s="54"/>
      <c r="K28" s="116"/>
      <c r="L28" s="53"/>
      <c r="M28" s="53"/>
      <c r="N28" s="117">
        <f>IF(OR(NOT(ISNUMBER($K28)),N($L28)+N($M28)=0),"",IF(AND(N($L28)=1,N($M28)=0),6.51,IF(AND(N($L28)=2,N($M28)=0),10.22,IF(AND(N($L28)=0,N($M28)=1),4.64,"Council"))))</f>
        <v/>
      </c>
      <c r="O28" s="118">
        <f>IF($N28="","",IF($K28&lt;4.64,"NO: under 4.64 m2, cannot be used to sleep",IF($N28="Council","Check council standard",IF($K28&gt;=$N28,"Yes","NO: too small"))))</f>
        <v/>
      </c>
      <c r="P28" s="86">
        <f>IF(NOT(ISNUMBER($K28)),"",IF($K28&lt;4.64,"Not for sleeping",IF($K28&lt;6.51,"1 child under 10",IF($K28&lt;10.22,"1 person","2 persons (over 10)"))))</f>
        <v/>
      </c>
    </row>
    <row r="29" spans="1:16" ht="30.2" customHeight="1">
      <c r="A29" s="112" t="s">
        <v>354</v>
      </c>
      <c r="B29" s="23" t="s">
        <v>355</v>
      </c>
      <c r="C29" s="119" t="s">
        <v>343</v>
      </c>
      <c r="D29" s="114" t="s">
        <v>353</v>
      </c>
      <c r="E29" s="94"/>
      <c r="F29" s="23"/>
      <c r="G29" s="52"/>
      <c r="I29" s="115"/>
      <c r="J29" s="54"/>
      <c r="K29" s="116"/>
      <c r="L29" s="53"/>
      <c r="M29" s="53"/>
      <c r="N29" s="117">
        <f>IF(OR(NOT(ISNUMBER($K29)),N($L29)+N($M29)=0),"",IF(AND(N($L29)=1,N($M29)=0),6.51,IF(AND(N($L29)=2,N($M29)=0),10.22,IF(AND(N($L29)=0,N($M29)=1),4.64,"Council"))))</f>
        <v/>
      </c>
      <c r="O29" s="118">
        <f>IF($N29="","",IF($K29&lt;4.64,"NO: under 4.64 m2, cannot be used to sleep",IF($N29="Council","Check council standard",IF($K29&gt;=$N29,"Yes","NO: too small"))))</f>
        <v/>
      </c>
      <c r="P29" s="86">
        <f>IF(NOT(ISNUMBER($K29)),"",IF($K29&lt;4.64,"Not for sleeping",IF($K29&lt;6.51,"1 child under 10",IF($K29&lt;10.22,"1 person","2 persons (over 10)"))))</f>
        <v/>
      </c>
    </row>
    <row r="30" spans="1:16" ht="30.2" customHeight="1">
      <c r="A30" s="112" t="s">
        <v>356</v>
      </c>
      <c r="B30" s="23" t="s">
        <v>357</v>
      </c>
      <c r="C30" s="119" t="s">
        <v>343</v>
      </c>
      <c r="D30" s="114" t="s">
        <v>353</v>
      </c>
      <c r="E30" s="94"/>
      <c r="F30" s="23"/>
      <c r="G30" s="52"/>
      <c r="I30" s="115"/>
      <c r="J30" s="54"/>
      <c r="K30" s="116"/>
      <c r="L30" s="53"/>
      <c r="M30" s="53"/>
      <c r="N30" s="117">
        <f>IF(OR(NOT(ISNUMBER($K30)),N($L30)+N($M30)=0),"",IF(AND(N($L30)=1,N($M30)=0),6.51,IF(AND(N($L30)=2,N($M30)=0),10.22,IF(AND(N($L30)=0,N($M30)=1),4.64,"Council"))))</f>
        <v/>
      </c>
      <c r="O30" s="118">
        <f>IF($N30="","",IF($K30&lt;4.64,"NO: under 4.64 m2, cannot be used to sleep",IF($N30="Council","Check council standard",IF($K30&gt;=$N30,"Yes","NO: too small"))))</f>
        <v/>
      </c>
      <c r="P30" s="86">
        <f>IF(NOT(ISNUMBER($K30)),"",IF($K30&lt;4.64,"Not for sleeping",IF($K30&lt;6.51,"1 child under 10",IF($K30&lt;10.22,"1 person","2 persons (over 10)"))))</f>
        <v/>
      </c>
    </row>
    <row r="31" spans="1:16" ht="42.8" customHeight="1">
      <c r="A31" s="112" t="s">
        <v>358</v>
      </c>
      <c r="B31" s="23" t="s">
        <v>359</v>
      </c>
      <c r="C31" s="119" t="s">
        <v>343</v>
      </c>
      <c r="D31" s="114" t="s">
        <v>353</v>
      </c>
      <c r="E31" s="94"/>
      <c r="F31" s="23"/>
      <c r="G31" s="52"/>
      <c r="I31" s="115"/>
      <c r="J31" s="54"/>
      <c r="K31" s="116"/>
      <c r="L31" s="53"/>
      <c r="M31" s="53"/>
      <c r="N31" s="117">
        <f>IF(OR(NOT(ISNUMBER($K31)),N($L31)+N($M31)=0),"",IF(AND(N($L31)=1,N($M31)=0),6.51,IF(AND(N($L31)=2,N($M31)=0),10.22,IF(AND(N($L31)=0,N($M31)=1),4.64,"Council"))))</f>
        <v/>
      </c>
      <c r="O31" s="118">
        <f>IF($N31="","",IF($K31&lt;4.64,"NO: under 4.64 m2, cannot be used to sleep",IF($N31="Council","Check council standard",IF($K31&gt;=$N31,"Yes","NO: too small"))))</f>
        <v/>
      </c>
      <c r="P31" s="86">
        <f>IF(NOT(ISNUMBER($K31)),"",IF($K31&lt;4.64,"Not for sleeping",IF($K31&lt;6.51,"1 child under 10",IF($K31&lt;10.22,"1 person","2 persons (over 10)"))))</f>
        <v/>
      </c>
    </row>
    <row r="33" spans="1:7" ht="24" customHeight="1">
      <c r="A33" s="107" t="s">
        <v>360</v>
      </c>
      <c r="B33" s="108"/>
      <c r="C33" s="109" t="str">
        <f>IF($B33="","Pick the property in the yellow cell",COUNTIF($E35:$E59,"Yes")&amp;" yes  |  "&amp;COUNTIF($E35:$E59,"No")&amp;" NO  |  "&amp;COUNTIF($E35:$E59,"N/A")&amp;" n/a  |  "&amp;(ROWS($E35:$E59)-COUNTIF($E35:$E59,"Yes")-COUNTIF($E35:$E59,"No")-COUNTIF($E35:$E59,"N/A"))&amp;" not answered")</f>
        <v>Pick the property in the yellow cell</v>
      </c>
      <c r="D33" s="110"/>
      <c r="E33" s="110"/>
      <c r="F33" s="110"/>
      <c r="G33" s="110"/>
    </row>
    <row r="34" spans="1:7" ht="20" customHeight="1">
      <c r="A34" s="80" t="s">
        <v>282</v>
      </c>
      <c r="B34" s="80" t="s">
        <v>283</v>
      </c>
      <c r="C34" s="80" t="s">
        <v>284</v>
      </c>
      <c r="D34" s="80" t="s">
        <v>285</v>
      </c>
      <c r="E34" s="80" t="s">
        <v>286</v>
      </c>
      <c r="F34" s="80" t="s">
        <v>287</v>
      </c>
      <c r="G34" s="80" t="s">
        <v>288</v>
      </c>
    </row>
    <row r="35" spans="1:7" ht="42.8" customHeight="1">
      <c r="A35" s="112" t="s">
        <v>289</v>
      </c>
      <c r="B35" s="23" t="s">
        <v>290</v>
      </c>
      <c r="C35" s="113" t="s">
        <v>291</v>
      </c>
      <c r="D35" s="114" t="s">
        <v>292</v>
      </c>
      <c r="E35" s="94"/>
      <c r="F35" s="23"/>
      <c r="G35" s="52"/>
    </row>
    <row r="36" spans="1:7" ht="42.8" customHeight="1">
      <c r="A36" s="112" t="s">
        <v>293</v>
      </c>
      <c r="B36" s="23" t="s">
        <v>294</v>
      </c>
      <c r="C36" s="113" t="s">
        <v>291</v>
      </c>
      <c r="D36" s="114" t="s">
        <v>295</v>
      </c>
      <c r="E36" s="94"/>
      <c r="F36" s="23"/>
      <c r="G36" s="52"/>
    </row>
    <row r="37" spans="1:7" ht="42.8" customHeight="1">
      <c r="A37" s="112" t="s">
        <v>296</v>
      </c>
      <c r="B37" s="23" t="s">
        <v>297</v>
      </c>
      <c r="C37" s="113" t="s">
        <v>291</v>
      </c>
      <c r="D37" s="114" t="s">
        <v>298</v>
      </c>
      <c r="E37" s="94"/>
      <c r="F37" s="23"/>
      <c r="G37" s="52"/>
    </row>
    <row r="38" spans="1:7" ht="42.8" customHeight="1">
      <c r="A38" s="112" t="s">
        <v>299</v>
      </c>
      <c r="B38" s="23" t="s">
        <v>300</v>
      </c>
      <c r="C38" s="113" t="s">
        <v>291</v>
      </c>
      <c r="D38" s="114" t="s">
        <v>301</v>
      </c>
      <c r="E38" s="94"/>
      <c r="F38" s="23"/>
      <c r="G38" s="52"/>
    </row>
    <row r="39" spans="1:7" ht="42.8" customHeight="1">
      <c r="A39" s="112" t="s">
        <v>302</v>
      </c>
      <c r="B39" s="23" t="s">
        <v>303</v>
      </c>
      <c r="C39" s="113" t="s">
        <v>291</v>
      </c>
      <c r="D39" s="114" t="s">
        <v>304</v>
      </c>
      <c r="E39" s="94"/>
      <c r="F39" s="23"/>
      <c r="G39" s="52"/>
    </row>
    <row r="40" spans="1:7" ht="30.2" customHeight="1">
      <c r="A40" s="112" t="s">
        <v>305</v>
      </c>
      <c r="B40" s="23" t="s">
        <v>306</v>
      </c>
      <c r="C40" s="113" t="s">
        <v>291</v>
      </c>
      <c r="D40" s="114" t="s">
        <v>307</v>
      </c>
      <c r="E40" s="94"/>
      <c r="F40" s="23"/>
      <c r="G40" s="52"/>
    </row>
    <row r="41" spans="1:7" ht="55.4" customHeight="1">
      <c r="A41" s="112" t="s">
        <v>308</v>
      </c>
      <c r="B41" s="23" t="s">
        <v>309</v>
      </c>
      <c r="C41" s="113" t="s">
        <v>291</v>
      </c>
      <c r="D41" s="114" t="s">
        <v>310</v>
      </c>
      <c r="E41" s="94"/>
      <c r="F41" s="23"/>
      <c r="G41" s="52"/>
    </row>
    <row r="42" spans="1:7" ht="30.2" customHeight="1">
      <c r="A42" s="112" t="s">
        <v>311</v>
      </c>
      <c r="B42" s="23" t="s">
        <v>312</v>
      </c>
      <c r="C42" s="113" t="s">
        <v>291</v>
      </c>
      <c r="D42" s="114" t="s">
        <v>313</v>
      </c>
      <c r="E42" s="94"/>
      <c r="F42" s="23"/>
      <c r="G42" s="52"/>
    </row>
    <row r="43" spans="1:7" ht="30.2" customHeight="1">
      <c r="A43" s="112" t="s">
        <v>314</v>
      </c>
      <c r="B43" s="23" t="s">
        <v>315</v>
      </c>
      <c r="C43" s="113" t="s">
        <v>291</v>
      </c>
      <c r="D43" s="114" t="s">
        <v>316</v>
      </c>
      <c r="E43" s="94"/>
      <c r="F43" s="23"/>
      <c r="G43" s="52"/>
    </row>
    <row r="44" spans="1:7" ht="30.2" customHeight="1">
      <c r="A44" s="112" t="s">
        <v>317</v>
      </c>
      <c r="B44" s="23" t="s">
        <v>318</v>
      </c>
      <c r="C44" s="113" t="s">
        <v>291</v>
      </c>
      <c r="D44" s="114" t="s">
        <v>319</v>
      </c>
      <c r="E44" s="94"/>
      <c r="F44" s="23"/>
      <c r="G44" s="52"/>
    </row>
    <row r="45" spans="1:7" ht="30.2" customHeight="1">
      <c r="A45" s="112" t="s">
        <v>320</v>
      </c>
      <c r="B45" s="23" t="s">
        <v>321</v>
      </c>
      <c r="C45" s="119" t="s">
        <v>36</v>
      </c>
      <c r="D45" s="114" t="s">
        <v>322</v>
      </c>
      <c r="E45" s="94"/>
      <c r="F45" s="23"/>
      <c r="G45" s="52"/>
    </row>
    <row r="46" spans="1:7" ht="42.8" customHeight="1">
      <c r="A46" s="112" t="s">
        <v>323</v>
      </c>
      <c r="B46" s="23" t="s">
        <v>324</v>
      </c>
      <c r="C46" s="119" t="s">
        <v>36</v>
      </c>
      <c r="D46" s="114" t="s">
        <v>325</v>
      </c>
      <c r="E46" s="94"/>
      <c r="F46" s="23"/>
      <c r="G46" s="52"/>
    </row>
    <row r="47" spans="1:7" ht="42.8" customHeight="1">
      <c r="A47" s="112" t="s">
        <v>326</v>
      </c>
      <c r="B47" s="23" t="s">
        <v>327</v>
      </c>
      <c r="C47" s="119" t="s">
        <v>36</v>
      </c>
      <c r="D47" s="114" t="s">
        <v>328</v>
      </c>
      <c r="E47" s="94"/>
      <c r="F47" s="23"/>
      <c r="G47" s="52"/>
    </row>
    <row r="48" spans="1:7" ht="30.2" customHeight="1">
      <c r="A48" s="112" t="s">
        <v>329</v>
      </c>
      <c r="B48" s="23" t="s">
        <v>330</v>
      </c>
      <c r="C48" s="119" t="s">
        <v>36</v>
      </c>
      <c r="D48" s="114" t="s">
        <v>331</v>
      </c>
      <c r="E48" s="94"/>
      <c r="F48" s="23"/>
      <c r="G48" s="52"/>
    </row>
    <row r="49" spans="1:7" ht="42.8" customHeight="1">
      <c r="A49" s="112" t="s">
        <v>332</v>
      </c>
      <c r="B49" s="23" t="s">
        <v>333</v>
      </c>
      <c r="C49" s="119" t="s">
        <v>36</v>
      </c>
      <c r="D49" s="114" t="s">
        <v>334</v>
      </c>
      <c r="E49" s="94"/>
      <c r="F49" s="23"/>
      <c r="G49" s="52"/>
    </row>
    <row r="50" spans="1:7" ht="42.8" customHeight="1">
      <c r="A50" s="112" t="s">
        <v>335</v>
      </c>
      <c r="B50" s="23" t="s">
        <v>336</v>
      </c>
      <c r="C50" s="119" t="s">
        <v>36</v>
      </c>
      <c r="D50" s="114" t="s">
        <v>337</v>
      </c>
      <c r="E50" s="94"/>
      <c r="F50" s="23"/>
      <c r="G50" s="52"/>
    </row>
    <row r="51" spans="1:7" ht="42.8" customHeight="1">
      <c r="A51" s="112" t="s">
        <v>338</v>
      </c>
      <c r="B51" s="23" t="s">
        <v>339</v>
      </c>
      <c r="C51" s="119" t="s">
        <v>36</v>
      </c>
      <c r="D51" s="114" t="s">
        <v>340</v>
      </c>
      <c r="E51" s="94"/>
      <c r="F51" s="23"/>
      <c r="G51" s="52"/>
    </row>
    <row r="52" spans="1:7" ht="42.8" customHeight="1">
      <c r="A52" s="112" t="s">
        <v>341</v>
      </c>
      <c r="B52" s="23" t="s">
        <v>342</v>
      </c>
      <c r="C52" s="119" t="s">
        <v>343</v>
      </c>
      <c r="D52" s="114" t="s">
        <v>344</v>
      </c>
      <c r="E52" s="94"/>
      <c r="F52" s="23"/>
      <c r="G52" s="52"/>
    </row>
    <row r="53" spans="1:7" ht="42.8" customHeight="1">
      <c r="A53" s="112" t="s">
        <v>345</v>
      </c>
      <c r="B53" s="23" t="s">
        <v>346</v>
      </c>
      <c r="C53" s="119" t="s">
        <v>343</v>
      </c>
      <c r="D53" s="114" t="s">
        <v>344</v>
      </c>
      <c r="E53" s="94"/>
      <c r="F53" s="23"/>
      <c r="G53" s="52"/>
    </row>
    <row r="54" spans="1:7" ht="42.8" customHeight="1">
      <c r="A54" s="112" t="s">
        <v>347</v>
      </c>
      <c r="B54" s="23" t="s">
        <v>348</v>
      </c>
      <c r="C54" s="119" t="s">
        <v>343</v>
      </c>
      <c r="D54" s="114" t="s">
        <v>344</v>
      </c>
      <c r="E54" s="94"/>
      <c r="F54" s="23"/>
      <c r="G54" s="52"/>
    </row>
    <row r="55" spans="1:7" ht="42.8" customHeight="1">
      <c r="A55" s="112" t="s">
        <v>349</v>
      </c>
      <c r="B55" s="23" t="s">
        <v>350</v>
      </c>
      <c r="C55" s="119" t="s">
        <v>343</v>
      </c>
      <c r="D55" s="114" t="s">
        <v>344</v>
      </c>
      <c r="E55" s="94"/>
      <c r="F55" s="23"/>
      <c r="G55" s="52"/>
    </row>
    <row r="56" spans="1:7" ht="30.2" customHeight="1">
      <c r="A56" s="112" t="s">
        <v>351</v>
      </c>
      <c r="B56" s="23" t="s">
        <v>352</v>
      </c>
      <c r="C56" s="119" t="s">
        <v>343</v>
      </c>
      <c r="D56" s="114" t="s">
        <v>353</v>
      </c>
      <c r="E56" s="94"/>
      <c r="F56" s="23"/>
      <c r="G56" s="52"/>
    </row>
    <row r="57" spans="1:7" ht="30.2" customHeight="1">
      <c r="A57" s="112" t="s">
        <v>354</v>
      </c>
      <c r="B57" s="23" t="s">
        <v>355</v>
      </c>
      <c r="C57" s="119" t="s">
        <v>343</v>
      </c>
      <c r="D57" s="114" t="s">
        <v>353</v>
      </c>
      <c r="E57" s="94"/>
      <c r="F57" s="23"/>
      <c r="G57" s="52"/>
    </row>
    <row r="58" spans="1:7" ht="30.2" customHeight="1">
      <c r="A58" s="112" t="s">
        <v>356</v>
      </c>
      <c r="B58" s="23" t="s">
        <v>357</v>
      </c>
      <c r="C58" s="119" t="s">
        <v>343</v>
      </c>
      <c r="D58" s="114" t="s">
        <v>353</v>
      </c>
      <c r="E58" s="94"/>
      <c r="F58" s="23"/>
      <c r="G58" s="52"/>
    </row>
    <row r="59" spans="1:7" ht="42.8" customHeight="1">
      <c r="A59" s="112" t="s">
        <v>358</v>
      </c>
      <c r="B59" s="23" t="s">
        <v>359</v>
      </c>
      <c r="C59" s="119" t="s">
        <v>343</v>
      </c>
      <c r="D59" s="114" t="s">
        <v>353</v>
      </c>
      <c r="E59" s="94"/>
      <c r="F59" s="23"/>
      <c r="G59" s="52"/>
    </row>
    <row r="61" spans="1:7" ht="24" customHeight="1">
      <c r="A61" s="107" t="s">
        <v>361</v>
      </c>
      <c r="B61" s="108"/>
      <c r="C61" s="109" t="str">
        <f>IF($B61="","Pick the property in the yellow cell",COUNTIF($E63:$E87,"Yes")&amp;" yes  |  "&amp;COUNTIF($E63:$E87,"No")&amp;" NO  |  "&amp;COUNTIF($E63:$E87,"N/A")&amp;" n/a  |  "&amp;(ROWS($E63:$E87)-COUNTIF($E63:$E87,"Yes")-COUNTIF($E63:$E87,"No")-COUNTIF($E63:$E87,"N/A"))&amp;" not answered")</f>
        <v>Pick the property in the yellow cell</v>
      </c>
      <c r="D61" s="110"/>
      <c r="E61" s="110"/>
      <c r="F61" s="110"/>
      <c r="G61" s="110"/>
    </row>
    <row r="62" spans="1:7" ht="20" customHeight="1">
      <c r="A62" s="80" t="s">
        <v>282</v>
      </c>
      <c r="B62" s="80" t="s">
        <v>283</v>
      </c>
      <c r="C62" s="80" t="s">
        <v>284</v>
      </c>
      <c r="D62" s="80" t="s">
        <v>285</v>
      </c>
      <c r="E62" s="80" t="s">
        <v>286</v>
      </c>
      <c r="F62" s="80" t="s">
        <v>287</v>
      </c>
      <c r="G62" s="80" t="s">
        <v>288</v>
      </c>
    </row>
    <row r="63" spans="1:7" ht="42.8" customHeight="1">
      <c r="A63" s="112" t="s">
        <v>289</v>
      </c>
      <c r="B63" s="23" t="s">
        <v>290</v>
      </c>
      <c r="C63" s="113" t="s">
        <v>291</v>
      </c>
      <c r="D63" s="114" t="s">
        <v>292</v>
      </c>
      <c r="E63" s="94"/>
      <c r="F63" s="23"/>
      <c r="G63" s="52"/>
    </row>
    <row r="64" spans="1:7" ht="42.8" customHeight="1">
      <c r="A64" s="112" t="s">
        <v>293</v>
      </c>
      <c r="B64" s="23" t="s">
        <v>294</v>
      </c>
      <c r="C64" s="113" t="s">
        <v>291</v>
      </c>
      <c r="D64" s="114" t="s">
        <v>295</v>
      </c>
      <c r="E64" s="94"/>
      <c r="F64" s="23"/>
      <c r="G64" s="52"/>
    </row>
    <row r="65" spans="1:7" ht="42.8" customHeight="1">
      <c r="A65" s="112" t="s">
        <v>296</v>
      </c>
      <c r="B65" s="23" t="s">
        <v>297</v>
      </c>
      <c r="C65" s="113" t="s">
        <v>291</v>
      </c>
      <c r="D65" s="114" t="s">
        <v>298</v>
      </c>
      <c r="E65" s="94"/>
      <c r="F65" s="23"/>
      <c r="G65" s="52"/>
    </row>
    <row r="66" spans="1:7" ht="42.8" customHeight="1">
      <c r="A66" s="112" t="s">
        <v>299</v>
      </c>
      <c r="B66" s="23" t="s">
        <v>300</v>
      </c>
      <c r="C66" s="113" t="s">
        <v>291</v>
      </c>
      <c r="D66" s="114" t="s">
        <v>301</v>
      </c>
      <c r="E66" s="94"/>
      <c r="F66" s="23"/>
      <c r="G66" s="52"/>
    </row>
    <row r="67" spans="1:7" ht="42.8" customHeight="1">
      <c r="A67" s="112" t="s">
        <v>302</v>
      </c>
      <c r="B67" s="23" t="s">
        <v>303</v>
      </c>
      <c r="C67" s="113" t="s">
        <v>291</v>
      </c>
      <c r="D67" s="114" t="s">
        <v>304</v>
      </c>
      <c r="E67" s="94"/>
      <c r="F67" s="23"/>
      <c r="G67" s="52"/>
    </row>
    <row r="68" spans="1:7" ht="30.2" customHeight="1">
      <c r="A68" s="112" t="s">
        <v>305</v>
      </c>
      <c r="B68" s="23" t="s">
        <v>306</v>
      </c>
      <c r="C68" s="113" t="s">
        <v>291</v>
      </c>
      <c r="D68" s="114" t="s">
        <v>307</v>
      </c>
      <c r="E68" s="94"/>
      <c r="F68" s="23"/>
      <c r="G68" s="52"/>
    </row>
    <row r="69" spans="1:7" ht="55.4" customHeight="1">
      <c r="A69" s="112" t="s">
        <v>308</v>
      </c>
      <c r="B69" s="23" t="s">
        <v>309</v>
      </c>
      <c r="C69" s="113" t="s">
        <v>291</v>
      </c>
      <c r="D69" s="114" t="s">
        <v>310</v>
      </c>
      <c r="E69" s="94"/>
      <c r="F69" s="23"/>
      <c r="G69" s="52"/>
    </row>
    <row r="70" spans="1:7" ht="30.2" customHeight="1">
      <c r="A70" s="112" t="s">
        <v>311</v>
      </c>
      <c r="B70" s="23" t="s">
        <v>312</v>
      </c>
      <c r="C70" s="113" t="s">
        <v>291</v>
      </c>
      <c r="D70" s="114" t="s">
        <v>313</v>
      </c>
      <c r="E70" s="94"/>
      <c r="F70" s="23"/>
      <c r="G70" s="52"/>
    </row>
    <row r="71" spans="1:7" ht="30.2" customHeight="1">
      <c r="A71" s="112" t="s">
        <v>314</v>
      </c>
      <c r="B71" s="23" t="s">
        <v>315</v>
      </c>
      <c r="C71" s="113" t="s">
        <v>291</v>
      </c>
      <c r="D71" s="114" t="s">
        <v>316</v>
      </c>
      <c r="E71" s="94"/>
      <c r="F71" s="23"/>
      <c r="G71" s="52"/>
    </row>
    <row r="72" spans="1:7" ht="30.2" customHeight="1">
      <c r="A72" s="112" t="s">
        <v>317</v>
      </c>
      <c r="B72" s="23" t="s">
        <v>318</v>
      </c>
      <c r="C72" s="113" t="s">
        <v>291</v>
      </c>
      <c r="D72" s="114" t="s">
        <v>319</v>
      </c>
      <c r="E72" s="94"/>
      <c r="F72" s="23"/>
      <c r="G72" s="52"/>
    </row>
    <row r="73" spans="1:7" ht="30.2" customHeight="1">
      <c r="A73" s="112" t="s">
        <v>320</v>
      </c>
      <c r="B73" s="23" t="s">
        <v>321</v>
      </c>
      <c r="C73" s="119" t="s">
        <v>36</v>
      </c>
      <c r="D73" s="114" t="s">
        <v>322</v>
      </c>
      <c r="E73" s="94"/>
      <c r="F73" s="23"/>
      <c r="G73" s="52"/>
    </row>
    <row r="74" spans="1:7" ht="42.8" customHeight="1">
      <c r="A74" s="112" t="s">
        <v>323</v>
      </c>
      <c r="B74" s="23" t="s">
        <v>324</v>
      </c>
      <c r="C74" s="119" t="s">
        <v>36</v>
      </c>
      <c r="D74" s="114" t="s">
        <v>325</v>
      </c>
      <c r="E74" s="94"/>
      <c r="F74" s="23"/>
      <c r="G74" s="52"/>
    </row>
    <row r="75" spans="1:7" ht="42.8" customHeight="1">
      <c r="A75" s="112" t="s">
        <v>326</v>
      </c>
      <c r="B75" s="23" t="s">
        <v>327</v>
      </c>
      <c r="C75" s="119" t="s">
        <v>36</v>
      </c>
      <c r="D75" s="114" t="s">
        <v>328</v>
      </c>
      <c r="E75" s="94"/>
      <c r="F75" s="23"/>
      <c r="G75" s="52"/>
    </row>
    <row r="76" spans="1:7" ht="30.2" customHeight="1">
      <c r="A76" s="112" t="s">
        <v>329</v>
      </c>
      <c r="B76" s="23" t="s">
        <v>330</v>
      </c>
      <c r="C76" s="119" t="s">
        <v>36</v>
      </c>
      <c r="D76" s="114" t="s">
        <v>331</v>
      </c>
      <c r="E76" s="94"/>
      <c r="F76" s="23"/>
      <c r="G76" s="52"/>
    </row>
    <row r="77" spans="1:7" ht="42.8" customHeight="1">
      <c r="A77" s="112" t="s">
        <v>332</v>
      </c>
      <c r="B77" s="23" t="s">
        <v>333</v>
      </c>
      <c r="C77" s="119" t="s">
        <v>36</v>
      </c>
      <c r="D77" s="114" t="s">
        <v>334</v>
      </c>
      <c r="E77" s="94"/>
      <c r="F77" s="23"/>
      <c r="G77" s="52"/>
    </row>
    <row r="78" spans="1:7" ht="42.8" customHeight="1">
      <c r="A78" s="112" t="s">
        <v>335</v>
      </c>
      <c r="B78" s="23" t="s">
        <v>336</v>
      </c>
      <c r="C78" s="119" t="s">
        <v>36</v>
      </c>
      <c r="D78" s="114" t="s">
        <v>337</v>
      </c>
      <c r="E78" s="94"/>
      <c r="F78" s="23"/>
      <c r="G78" s="52"/>
    </row>
    <row r="79" spans="1:7" ht="42.8" customHeight="1">
      <c r="A79" s="112" t="s">
        <v>338</v>
      </c>
      <c r="B79" s="23" t="s">
        <v>339</v>
      </c>
      <c r="C79" s="119" t="s">
        <v>36</v>
      </c>
      <c r="D79" s="114" t="s">
        <v>340</v>
      </c>
      <c r="E79" s="94"/>
      <c r="F79" s="23"/>
      <c r="G79" s="52"/>
    </row>
    <row r="80" spans="1:7" ht="42.8" customHeight="1">
      <c r="A80" s="112" t="s">
        <v>341</v>
      </c>
      <c r="B80" s="23" t="s">
        <v>342</v>
      </c>
      <c r="C80" s="119" t="s">
        <v>343</v>
      </c>
      <c r="D80" s="114" t="s">
        <v>344</v>
      </c>
      <c r="E80" s="94"/>
      <c r="F80" s="23"/>
      <c r="G80" s="52"/>
    </row>
    <row r="81" spans="1:7" ht="42.8" customHeight="1">
      <c r="A81" s="112" t="s">
        <v>345</v>
      </c>
      <c r="B81" s="23" t="s">
        <v>346</v>
      </c>
      <c r="C81" s="119" t="s">
        <v>343</v>
      </c>
      <c r="D81" s="114" t="s">
        <v>344</v>
      </c>
      <c r="E81" s="94"/>
      <c r="F81" s="23"/>
      <c r="G81" s="52"/>
    </row>
    <row r="82" spans="1:7" ht="42.8" customHeight="1">
      <c r="A82" s="112" t="s">
        <v>347</v>
      </c>
      <c r="B82" s="23" t="s">
        <v>348</v>
      </c>
      <c r="C82" s="119" t="s">
        <v>343</v>
      </c>
      <c r="D82" s="114" t="s">
        <v>344</v>
      </c>
      <c r="E82" s="94"/>
      <c r="F82" s="23"/>
      <c r="G82" s="52"/>
    </row>
    <row r="83" spans="1:7" ht="42.8" customHeight="1">
      <c r="A83" s="112" t="s">
        <v>349</v>
      </c>
      <c r="B83" s="23" t="s">
        <v>350</v>
      </c>
      <c r="C83" s="119" t="s">
        <v>343</v>
      </c>
      <c r="D83" s="114" t="s">
        <v>344</v>
      </c>
      <c r="E83" s="94"/>
      <c r="F83" s="23"/>
      <c r="G83" s="52"/>
    </row>
    <row r="84" spans="1:7" ht="30.2" customHeight="1">
      <c r="A84" s="112" t="s">
        <v>351</v>
      </c>
      <c r="B84" s="23" t="s">
        <v>352</v>
      </c>
      <c r="C84" s="119" t="s">
        <v>343</v>
      </c>
      <c r="D84" s="114" t="s">
        <v>353</v>
      </c>
      <c r="E84" s="94"/>
      <c r="F84" s="23"/>
      <c r="G84" s="52"/>
    </row>
    <row r="85" spans="1:7" ht="30.2" customHeight="1">
      <c r="A85" s="112" t="s">
        <v>354</v>
      </c>
      <c r="B85" s="23" t="s">
        <v>355</v>
      </c>
      <c r="C85" s="119" t="s">
        <v>343</v>
      </c>
      <c r="D85" s="114" t="s">
        <v>353</v>
      </c>
      <c r="E85" s="94"/>
      <c r="F85" s="23"/>
      <c r="G85" s="52"/>
    </row>
    <row r="86" spans="1:7" ht="30.2" customHeight="1">
      <c r="A86" s="112" t="s">
        <v>356</v>
      </c>
      <c r="B86" s="23" t="s">
        <v>357</v>
      </c>
      <c r="C86" s="119" t="s">
        <v>343</v>
      </c>
      <c r="D86" s="114" t="s">
        <v>353</v>
      </c>
      <c r="E86" s="94"/>
      <c r="F86" s="23"/>
      <c r="G86" s="52"/>
    </row>
    <row r="87" spans="1:7" ht="42.8" customHeight="1">
      <c r="A87" s="112" t="s">
        <v>358</v>
      </c>
      <c r="B87" s="23" t="s">
        <v>359</v>
      </c>
      <c r="C87" s="119" t="s">
        <v>343</v>
      </c>
      <c r="D87" s="114" t="s">
        <v>353</v>
      </c>
      <c r="E87" s="94"/>
      <c r="F87" s="23"/>
      <c r="G87" s="52"/>
    </row>
    <row r="89" spans="1:7" ht="24" customHeight="1">
      <c r="A89" s="107" t="s">
        <v>362</v>
      </c>
      <c r="B89" s="108"/>
      <c r="C89" s="109" t="str">
        <f>IF($B89="","Pick the property in the yellow cell",COUNTIF($E91:$E115,"Yes")&amp;" yes  |  "&amp;COUNTIF($E91:$E115,"No")&amp;" NO  |  "&amp;COUNTIF($E91:$E115,"N/A")&amp;" n/a  |  "&amp;(ROWS($E91:$E115)-COUNTIF($E91:$E115,"Yes")-COUNTIF($E91:$E115,"No")-COUNTIF($E91:$E115,"N/A"))&amp;" not answered")</f>
        <v>Pick the property in the yellow cell</v>
      </c>
      <c r="D89" s="110"/>
      <c r="E89" s="110"/>
      <c r="F89" s="110"/>
      <c r="G89" s="110"/>
    </row>
    <row r="90" spans="1:7" ht="20" customHeight="1">
      <c r="A90" s="80" t="s">
        <v>282</v>
      </c>
      <c r="B90" s="80" t="s">
        <v>283</v>
      </c>
      <c r="C90" s="80" t="s">
        <v>284</v>
      </c>
      <c r="D90" s="80" t="s">
        <v>285</v>
      </c>
      <c r="E90" s="80" t="s">
        <v>286</v>
      </c>
      <c r="F90" s="80" t="s">
        <v>287</v>
      </c>
      <c r="G90" s="80" t="s">
        <v>288</v>
      </c>
    </row>
    <row r="91" spans="1:7" ht="42.8" customHeight="1">
      <c r="A91" s="112" t="s">
        <v>289</v>
      </c>
      <c r="B91" s="23" t="s">
        <v>290</v>
      </c>
      <c r="C91" s="113" t="s">
        <v>291</v>
      </c>
      <c r="D91" s="114" t="s">
        <v>292</v>
      </c>
      <c r="E91" s="94"/>
      <c r="F91" s="23"/>
      <c r="G91" s="52"/>
    </row>
    <row r="92" spans="1:7" ht="42.8" customHeight="1">
      <c r="A92" s="112" t="s">
        <v>293</v>
      </c>
      <c r="B92" s="23" t="s">
        <v>294</v>
      </c>
      <c r="C92" s="113" t="s">
        <v>291</v>
      </c>
      <c r="D92" s="114" t="s">
        <v>295</v>
      </c>
      <c r="E92" s="94"/>
      <c r="F92" s="23"/>
      <c r="G92" s="52"/>
    </row>
    <row r="93" spans="1:7" ht="42.8" customHeight="1">
      <c r="A93" s="112" t="s">
        <v>296</v>
      </c>
      <c r="B93" s="23" t="s">
        <v>297</v>
      </c>
      <c r="C93" s="113" t="s">
        <v>291</v>
      </c>
      <c r="D93" s="114" t="s">
        <v>298</v>
      </c>
      <c r="E93" s="94"/>
      <c r="F93" s="23"/>
      <c r="G93" s="52"/>
    </row>
    <row r="94" spans="1:7" ht="42.8" customHeight="1">
      <c r="A94" s="112" t="s">
        <v>299</v>
      </c>
      <c r="B94" s="23" t="s">
        <v>300</v>
      </c>
      <c r="C94" s="113" t="s">
        <v>291</v>
      </c>
      <c r="D94" s="114" t="s">
        <v>301</v>
      </c>
      <c r="E94" s="94"/>
      <c r="F94" s="23"/>
      <c r="G94" s="52"/>
    </row>
    <row r="95" spans="1:7" ht="42.8" customHeight="1">
      <c r="A95" s="112" t="s">
        <v>302</v>
      </c>
      <c r="B95" s="23" t="s">
        <v>303</v>
      </c>
      <c r="C95" s="113" t="s">
        <v>291</v>
      </c>
      <c r="D95" s="114" t="s">
        <v>304</v>
      </c>
      <c r="E95" s="94"/>
      <c r="F95" s="23"/>
      <c r="G95" s="52"/>
    </row>
    <row r="96" spans="1:7" ht="30.2" customHeight="1">
      <c r="A96" s="112" t="s">
        <v>305</v>
      </c>
      <c r="B96" s="23" t="s">
        <v>306</v>
      </c>
      <c r="C96" s="113" t="s">
        <v>291</v>
      </c>
      <c r="D96" s="114" t="s">
        <v>307</v>
      </c>
      <c r="E96" s="94"/>
      <c r="F96" s="23"/>
      <c r="G96" s="52"/>
    </row>
    <row r="97" spans="1:7" ht="55.4" customHeight="1">
      <c r="A97" s="112" t="s">
        <v>308</v>
      </c>
      <c r="B97" s="23" t="s">
        <v>309</v>
      </c>
      <c r="C97" s="113" t="s">
        <v>291</v>
      </c>
      <c r="D97" s="114" t="s">
        <v>310</v>
      </c>
      <c r="E97" s="94"/>
      <c r="F97" s="23"/>
      <c r="G97" s="52"/>
    </row>
    <row r="98" spans="1:7" ht="30.2" customHeight="1">
      <c r="A98" s="112" t="s">
        <v>311</v>
      </c>
      <c r="B98" s="23" t="s">
        <v>312</v>
      </c>
      <c r="C98" s="113" t="s">
        <v>291</v>
      </c>
      <c r="D98" s="114" t="s">
        <v>313</v>
      </c>
      <c r="E98" s="94"/>
      <c r="F98" s="23"/>
      <c r="G98" s="52"/>
    </row>
    <row r="99" spans="1:7" ht="30.2" customHeight="1">
      <c r="A99" s="112" t="s">
        <v>314</v>
      </c>
      <c r="B99" s="23" t="s">
        <v>315</v>
      </c>
      <c r="C99" s="113" t="s">
        <v>291</v>
      </c>
      <c r="D99" s="114" t="s">
        <v>316</v>
      </c>
      <c r="E99" s="94"/>
      <c r="F99" s="23"/>
      <c r="G99" s="52"/>
    </row>
    <row r="100" spans="1:7" ht="30.2" customHeight="1">
      <c r="A100" s="112" t="s">
        <v>317</v>
      </c>
      <c r="B100" s="23" t="s">
        <v>318</v>
      </c>
      <c r="C100" s="113" t="s">
        <v>291</v>
      </c>
      <c r="D100" s="114" t="s">
        <v>319</v>
      </c>
      <c r="E100" s="94"/>
      <c r="F100" s="23"/>
      <c r="G100" s="52"/>
    </row>
    <row r="101" spans="1:7" ht="30.2" customHeight="1">
      <c r="A101" s="112" t="s">
        <v>320</v>
      </c>
      <c r="B101" s="23" t="s">
        <v>321</v>
      </c>
      <c r="C101" s="119" t="s">
        <v>36</v>
      </c>
      <c r="D101" s="114" t="s">
        <v>322</v>
      </c>
      <c r="E101" s="94"/>
      <c r="F101" s="23"/>
      <c r="G101" s="52"/>
    </row>
    <row r="102" spans="1:7" ht="42.8" customHeight="1">
      <c r="A102" s="112" t="s">
        <v>323</v>
      </c>
      <c r="B102" s="23" t="s">
        <v>324</v>
      </c>
      <c r="C102" s="119" t="s">
        <v>36</v>
      </c>
      <c r="D102" s="114" t="s">
        <v>325</v>
      </c>
      <c r="E102" s="94"/>
      <c r="F102" s="23"/>
      <c r="G102" s="52"/>
    </row>
    <row r="103" spans="1:7" ht="42.8" customHeight="1">
      <c r="A103" s="112" t="s">
        <v>326</v>
      </c>
      <c r="B103" s="23" t="s">
        <v>327</v>
      </c>
      <c r="C103" s="119" t="s">
        <v>36</v>
      </c>
      <c r="D103" s="114" t="s">
        <v>328</v>
      </c>
      <c r="E103" s="94"/>
      <c r="F103" s="23"/>
      <c r="G103" s="52"/>
    </row>
    <row r="104" spans="1:7" ht="30.2" customHeight="1">
      <c r="A104" s="112" t="s">
        <v>329</v>
      </c>
      <c r="B104" s="23" t="s">
        <v>330</v>
      </c>
      <c r="C104" s="119" t="s">
        <v>36</v>
      </c>
      <c r="D104" s="114" t="s">
        <v>331</v>
      </c>
      <c r="E104" s="94"/>
      <c r="F104" s="23"/>
      <c r="G104" s="52"/>
    </row>
    <row r="105" spans="1:7" ht="42.8" customHeight="1">
      <c r="A105" s="112" t="s">
        <v>332</v>
      </c>
      <c r="B105" s="23" t="s">
        <v>333</v>
      </c>
      <c r="C105" s="119" t="s">
        <v>36</v>
      </c>
      <c r="D105" s="114" t="s">
        <v>334</v>
      </c>
      <c r="E105" s="94"/>
      <c r="F105" s="23"/>
      <c r="G105" s="52"/>
    </row>
    <row r="106" spans="1:7" ht="42.8" customHeight="1">
      <c r="A106" s="112" t="s">
        <v>335</v>
      </c>
      <c r="B106" s="23" t="s">
        <v>336</v>
      </c>
      <c r="C106" s="119" t="s">
        <v>36</v>
      </c>
      <c r="D106" s="114" t="s">
        <v>337</v>
      </c>
      <c r="E106" s="94"/>
      <c r="F106" s="23"/>
      <c r="G106" s="52"/>
    </row>
    <row r="107" spans="1:7" ht="42.8" customHeight="1">
      <c r="A107" s="112" t="s">
        <v>338</v>
      </c>
      <c r="B107" s="23" t="s">
        <v>339</v>
      </c>
      <c r="C107" s="119" t="s">
        <v>36</v>
      </c>
      <c r="D107" s="114" t="s">
        <v>340</v>
      </c>
      <c r="E107" s="94"/>
      <c r="F107" s="23"/>
      <c r="G107" s="52"/>
    </row>
    <row r="108" spans="1:7" ht="42.8" customHeight="1">
      <c r="A108" s="112" t="s">
        <v>341</v>
      </c>
      <c r="B108" s="23" t="s">
        <v>342</v>
      </c>
      <c r="C108" s="119" t="s">
        <v>343</v>
      </c>
      <c r="D108" s="114" t="s">
        <v>344</v>
      </c>
      <c r="E108" s="94"/>
      <c r="F108" s="23"/>
      <c r="G108" s="52"/>
    </row>
    <row r="109" spans="1:7" ht="42.8" customHeight="1">
      <c r="A109" s="112" t="s">
        <v>345</v>
      </c>
      <c r="B109" s="23" t="s">
        <v>346</v>
      </c>
      <c r="C109" s="119" t="s">
        <v>343</v>
      </c>
      <c r="D109" s="114" t="s">
        <v>344</v>
      </c>
      <c r="E109" s="94"/>
      <c r="F109" s="23"/>
      <c r="G109" s="52"/>
    </row>
    <row r="110" spans="1:7" ht="42.8" customHeight="1">
      <c r="A110" s="112" t="s">
        <v>347</v>
      </c>
      <c r="B110" s="23" t="s">
        <v>348</v>
      </c>
      <c r="C110" s="119" t="s">
        <v>343</v>
      </c>
      <c r="D110" s="114" t="s">
        <v>344</v>
      </c>
      <c r="E110" s="94"/>
      <c r="F110" s="23"/>
      <c r="G110" s="52"/>
    </row>
    <row r="111" spans="1:7" ht="42.8" customHeight="1">
      <c r="A111" s="112" t="s">
        <v>349</v>
      </c>
      <c r="B111" s="23" t="s">
        <v>350</v>
      </c>
      <c r="C111" s="119" t="s">
        <v>343</v>
      </c>
      <c r="D111" s="114" t="s">
        <v>344</v>
      </c>
      <c r="E111" s="94"/>
      <c r="F111" s="23"/>
      <c r="G111" s="52"/>
    </row>
    <row r="112" spans="1:7" ht="30.2" customHeight="1">
      <c r="A112" s="112" t="s">
        <v>351</v>
      </c>
      <c r="B112" s="23" t="s">
        <v>352</v>
      </c>
      <c r="C112" s="119" t="s">
        <v>343</v>
      </c>
      <c r="D112" s="114" t="s">
        <v>353</v>
      </c>
      <c r="E112" s="94"/>
      <c r="F112" s="23"/>
      <c r="G112" s="52"/>
    </row>
    <row r="113" spans="1:7" ht="30.2" customHeight="1">
      <c r="A113" s="112" t="s">
        <v>354</v>
      </c>
      <c r="B113" s="23" t="s">
        <v>355</v>
      </c>
      <c r="C113" s="119" t="s">
        <v>343</v>
      </c>
      <c r="D113" s="114" t="s">
        <v>353</v>
      </c>
      <c r="E113" s="94"/>
      <c r="F113" s="23"/>
      <c r="G113" s="52"/>
    </row>
    <row r="114" spans="1:7" ht="30.2" customHeight="1">
      <c r="A114" s="112" t="s">
        <v>356</v>
      </c>
      <c r="B114" s="23" t="s">
        <v>357</v>
      </c>
      <c r="C114" s="119" t="s">
        <v>343</v>
      </c>
      <c r="D114" s="114" t="s">
        <v>353</v>
      </c>
      <c r="E114" s="94"/>
      <c r="F114" s="23"/>
      <c r="G114" s="52"/>
    </row>
    <row r="115" spans="1:7" ht="42.8" customHeight="1">
      <c r="A115" s="112" t="s">
        <v>358</v>
      </c>
      <c r="B115" s="23" t="s">
        <v>359</v>
      </c>
      <c r="C115" s="119" t="s">
        <v>343</v>
      </c>
      <c r="D115" s="114" t="s">
        <v>353</v>
      </c>
      <c r="E115" s="94"/>
      <c r="F115" s="23"/>
      <c r="G115" s="52"/>
    </row>
    <row r="117" spans="1:7" ht="24" customHeight="1">
      <c r="A117" s="107" t="s">
        <v>363</v>
      </c>
      <c r="B117" s="108"/>
      <c r="C117" s="109" t="str">
        <f>IF($B117="","Pick the property in the yellow cell",COUNTIF($E119:$E143,"Yes")&amp;" yes  |  "&amp;COUNTIF($E119:$E143,"No")&amp;" NO  |  "&amp;COUNTIF($E119:$E143,"N/A")&amp;" n/a  |  "&amp;(ROWS($E119:$E143)-COUNTIF($E119:$E143,"Yes")-COUNTIF($E119:$E143,"No")-COUNTIF($E119:$E143,"N/A"))&amp;" not answered")</f>
        <v>Pick the property in the yellow cell</v>
      </c>
      <c r="D117" s="110"/>
      <c r="E117" s="110"/>
      <c r="F117" s="110"/>
      <c r="G117" s="110"/>
    </row>
    <row r="118" spans="1:7" ht="20" customHeight="1">
      <c r="A118" s="80" t="s">
        <v>282</v>
      </c>
      <c r="B118" s="80" t="s">
        <v>283</v>
      </c>
      <c r="C118" s="80" t="s">
        <v>284</v>
      </c>
      <c r="D118" s="80" t="s">
        <v>285</v>
      </c>
      <c r="E118" s="80" t="s">
        <v>286</v>
      </c>
      <c r="F118" s="80" t="s">
        <v>287</v>
      </c>
      <c r="G118" s="80" t="s">
        <v>288</v>
      </c>
    </row>
    <row r="119" spans="1:7" ht="42.8" customHeight="1">
      <c r="A119" s="112" t="s">
        <v>289</v>
      </c>
      <c r="B119" s="23" t="s">
        <v>290</v>
      </c>
      <c r="C119" s="113" t="s">
        <v>291</v>
      </c>
      <c r="D119" s="114" t="s">
        <v>292</v>
      </c>
      <c r="E119" s="94"/>
      <c r="F119" s="23"/>
      <c r="G119" s="52"/>
    </row>
    <row r="120" spans="1:7" ht="42.8" customHeight="1">
      <c r="A120" s="112" t="s">
        <v>293</v>
      </c>
      <c r="B120" s="23" t="s">
        <v>294</v>
      </c>
      <c r="C120" s="113" t="s">
        <v>291</v>
      </c>
      <c r="D120" s="114" t="s">
        <v>295</v>
      </c>
      <c r="E120" s="94"/>
      <c r="F120" s="23"/>
      <c r="G120" s="52"/>
    </row>
    <row r="121" spans="1:7" ht="42.8" customHeight="1">
      <c r="A121" s="112" t="s">
        <v>296</v>
      </c>
      <c r="B121" s="23" t="s">
        <v>297</v>
      </c>
      <c r="C121" s="113" t="s">
        <v>291</v>
      </c>
      <c r="D121" s="114" t="s">
        <v>298</v>
      </c>
      <c r="E121" s="94"/>
      <c r="F121" s="23"/>
      <c r="G121" s="52"/>
    </row>
    <row r="122" spans="1:7" ht="42.8" customHeight="1">
      <c r="A122" s="112" t="s">
        <v>299</v>
      </c>
      <c r="B122" s="23" t="s">
        <v>300</v>
      </c>
      <c r="C122" s="113" t="s">
        <v>291</v>
      </c>
      <c r="D122" s="114" t="s">
        <v>301</v>
      </c>
      <c r="E122" s="94"/>
      <c r="F122" s="23"/>
      <c r="G122" s="52"/>
    </row>
    <row r="123" spans="1:7" ht="42.8" customHeight="1">
      <c r="A123" s="112" t="s">
        <v>302</v>
      </c>
      <c r="B123" s="23" t="s">
        <v>303</v>
      </c>
      <c r="C123" s="113" t="s">
        <v>291</v>
      </c>
      <c r="D123" s="114" t="s">
        <v>304</v>
      </c>
      <c r="E123" s="94"/>
      <c r="F123" s="23"/>
      <c r="G123" s="52"/>
    </row>
    <row r="124" spans="1:7" ht="30.2" customHeight="1">
      <c r="A124" s="112" t="s">
        <v>305</v>
      </c>
      <c r="B124" s="23" t="s">
        <v>306</v>
      </c>
      <c r="C124" s="113" t="s">
        <v>291</v>
      </c>
      <c r="D124" s="114" t="s">
        <v>307</v>
      </c>
      <c r="E124" s="94"/>
      <c r="F124" s="23"/>
      <c r="G124" s="52"/>
    </row>
    <row r="125" spans="1:7" ht="55.4" customHeight="1">
      <c r="A125" s="112" t="s">
        <v>308</v>
      </c>
      <c r="B125" s="23" t="s">
        <v>309</v>
      </c>
      <c r="C125" s="113" t="s">
        <v>291</v>
      </c>
      <c r="D125" s="114" t="s">
        <v>310</v>
      </c>
      <c r="E125" s="94"/>
      <c r="F125" s="23"/>
      <c r="G125" s="52"/>
    </row>
    <row r="126" spans="1:7" ht="30.2" customHeight="1">
      <c r="A126" s="112" t="s">
        <v>311</v>
      </c>
      <c r="B126" s="23" t="s">
        <v>312</v>
      </c>
      <c r="C126" s="113" t="s">
        <v>291</v>
      </c>
      <c r="D126" s="114" t="s">
        <v>313</v>
      </c>
      <c r="E126" s="94"/>
      <c r="F126" s="23"/>
      <c r="G126" s="52"/>
    </row>
    <row r="127" spans="1:7" ht="30.2" customHeight="1">
      <c r="A127" s="112" t="s">
        <v>314</v>
      </c>
      <c r="B127" s="23" t="s">
        <v>315</v>
      </c>
      <c r="C127" s="113" t="s">
        <v>291</v>
      </c>
      <c r="D127" s="114" t="s">
        <v>316</v>
      </c>
      <c r="E127" s="94"/>
      <c r="F127" s="23"/>
      <c r="G127" s="52"/>
    </row>
    <row r="128" spans="1:7" ht="30.2" customHeight="1">
      <c r="A128" s="112" t="s">
        <v>317</v>
      </c>
      <c r="B128" s="23" t="s">
        <v>318</v>
      </c>
      <c r="C128" s="113" t="s">
        <v>291</v>
      </c>
      <c r="D128" s="114" t="s">
        <v>319</v>
      </c>
      <c r="E128" s="94"/>
      <c r="F128" s="23"/>
      <c r="G128" s="52"/>
    </row>
    <row r="129" spans="1:7" ht="30.2" customHeight="1">
      <c r="A129" s="112" t="s">
        <v>320</v>
      </c>
      <c r="B129" s="23" t="s">
        <v>321</v>
      </c>
      <c r="C129" s="119" t="s">
        <v>36</v>
      </c>
      <c r="D129" s="114" t="s">
        <v>322</v>
      </c>
      <c r="E129" s="94"/>
      <c r="F129" s="23"/>
      <c r="G129" s="52"/>
    </row>
    <row r="130" spans="1:7" ht="42.8" customHeight="1">
      <c r="A130" s="112" t="s">
        <v>323</v>
      </c>
      <c r="B130" s="23" t="s">
        <v>324</v>
      </c>
      <c r="C130" s="119" t="s">
        <v>36</v>
      </c>
      <c r="D130" s="114" t="s">
        <v>325</v>
      </c>
      <c r="E130" s="94"/>
      <c r="F130" s="23"/>
      <c r="G130" s="52"/>
    </row>
    <row r="131" spans="1:7" ht="42.8" customHeight="1">
      <c r="A131" s="112" t="s">
        <v>326</v>
      </c>
      <c r="B131" s="23" t="s">
        <v>327</v>
      </c>
      <c r="C131" s="119" t="s">
        <v>36</v>
      </c>
      <c r="D131" s="114" t="s">
        <v>328</v>
      </c>
      <c r="E131" s="94"/>
      <c r="F131" s="23"/>
      <c r="G131" s="52"/>
    </row>
    <row r="132" spans="1:7" ht="30.2" customHeight="1">
      <c r="A132" s="112" t="s">
        <v>329</v>
      </c>
      <c r="B132" s="23" t="s">
        <v>330</v>
      </c>
      <c r="C132" s="119" t="s">
        <v>36</v>
      </c>
      <c r="D132" s="114" t="s">
        <v>331</v>
      </c>
      <c r="E132" s="94"/>
      <c r="F132" s="23"/>
      <c r="G132" s="52"/>
    </row>
    <row r="133" spans="1:7" ht="42.8" customHeight="1">
      <c r="A133" s="112" t="s">
        <v>332</v>
      </c>
      <c r="B133" s="23" t="s">
        <v>333</v>
      </c>
      <c r="C133" s="119" t="s">
        <v>36</v>
      </c>
      <c r="D133" s="114" t="s">
        <v>334</v>
      </c>
      <c r="E133" s="94"/>
      <c r="F133" s="23"/>
      <c r="G133" s="52"/>
    </row>
    <row r="134" spans="1:7" ht="42.8" customHeight="1">
      <c r="A134" s="112" t="s">
        <v>335</v>
      </c>
      <c r="B134" s="23" t="s">
        <v>336</v>
      </c>
      <c r="C134" s="119" t="s">
        <v>36</v>
      </c>
      <c r="D134" s="114" t="s">
        <v>337</v>
      </c>
      <c r="E134" s="94"/>
      <c r="F134" s="23"/>
      <c r="G134" s="52"/>
    </row>
    <row r="135" spans="1:7" ht="42.8" customHeight="1">
      <c r="A135" s="112" t="s">
        <v>338</v>
      </c>
      <c r="B135" s="23" t="s">
        <v>339</v>
      </c>
      <c r="C135" s="119" t="s">
        <v>36</v>
      </c>
      <c r="D135" s="114" t="s">
        <v>340</v>
      </c>
      <c r="E135" s="94"/>
      <c r="F135" s="23"/>
      <c r="G135" s="52"/>
    </row>
    <row r="136" spans="1:7" ht="42.8" customHeight="1">
      <c r="A136" s="112" t="s">
        <v>341</v>
      </c>
      <c r="B136" s="23" t="s">
        <v>342</v>
      </c>
      <c r="C136" s="119" t="s">
        <v>343</v>
      </c>
      <c r="D136" s="114" t="s">
        <v>344</v>
      </c>
      <c r="E136" s="94"/>
      <c r="F136" s="23"/>
      <c r="G136" s="52"/>
    </row>
    <row r="137" spans="1:7" ht="42.8" customHeight="1">
      <c r="A137" s="112" t="s">
        <v>345</v>
      </c>
      <c r="B137" s="23" t="s">
        <v>346</v>
      </c>
      <c r="C137" s="119" t="s">
        <v>343</v>
      </c>
      <c r="D137" s="114" t="s">
        <v>344</v>
      </c>
      <c r="E137" s="94"/>
      <c r="F137" s="23"/>
      <c r="G137" s="52"/>
    </row>
    <row r="138" spans="1:7" ht="42.8" customHeight="1">
      <c r="A138" s="112" t="s">
        <v>347</v>
      </c>
      <c r="B138" s="23" t="s">
        <v>348</v>
      </c>
      <c r="C138" s="119" t="s">
        <v>343</v>
      </c>
      <c r="D138" s="114" t="s">
        <v>344</v>
      </c>
      <c r="E138" s="94"/>
      <c r="F138" s="23"/>
      <c r="G138" s="52"/>
    </row>
    <row r="139" spans="1:7" ht="42.8" customHeight="1">
      <c r="A139" s="112" t="s">
        <v>349</v>
      </c>
      <c r="B139" s="23" t="s">
        <v>350</v>
      </c>
      <c r="C139" s="119" t="s">
        <v>343</v>
      </c>
      <c r="D139" s="114" t="s">
        <v>344</v>
      </c>
      <c r="E139" s="94"/>
      <c r="F139" s="23"/>
      <c r="G139" s="52"/>
    </row>
    <row r="140" spans="1:7" ht="30.2" customHeight="1">
      <c r="A140" s="112" t="s">
        <v>351</v>
      </c>
      <c r="B140" s="23" t="s">
        <v>352</v>
      </c>
      <c r="C140" s="119" t="s">
        <v>343</v>
      </c>
      <c r="D140" s="114" t="s">
        <v>353</v>
      </c>
      <c r="E140" s="94"/>
      <c r="F140" s="23"/>
      <c r="G140" s="52"/>
    </row>
    <row r="141" spans="1:7" ht="30.2" customHeight="1">
      <c r="A141" s="112" t="s">
        <v>354</v>
      </c>
      <c r="B141" s="23" t="s">
        <v>355</v>
      </c>
      <c r="C141" s="119" t="s">
        <v>343</v>
      </c>
      <c r="D141" s="114" t="s">
        <v>353</v>
      </c>
      <c r="E141" s="94"/>
      <c r="F141" s="23"/>
      <c r="G141" s="52"/>
    </row>
    <row r="142" spans="1:7" ht="30.2" customHeight="1">
      <c r="A142" s="112" t="s">
        <v>356</v>
      </c>
      <c r="B142" s="23" t="s">
        <v>357</v>
      </c>
      <c r="C142" s="119" t="s">
        <v>343</v>
      </c>
      <c r="D142" s="114" t="s">
        <v>353</v>
      </c>
      <c r="E142" s="94"/>
      <c r="F142" s="23"/>
      <c r="G142" s="52"/>
    </row>
    <row r="143" spans="1:7" ht="42.8" customHeight="1">
      <c r="A143" s="112" t="s">
        <v>358</v>
      </c>
      <c r="B143" s="23" t="s">
        <v>359</v>
      </c>
      <c r="C143" s="119" t="s">
        <v>343</v>
      </c>
      <c r="D143" s="114" t="s">
        <v>353</v>
      </c>
      <c r="E143" s="94"/>
      <c r="F143" s="23"/>
      <c r="G143" s="52"/>
    </row>
    <row r="145" spans="1:7" ht="24" customHeight="1">
      <c r="A145" s="107" t="s">
        <v>364</v>
      </c>
      <c r="B145" s="108"/>
      <c r="C145" s="109" t="str">
        <f>IF($B145="","Pick the property in the yellow cell",COUNTIF($E147:$E171,"Yes")&amp;" yes  |  "&amp;COUNTIF($E147:$E171,"No")&amp;" NO  |  "&amp;COUNTIF($E147:$E171,"N/A")&amp;" n/a  |  "&amp;(ROWS($E147:$E171)-COUNTIF($E147:$E171,"Yes")-COUNTIF($E147:$E171,"No")-COUNTIF($E147:$E171,"N/A"))&amp;" not answered")</f>
        <v>Pick the property in the yellow cell</v>
      </c>
      <c r="D145" s="110"/>
      <c r="E145" s="110"/>
      <c r="F145" s="110"/>
      <c r="G145" s="110"/>
    </row>
    <row r="146" spans="1:7" ht="20" customHeight="1">
      <c r="A146" s="80" t="s">
        <v>282</v>
      </c>
      <c r="B146" s="80" t="s">
        <v>283</v>
      </c>
      <c r="C146" s="80" t="s">
        <v>284</v>
      </c>
      <c r="D146" s="80" t="s">
        <v>285</v>
      </c>
      <c r="E146" s="80" t="s">
        <v>286</v>
      </c>
      <c r="F146" s="80" t="s">
        <v>287</v>
      </c>
      <c r="G146" s="80" t="s">
        <v>288</v>
      </c>
    </row>
    <row r="147" spans="1:7" ht="42.8" customHeight="1">
      <c r="A147" s="112" t="s">
        <v>289</v>
      </c>
      <c r="B147" s="23" t="s">
        <v>290</v>
      </c>
      <c r="C147" s="113" t="s">
        <v>291</v>
      </c>
      <c r="D147" s="114" t="s">
        <v>292</v>
      </c>
      <c r="E147" s="94"/>
      <c r="F147" s="23"/>
      <c r="G147" s="52"/>
    </row>
    <row r="148" spans="1:7" ht="42.8" customHeight="1">
      <c r="A148" s="112" t="s">
        <v>293</v>
      </c>
      <c r="B148" s="23" t="s">
        <v>294</v>
      </c>
      <c r="C148" s="113" t="s">
        <v>291</v>
      </c>
      <c r="D148" s="114" t="s">
        <v>295</v>
      </c>
      <c r="E148" s="94"/>
      <c r="F148" s="23"/>
      <c r="G148" s="52"/>
    </row>
    <row r="149" spans="1:7" ht="42.8" customHeight="1">
      <c r="A149" s="112" t="s">
        <v>296</v>
      </c>
      <c r="B149" s="23" t="s">
        <v>297</v>
      </c>
      <c r="C149" s="113" t="s">
        <v>291</v>
      </c>
      <c r="D149" s="114" t="s">
        <v>298</v>
      </c>
      <c r="E149" s="94"/>
      <c r="F149" s="23"/>
      <c r="G149" s="52"/>
    </row>
    <row r="150" spans="1:7" ht="42.8" customHeight="1">
      <c r="A150" s="112" t="s">
        <v>299</v>
      </c>
      <c r="B150" s="23" t="s">
        <v>300</v>
      </c>
      <c r="C150" s="113" t="s">
        <v>291</v>
      </c>
      <c r="D150" s="114" t="s">
        <v>301</v>
      </c>
      <c r="E150" s="94"/>
      <c r="F150" s="23"/>
      <c r="G150" s="52"/>
    </row>
    <row r="151" spans="1:7" ht="42.8" customHeight="1">
      <c r="A151" s="112" t="s">
        <v>302</v>
      </c>
      <c r="B151" s="23" t="s">
        <v>303</v>
      </c>
      <c r="C151" s="113" t="s">
        <v>291</v>
      </c>
      <c r="D151" s="114" t="s">
        <v>304</v>
      </c>
      <c r="E151" s="94"/>
      <c r="F151" s="23"/>
      <c r="G151" s="52"/>
    </row>
    <row r="152" spans="1:7" ht="30.2" customHeight="1">
      <c r="A152" s="112" t="s">
        <v>305</v>
      </c>
      <c r="B152" s="23" t="s">
        <v>306</v>
      </c>
      <c r="C152" s="113" t="s">
        <v>291</v>
      </c>
      <c r="D152" s="114" t="s">
        <v>307</v>
      </c>
      <c r="E152" s="94"/>
      <c r="F152" s="23"/>
      <c r="G152" s="52"/>
    </row>
    <row r="153" spans="1:7" ht="55.4" customHeight="1">
      <c r="A153" s="112" t="s">
        <v>308</v>
      </c>
      <c r="B153" s="23" t="s">
        <v>309</v>
      </c>
      <c r="C153" s="113" t="s">
        <v>291</v>
      </c>
      <c r="D153" s="114" t="s">
        <v>310</v>
      </c>
      <c r="E153" s="94"/>
      <c r="F153" s="23"/>
      <c r="G153" s="52"/>
    </row>
    <row r="154" spans="1:7" ht="30.2" customHeight="1">
      <c r="A154" s="112" t="s">
        <v>311</v>
      </c>
      <c r="B154" s="23" t="s">
        <v>312</v>
      </c>
      <c r="C154" s="113" t="s">
        <v>291</v>
      </c>
      <c r="D154" s="114" t="s">
        <v>313</v>
      </c>
      <c r="E154" s="94"/>
      <c r="F154" s="23"/>
      <c r="G154" s="52"/>
    </row>
    <row r="155" spans="1:7" ht="30.2" customHeight="1">
      <c r="A155" s="112" t="s">
        <v>314</v>
      </c>
      <c r="B155" s="23" t="s">
        <v>315</v>
      </c>
      <c r="C155" s="113" t="s">
        <v>291</v>
      </c>
      <c r="D155" s="114" t="s">
        <v>316</v>
      </c>
      <c r="E155" s="94"/>
      <c r="F155" s="23"/>
      <c r="G155" s="52"/>
    </row>
    <row r="156" spans="1:7" ht="30.2" customHeight="1">
      <c r="A156" s="112" t="s">
        <v>317</v>
      </c>
      <c r="B156" s="23" t="s">
        <v>318</v>
      </c>
      <c r="C156" s="113" t="s">
        <v>291</v>
      </c>
      <c r="D156" s="114" t="s">
        <v>319</v>
      </c>
      <c r="E156" s="94"/>
      <c r="F156" s="23"/>
      <c r="G156" s="52"/>
    </row>
    <row r="157" spans="1:7" ht="30.2" customHeight="1">
      <c r="A157" s="112" t="s">
        <v>320</v>
      </c>
      <c r="B157" s="23" t="s">
        <v>321</v>
      </c>
      <c r="C157" s="119" t="s">
        <v>36</v>
      </c>
      <c r="D157" s="114" t="s">
        <v>322</v>
      </c>
      <c r="E157" s="94"/>
      <c r="F157" s="23"/>
      <c r="G157" s="52"/>
    </row>
    <row r="158" spans="1:7" ht="42.8" customHeight="1">
      <c r="A158" s="112" t="s">
        <v>323</v>
      </c>
      <c r="B158" s="23" t="s">
        <v>324</v>
      </c>
      <c r="C158" s="119" t="s">
        <v>36</v>
      </c>
      <c r="D158" s="114" t="s">
        <v>325</v>
      </c>
      <c r="E158" s="94"/>
      <c r="F158" s="23"/>
      <c r="G158" s="52"/>
    </row>
    <row r="159" spans="1:7" ht="42.8" customHeight="1">
      <c r="A159" s="112" t="s">
        <v>326</v>
      </c>
      <c r="B159" s="23" t="s">
        <v>327</v>
      </c>
      <c r="C159" s="119" t="s">
        <v>36</v>
      </c>
      <c r="D159" s="114" t="s">
        <v>328</v>
      </c>
      <c r="E159" s="94"/>
      <c r="F159" s="23"/>
      <c r="G159" s="52"/>
    </row>
    <row r="160" spans="1:7" ht="30.2" customHeight="1">
      <c r="A160" s="112" t="s">
        <v>329</v>
      </c>
      <c r="B160" s="23" t="s">
        <v>330</v>
      </c>
      <c r="C160" s="119" t="s">
        <v>36</v>
      </c>
      <c r="D160" s="114" t="s">
        <v>331</v>
      </c>
      <c r="E160" s="94"/>
      <c r="F160" s="23"/>
      <c r="G160" s="52"/>
    </row>
    <row r="161" spans="1:7" ht="42.8" customHeight="1">
      <c r="A161" s="112" t="s">
        <v>332</v>
      </c>
      <c r="B161" s="23" t="s">
        <v>333</v>
      </c>
      <c r="C161" s="119" t="s">
        <v>36</v>
      </c>
      <c r="D161" s="114" t="s">
        <v>334</v>
      </c>
      <c r="E161" s="94"/>
      <c r="F161" s="23"/>
      <c r="G161" s="52"/>
    </row>
    <row r="162" spans="1:7" ht="42.8" customHeight="1">
      <c r="A162" s="112" t="s">
        <v>335</v>
      </c>
      <c r="B162" s="23" t="s">
        <v>336</v>
      </c>
      <c r="C162" s="119" t="s">
        <v>36</v>
      </c>
      <c r="D162" s="114" t="s">
        <v>337</v>
      </c>
      <c r="E162" s="94"/>
      <c r="F162" s="23"/>
      <c r="G162" s="52"/>
    </row>
    <row r="163" spans="1:7" ht="42.8" customHeight="1">
      <c r="A163" s="112" t="s">
        <v>338</v>
      </c>
      <c r="B163" s="23" t="s">
        <v>339</v>
      </c>
      <c r="C163" s="119" t="s">
        <v>36</v>
      </c>
      <c r="D163" s="114" t="s">
        <v>340</v>
      </c>
      <c r="E163" s="94"/>
      <c r="F163" s="23"/>
      <c r="G163" s="52"/>
    </row>
    <row r="164" spans="1:7" ht="42.8" customHeight="1">
      <c r="A164" s="112" t="s">
        <v>341</v>
      </c>
      <c r="B164" s="23" t="s">
        <v>342</v>
      </c>
      <c r="C164" s="119" t="s">
        <v>343</v>
      </c>
      <c r="D164" s="114" t="s">
        <v>344</v>
      </c>
      <c r="E164" s="94"/>
      <c r="F164" s="23"/>
      <c r="G164" s="52"/>
    </row>
    <row r="165" spans="1:7" ht="42.8" customHeight="1">
      <c r="A165" s="112" t="s">
        <v>345</v>
      </c>
      <c r="B165" s="23" t="s">
        <v>346</v>
      </c>
      <c r="C165" s="119" t="s">
        <v>343</v>
      </c>
      <c r="D165" s="114" t="s">
        <v>344</v>
      </c>
      <c r="E165" s="94"/>
      <c r="F165" s="23"/>
      <c r="G165" s="52"/>
    </row>
    <row r="166" spans="1:7" ht="42.8" customHeight="1">
      <c r="A166" s="112" t="s">
        <v>347</v>
      </c>
      <c r="B166" s="23" t="s">
        <v>348</v>
      </c>
      <c r="C166" s="119" t="s">
        <v>343</v>
      </c>
      <c r="D166" s="114" t="s">
        <v>344</v>
      </c>
      <c r="E166" s="94"/>
      <c r="F166" s="23"/>
      <c r="G166" s="52"/>
    </row>
    <row r="167" spans="1:7" ht="42.8" customHeight="1">
      <c r="A167" s="112" t="s">
        <v>349</v>
      </c>
      <c r="B167" s="23" t="s">
        <v>350</v>
      </c>
      <c r="C167" s="119" t="s">
        <v>343</v>
      </c>
      <c r="D167" s="114" t="s">
        <v>344</v>
      </c>
      <c r="E167" s="94"/>
      <c r="F167" s="23"/>
      <c r="G167" s="52"/>
    </row>
    <row r="168" spans="1:7" ht="30.2" customHeight="1">
      <c r="A168" s="112" t="s">
        <v>351</v>
      </c>
      <c r="B168" s="23" t="s">
        <v>352</v>
      </c>
      <c r="C168" s="119" t="s">
        <v>343</v>
      </c>
      <c r="D168" s="114" t="s">
        <v>353</v>
      </c>
      <c r="E168" s="94"/>
      <c r="F168" s="23"/>
      <c r="G168" s="52"/>
    </row>
    <row r="169" spans="1:7" ht="30.2" customHeight="1">
      <c r="A169" s="112" t="s">
        <v>354</v>
      </c>
      <c r="B169" s="23" t="s">
        <v>355</v>
      </c>
      <c r="C169" s="119" t="s">
        <v>343</v>
      </c>
      <c r="D169" s="114" t="s">
        <v>353</v>
      </c>
      <c r="E169" s="94"/>
      <c r="F169" s="23"/>
      <c r="G169" s="52"/>
    </row>
    <row r="170" spans="1:7" ht="30.2" customHeight="1">
      <c r="A170" s="112" t="s">
        <v>356</v>
      </c>
      <c r="B170" s="23" t="s">
        <v>357</v>
      </c>
      <c r="C170" s="119" t="s">
        <v>343</v>
      </c>
      <c r="D170" s="114" t="s">
        <v>353</v>
      </c>
      <c r="E170" s="94"/>
      <c r="F170" s="23"/>
      <c r="G170" s="52"/>
    </row>
    <row r="171" spans="1:7" ht="42.8" customHeight="1">
      <c r="A171" s="112" t="s">
        <v>358</v>
      </c>
      <c r="B171" s="23" t="s">
        <v>359</v>
      </c>
      <c r="C171" s="119" t="s">
        <v>343</v>
      </c>
      <c r="D171" s="114" t="s">
        <v>353</v>
      </c>
      <c r="E171" s="94"/>
      <c r="F171" s="23"/>
      <c r="G171" s="52"/>
    </row>
    <row r="173" spans="1:7" ht="24" customHeight="1">
      <c r="A173" s="107" t="s">
        <v>365</v>
      </c>
      <c r="B173" s="108"/>
      <c r="C173" s="109" t="str">
        <f>IF($B173="","Pick the property in the yellow cell",COUNTIF($E175:$E199,"Yes")&amp;" yes  |  "&amp;COUNTIF($E175:$E199,"No")&amp;" NO  |  "&amp;COUNTIF($E175:$E199,"N/A")&amp;" n/a  |  "&amp;(ROWS($E175:$E199)-COUNTIF($E175:$E199,"Yes")-COUNTIF($E175:$E199,"No")-COUNTIF($E175:$E199,"N/A"))&amp;" not answered")</f>
        <v>Pick the property in the yellow cell</v>
      </c>
      <c r="D173" s="110"/>
      <c r="E173" s="110"/>
      <c r="F173" s="110"/>
      <c r="G173" s="110"/>
    </row>
    <row r="174" spans="1:7" ht="20" customHeight="1">
      <c r="A174" s="80" t="s">
        <v>282</v>
      </c>
      <c r="B174" s="80" t="s">
        <v>283</v>
      </c>
      <c r="C174" s="80" t="s">
        <v>284</v>
      </c>
      <c r="D174" s="80" t="s">
        <v>285</v>
      </c>
      <c r="E174" s="80" t="s">
        <v>286</v>
      </c>
      <c r="F174" s="80" t="s">
        <v>287</v>
      </c>
      <c r="G174" s="80" t="s">
        <v>288</v>
      </c>
    </row>
    <row r="175" spans="1:7" ht="42.8" customHeight="1">
      <c r="A175" s="112" t="s">
        <v>289</v>
      </c>
      <c r="B175" s="23" t="s">
        <v>290</v>
      </c>
      <c r="C175" s="113" t="s">
        <v>291</v>
      </c>
      <c r="D175" s="114" t="s">
        <v>292</v>
      </c>
      <c r="E175" s="94"/>
      <c r="F175" s="23"/>
      <c r="G175" s="52"/>
    </row>
    <row r="176" spans="1:7" ht="42.8" customHeight="1">
      <c r="A176" s="112" t="s">
        <v>293</v>
      </c>
      <c r="B176" s="23" t="s">
        <v>294</v>
      </c>
      <c r="C176" s="113" t="s">
        <v>291</v>
      </c>
      <c r="D176" s="114" t="s">
        <v>295</v>
      </c>
      <c r="E176" s="94"/>
      <c r="F176" s="23"/>
      <c r="G176" s="52"/>
    </row>
    <row r="177" spans="1:7" ht="42.8" customHeight="1">
      <c r="A177" s="112" t="s">
        <v>296</v>
      </c>
      <c r="B177" s="23" t="s">
        <v>297</v>
      </c>
      <c r="C177" s="113" t="s">
        <v>291</v>
      </c>
      <c r="D177" s="114" t="s">
        <v>298</v>
      </c>
      <c r="E177" s="94"/>
      <c r="F177" s="23"/>
      <c r="G177" s="52"/>
    </row>
    <row r="178" spans="1:7" ht="42.8" customHeight="1">
      <c r="A178" s="112" t="s">
        <v>299</v>
      </c>
      <c r="B178" s="23" t="s">
        <v>300</v>
      </c>
      <c r="C178" s="113" t="s">
        <v>291</v>
      </c>
      <c r="D178" s="114" t="s">
        <v>301</v>
      </c>
      <c r="E178" s="94"/>
      <c r="F178" s="23"/>
      <c r="G178" s="52"/>
    </row>
    <row r="179" spans="1:7" ht="42.8" customHeight="1">
      <c r="A179" s="112" t="s">
        <v>302</v>
      </c>
      <c r="B179" s="23" t="s">
        <v>303</v>
      </c>
      <c r="C179" s="113" t="s">
        <v>291</v>
      </c>
      <c r="D179" s="114" t="s">
        <v>304</v>
      </c>
      <c r="E179" s="94"/>
      <c r="F179" s="23"/>
      <c r="G179" s="52"/>
    </row>
    <row r="180" spans="1:7" ht="30.2" customHeight="1">
      <c r="A180" s="112" t="s">
        <v>305</v>
      </c>
      <c r="B180" s="23" t="s">
        <v>306</v>
      </c>
      <c r="C180" s="113" t="s">
        <v>291</v>
      </c>
      <c r="D180" s="114" t="s">
        <v>307</v>
      </c>
      <c r="E180" s="94"/>
      <c r="F180" s="23"/>
      <c r="G180" s="52"/>
    </row>
    <row r="181" spans="1:7" ht="55.4" customHeight="1">
      <c r="A181" s="112" t="s">
        <v>308</v>
      </c>
      <c r="B181" s="23" t="s">
        <v>309</v>
      </c>
      <c r="C181" s="113" t="s">
        <v>291</v>
      </c>
      <c r="D181" s="114" t="s">
        <v>310</v>
      </c>
      <c r="E181" s="94"/>
      <c r="F181" s="23"/>
      <c r="G181" s="52"/>
    </row>
    <row r="182" spans="1:7" ht="30.2" customHeight="1">
      <c r="A182" s="112" t="s">
        <v>311</v>
      </c>
      <c r="B182" s="23" t="s">
        <v>312</v>
      </c>
      <c r="C182" s="113" t="s">
        <v>291</v>
      </c>
      <c r="D182" s="114" t="s">
        <v>313</v>
      </c>
      <c r="E182" s="94"/>
      <c r="F182" s="23"/>
      <c r="G182" s="52"/>
    </row>
    <row r="183" spans="1:7" ht="30.2" customHeight="1">
      <c r="A183" s="112" t="s">
        <v>314</v>
      </c>
      <c r="B183" s="23" t="s">
        <v>315</v>
      </c>
      <c r="C183" s="113" t="s">
        <v>291</v>
      </c>
      <c r="D183" s="114" t="s">
        <v>316</v>
      </c>
      <c r="E183" s="94"/>
      <c r="F183" s="23"/>
      <c r="G183" s="52"/>
    </row>
    <row r="184" spans="1:7" ht="30.2" customHeight="1">
      <c r="A184" s="112" t="s">
        <v>317</v>
      </c>
      <c r="B184" s="23" t="s">
        <v>318</v>
      </c>
      <c r="C184" s="113" t="s">
        <v>291</v>
      </c>
      <c r="D184" s="114" t="s">
        <v>319</v>
      </c>
      <c r="E184" s="94"/>
      <c r="F184" s="23"/>
      <c r="G184" s="52"/>
    </row>
    <row r="185" spans="1:7" ht="30.2" customHeight="1">
      <c r="A185" s="112" t="s">
        <v>320</v>
      </c>
      <c r="B185" s="23" t="s">
        <v>321</v>
      </c>
      <c r="C185" s="119" t="s">
        <v>36</v>
      </c>
      <c r="D185" s="114" t="s">
        <v>322</v>
      </c>
      <c r="E185" s="94"/>
      <c r="F185" s="23"/>
      <c r="G185" s="52"/>
    </row>
    <row r="186" spans="1:7" ht="42.8" customHeight="1">
      <c r="A186" s="112" t="s">
        <v>323</v>
      </c>
      <c r="B186" s="23" t="s">
        <v>324</v>
      </c>
      <c r="C186" s="119" t="s">
        <v>36</v>
      </c>
      <c r="D186" s="114" t="s">
        <v>325</v>
      </c>
      <c r="E186" s="94"/>
      <c r="F186" s="23"/>
      <c r="G186" s="52"/>
    </row>
    <row r="187" spans="1:7" ht="42.8" customHeight="1">
      <c r="A187" s="112" t="s">
        <v>326</v>
      </c>
      <c r="B187" s="23" t="s">
        <v>327</v>
      </c>
      <c r="C187" s="119" t="s">
        <v>36</v>
      </c>
      <c r="D187" s="114" t="s">
        <v>328</v>
      </c>
      <c r="E187" s="94"/>
      <c r="F187" s="23"/>
      <c r="G187" s="52"/>
    </row>
    <row r="188" spans="1:7" ht="30.2" customHeight="1">
      <c r="A188" s="112" t="s">
        <v>329</v>
      </c>
      <c r="B188" s="23" t="s">
        <v>330</v>
      </c>
      <c r="C188" s="119" t="s">
        <v>36</v>
      </c>
      <c r="D188" s="114" t="s">
        <v>331</v>
      </c>
      <c r="E188" s="94"/>
      <c r="F188" s="23"/>
      <c r="G188" s="52"/>
    </row>
    <row r="189" spans="1:7" ht="42.8" customHeight="1">
      <c r="A189" s="112" t="s">
        <v>332</v>
      </c>
      <c r="B189" s="23" t="s">
        <v>333</v>
      </c>
      <c r="C189" s="119" t="s">
        <v>36</v>
      </c>
      <c r="D189" s="114" t="s">
        <v>334</v>
      </c>
      <c r="E189" s="94"/>
      <c r="F189" s="23"/>
      <c r="G189" s="52"/>
    </row>
    <row r="190" spans="1:7" ht="42.8" customHeight="1">
      <c r="A190" s="112" t="s">
        <v>335</v>
      </c>
      <c r="B190" s="23" t="s">
        <v>336</v>
      </c>
      <c r="C190" s="119" t="s">
        <v>36</v>
      </c>
      <c r="D190" s="114" t="s">
        <v>337</v>
      </c>
      <c r="E190" s="94"/>
      <c r="F190" s="23"/>
      <c r="G190" s="52"/>
    </row>
    <row r="191" spans="1:7" ht="42.8" customHeight="1">
      <c r="A191" s="112" t="s">
        <v>338</v>
      </c>
      <c r="B191" s="23" t="s">
        <v>339</v>
      </c>
      <c r="C191" s="119" t="s">
        <v>36</v>
      </c>
      <c r="D191" s="114" t="s">
        <v>340</v>
      </c>
      <c r="E191" s="94"/>
      <c r="F191" s="23"/>
      <c r="G191" s="52"/>
    </row>
    <row r="192" spans="1:7" ht="42.8" customHeight="1">
      <c r="A192" s="112" t="s">
        <v>341</v>
      </c>
      <c r="B192" s="23" t="s">
        <v>342</v>
      </c>
      <c r="C192" s="119" t="s">
        <v>343</v>
      </c>
      <c r="D192" s="114" t="s">
        <v>344</v>
      </c>
      <c r="E192" s="94"/>
      <c r="F192" s="23"/>
      <c r="G192" s="52"/>
    </row>
    <row r="193" spans="1:7" ht="42.8" customHeight="1">
      <c r="A193" s="112" t="s">
        <v>345</v>
      </c>
      <c r="B193" s="23" t="s">
        <v>346</v>
      </c>
      <c r="C193" s="119" t="s">
        <v>343</v>
      </c>
      <c r="D193" s="114" t="s">
        <v>344</v>
      </c>
      <c r="E193" s="94"/>
      <c r="F193" s="23"/>
      <c r="G193" s="52"/>
    </row>
    <row r="194" spans="1:7" ht="42.8" customHeight="1">
      <c r="A194" s="112" t="s">
        <v>347</v>
      </c>
      <c r="B194" s="23" t="s">
        <v>348</v>
      </c>
      <c r="C194" s="119" t="s">
        <v>343</v>
      </c>
      <c r="D194" s="114" t="s">
        <v>344</v>
      </c>
      <c r="E194" s="94"/>
      <c r="F194" s="23"/>
      <c r="G194" s="52"/>
    </row>
    <row r="195" spans="1:7" ht="42.8" customHeight="1">
      <c r="A195" s="112" t="s">
        <v>349</v>
      </c>
      <c r="B195" s="23" t="s">
        <v>350</v>
      </c>
      <c r="C195" s="119" t="s">
        <v>343</v>
      </c>
      <c r="D195" s="114" t="s">
        <v>344</v>
      </c>
      <c r="E195" s="94"/>
      <c r="F195" s="23"/>
      <c r="G195" s="52"/>
    </row>
    <row r="196" spans="1:7" ht="30.2" customHeight="1">
      <c r="A196" s="112" t="s">
        <v>351</v>
      </c>
      <c r="B196" s="23" t="s">
        <v>352</v>
      </c>
      <c r="C196" s="119" t="s">
        <v>343</v>
      </c>
      <c r="D196" s="114" t="s">
        <v>353</v>
      </c>
      <c r="E196" s="94"/>
      <c r="F196" s="23"/>
      <c r="G196" s="52"/>
    </row>
    <row r="197" spans="1:7" ht="30.2" customHeight="1">
      <c r="A197" s="112" t="s">
        <v>354</v>
      </c>
      <c r="B197" s="23" t="s">
        <v>355</v>
      </c>
      <c r="C197" s="119" t="s">
        <v>343</v>
      </c>
      <c r="D197" s="114" t="s">
        <v>353</v>
      </c>
      <c r="E197" s="94"/>
      <c r="F197" s="23"/>
      <c r="G197" s="52"/>
    </row>
    <row r="198" spans="1:7" ht="30.2" customHeight="1">
      <c r="A198" s="112" t="s">
        <v>356</v>
      </c>
      <c r="B198" s="23" t="s">
        <v>357</v>
      </c>
      <c r="C198" s="119" t="s">
        <v>343</v>
      </c>
      <c r="D198" s="114" t="s">
        <v>353</v>
      </c>
      <c r="E198" s="94"/>
      <c r="F198" s="23"/>
      <c r="G198" s="52"/>
    </row>
    <row r="199" spans="1:7" ht="42.8" customHeight="1">
      <c r="A199" s="112" t="s">
        <v>358</v>
      </c>
      <c r="B199" s="23" t="s">
        <v>359</v>
      </c>
      <c r="C199" s="119" t="s">
        <v>343</v>
      </c>
      <c r="D199" s="114" t="s">
        <v>353</v>
      </c>
      <c r="E199" s="94"/>
      <c r="F199" s="23"/>
      <c r="G199" s="52"/>
    </row>
    <row r="201" spans="1:7" ht="24" customHeight="1">
      <c r="A201" s="107" t="s">
        <v>366</v>
      </c>
      <c r="B201" s="108"/>
      <c r="C201" s="109" t="str">
        <f>IF($B201="","Pick the property in the yellow cell",COUNTIF($E203:$E227,"Yes")&amp;" yes  |  "&amp;COUNTIF($E203:$E227,"No")&amp;" NO  |  "&amp;COUNTIF($E203:$E227,"N/A")&amp;" n/a  |  "&amp;(ROWS($E203:$E227)-COUNTIF($E203:$E227,"Yes")-COUNTIF($E203:$E227,"No")-COUNTIF($E203:$E227,"N/A"))&amp;" not answered")</f>
        <v>Pick the property in the yellow cell</v>
      </c>
      <c r="D201" s="110"/>
      <c r="E201" s="110"/>
      <c r="F201" s="110"/>
      <c r="G201" s="110"/>
    </row>
    <row r="202" spans="1:7" ht="20" customHeight="1">
      <c r="A202" s="80" t="s">
        <v>282</v>
      </c>
      <c r="B202" s="80" t="s">
        <v>283</v>
      </c>
      <c r="C202" s="80" t="s">
        <v>284</v>
      </c>
      <c r="D202" s="80" t="s">
        <v>285</v>
      </c>
      <c r="E202" s="80" t="s">
        <v>286</v>
      </c>
      <c r="F202" s="80" t="s">
        <v>287</v>
      </c>
      <c r="G202" s="80" t="s">
        <v>288</v>
      </c>
    </row>
    <row r="203" spans="1:7" ht="42.8" customHeight="1">
      <c r="A203" s="112" t="s">
        <v>289</v>
      </c>
      <c r="B203" s="23" t="s">
        <v>290</v>
      </c>
      <c r="C203" s="113" t="s">
        <v>291</v>
      </c>
      <c r="D203" s="114" t="s">
        <v>292</v>
      </c>
      <c r="E203" s="94"/>
      <c r="F203" s="23"/>
      <c r="G203" s="52"/>
    </row>
    <row r="204" spans="1:7" ht="42.8" customHeight="1">
      <c r="A204" s="112" t="s">
        <v>293</v>
      </c>
      <c r="B204" s="23" t="s">
        <v>294</v>
      </c>
      <c r="C204" s="113" t="s">
        <v>291</v>
      </c>
      <c r="D204" s="114" t="s">
        <v>295</v>
      </c>
      <c r="E204" s="94"/>
      <c r="F204" s="23"/>
      <c r="G204" s="52"/>
    </row>
    <row r="205" spans="1:7" ht="42.8" customHeight="1">
      <c r="A205" s="112" t="s">
        <v>296</v>
      </c>
      <c r="B205" s="23" t="s">
        <v>297</v>
      </c>
      <c r="C205" s="113" t="s">
        <v>291</v>
      </c>
      <c r="D205" s="114" t="s">
        <v>298</v>
      </c>
      <c r="E205" s="94"/>
      <c r="F205" s="23"/>
      <c r="G205" s="52"/>
    </row>
    <row r="206" spans="1:7" ht="42.8" customHeight="1">
      <c r="A206" s="112" t="s">
        <v>299</v>
      </c>
      <c r="B206" s="23" t="s">
        <v>300</v>
      </c>
      <c r="C206" s="113" t="s">
        <v>291</v>
      </c>
      <c r="D206" s="114" t="s">
        <v>301</v>
      </c>
      <c r="E206" s="94"/>
      <c r="F206" s="23"/>
      <c r="G206" s="52"/>
    </row>
    <row r="207" spans="1:7" ht="42.8" customHeight="1">
      <c r="A207" s="112" t="s">
        <v>302</v>
      </c>
      <c r="B207" s="23" t="s">
        <v>303</v>
      </c>
      <c r="C207" s="113" t="s">
        <v>291</v>
      </c>
      <c r="D207" s="114" t="s">
        <v>304</v>
      </c>
      <c r="E207" s="94"/>
      <c r="F207" s="23"/>
      <c r="G207" s="52"/>
    </row>
    <row r="208" spans="1:7" ht="30.2" customHeight="1">
      <c r="A208" s="112" t="s">
        <v>305</v>
      </c>
      <c r="B208" s="23" t="s">
        <v>306</v>
      </c>
      <c r="C208" s="113" t="s">
        <v>291</v>
      </c>
      <c r="D208" s="114" t="s">
        <v>307</v>
      </c>
      <c r="E208" s="94"/>
      <c r="F208" s="23"/>
      <c r="G208" s="52"/>
    </row>
    <row r="209" spans="1:7" ht="55.4" customHeight="1">
      <c r="A209" s="112" t="s">
        <v>308</v>
      </c>
      <c r="B209" s="23" t="s">
        <v>309</v>
      </c>
      <c r="C209" s="113" t="s">
        <v>291</v>
      </c>
      <c r="D209" s="114" t="s">
        <v>310</v>
      </c>
      <c r="E209" s="94"/>
      <c r="F209" s="23"/>
      <c r="G209" s="52"/>
    </row>
    <row r="210" spans="1:7" ht="30.2" customHeight="1">
      <c r="A210" s="112" t="s">
        <v>311</v>
      </c>
      <c r="B210" s="23" t="s">
        <v>312</v>
      </c>
      <c r="C210" s="113" t="s">
        <v>291</v>
      </c>
      <c r="D210" s="114" t="s">
        <v>313</v>
      </c>
      <c r="E210" s="94"/>
      <c r="F210" s="23"/>
      <c r="G210" s="52"/>
    </row>
    <row r="211" spans="1:7" ht="30.2" customHeight="1">
      <c r="A211" s="112" t="s">
        <v>314</v>
      </c>
      <c r="B211" s="23" t="s">
        <v>315</v>
      </c>
      <c r="C211" s="113" t="s">
        <v>291</v>
      </c>
      <c r="D211" s="114" t="s">
        <v>316</v>
      </c>
      <c r="E211" s="94"/>
      <c r="F211" s="23"/>
      <c r="G211" s="52"/>
    </row>
    <row r="212" spans="1:7" ht="30.2" customHeight="1">
      <c r="A212" s="112" t="s">
        <v>317</v>
      </c>
      <c r="B212" s="23" t="s">
        <v>318</v>
      </c>
      <c r="C212" s="113" t="s">
        <v>291</v>
      </c>
      <c r="D212" s="114" t="s">
        <v>319</v>
      </c>
      <c r="E212" s="94"/>
      <c r="F212" s="23"/>
      <c r="G212" s="52"/>
    </row>
    <row r="213" spans="1:7" ht="30.2" customHeight="1">
      <c r="A213" s="112" t="s">
        <v>320</v>
      </c>
      <c r="B213" s="23" t="s">
        <v>321</v>
      </c>
      <c r="C213" s="119" t="s">
        <v>36</v>
      </c>
      <c r="D213" s="114" t="s">
        <v>322</v>
      </c>
      <c r="E213" s="94"/>
      <c r="F213" s="23"/>
      <c r="G213" s="52"/>
    </row>
    <row r="214" spans="1:7" ht="42.8" customHeight="1">
      <c r="A214" s="112" t="s">
        <v>323</v>
      </c>
      <c r="B214" s="23" t="s">
        <v>324</v>
      </c>
      <c r="C214" s="119" t="s">
        <v>36</v>
      </c>
      <c r="D214" s="114" t="s">
        <v>325</v>
      </c>
      <c r="E214" s="94"/>
      <c r="F214" s="23"/>
      <c r="G214" s="52"/>
    </row>
    <row r="215" spans="1:7" ht="42.8" customHeight="1">
      <c r="A215" s="112" t="s">
        <v>326</v>
      </c>
      <c r="B215" s="23" t="s">
        <v>327</v>
      </c>
      <c r="C215" s="119" t="s">
        <v>36</v>
      </c>
      <c r="D215" s="114" t="s">
        <v>328</v>
      </c>
      <c r="E215" s="94"/>
      <c r="F215" s="23"/>
      <c r="G215" s="52"/>
    </row>
    <row r="216" spans="1:7" ht="30.2" customHeight="1">
      <c r="A216" s="112" t="s">
        <v>329</v>
      </c>
      <c r="B216" s="23" t="s">
        <v>330</v>
      </c>
      <c r="C216" s="119" t="s">
        <v>36</v>
      </c>
      <c r="D216" s="114" t="s">
        <v>331</v>
      </c>
      <c r="E216" s="94"/>
      <c r="F216" s="23"/>
      <c r="G216" s="52"/>
    </row>
    <row r="217" spans="1:7" ht="42.8" customHeight="1">
      <c r="A217" s="112" t="s">
        <v>332</v>
      </c>
      <c r="B217" s="23" t="s">
        <v>333</v>
      </c>
      <c r="C217" s="119" t="s">
        <v>36</v>
      </c>
      <c r="D217" s="114" t="s">
        <v>334</v>
      </c>
      <c r="E217" s="94"/>
      <c r="F217" s="23"/>
      <c r="G217" s="52"/>
    </row>
    <row r="218" spans="1:7" ht="42.8" customHeight="1">
      <c r="A218" s="112" t="s">
        <v>335</v>
      </c>
      <c r="B218" s="23" t="s">
        <v>336</v>
      </c>
      <c r="C218" s="119" t="s">
        <v>36</v>
      </c>
      <c r="D218" s="114" t="s">
        <v>337</v>
      </c>
      <c r="E218" s="94"/>
      <c r="F218" s="23"/>
      <c r="G218" s="52"/>
    </row>
    <row r="219" spans="1:7" ht="42.8" customHeight="1">
      <c r="A219" s="112" t="s">
        <v>338</v>
      </c>
      <c r="B219" s="23" t="s">
        <v>339</v>
      </c>
      <c r="C219" s="119" t="s">
        <v>36</v>
      </c>
      <c r="D219" s="114" t="s">
        <v>340</v>
      </c>
      <c r="E219" s="94"/>
      <c r="F219" s="23"/>
      <c r="G219" s="52"/>
    </row>
    <row r="220" spans="1:7" ht="42.8" customHeight="1">
      <c r="A220" s="112" t="s">
        <v>341</v>
      </c>
      <c r="B220" s="23" t="s">
        <v>342</v>
      </c>
      <c r="C220" s="119" t="s">
        <v>343</v>
      </c>
      <c r="D220" s="114" t="s">
        <v>344</v>
      </c>
      <c r="E220" s="94"/>
      <c r="F220" s="23"/>
      <c r="G220" s="52"/>
    </row>
    <row r="221" spans="1:7" ht="42.8" customHeight="1">
      <c r="A221" s="112" t="s">
        <v>345</v>
      </c>
      <c r="B221" s="23" t="s">
        <v>346</v>
      </c>
      <c r="C221" s="119" t="s">
        <v>343</v>
      </c>
      <c r="D221" s="114" t="s">
        <v>344</v>
      </c>
      <c r="E221" s="94"/>
      <c r="F221" s="23"/>
      <c r="G221" s="52"/>
    </row>
    <row r="222" spans="1:7" ht="42.8" customHeight="1">
      <c r="A222" s="112" t="s">
        <v>347</v>
      </c>
      <c r="B222" s="23" t="s">
        <v>348</v>
      </c>
      <c r="C222" s="119" t="s">
        <v>343</v>
      </c>
      <c r="D222" s="114" t="s">
        <v>344</v>
      </c>
      <c r="E222" s="94"/>
      <c r="F222" s="23"/>
      <c r="G222" s="52"/>
    </row>
    <row r="223" spans="1:7" ht="42.8" customHeight="1">
      <c r="A223" s="112" t="s">
        <v>349</v>
      </c>
      <c r="B223" s="23" t="s">
        <v>350</v>
      </c>
      <c r="C223" s="119" t="s">
        <v>343</v>
      </c>
      <c r="D223" s="114" t="s">
        <v>344</v>
      </c>
      <c r="E223" s="94"/>
      <c r="F223" s="23"/>
      <c r="G223" s="52"/>
    </row>
    <row r="224" spans="1:7" ht="30.2" customHeight="1">
      <c r="A224" s="112" t="s">
        <v>351</v>
      </c>
      <c r="B224" s="23" t="s">
        <v>352</v>
      </c>
      <c r="C224" s="119" t="s">
        <v>343</v>
      </c>
      <c r="D224" s="114" t="s">
        <v>353</v>
      </c>
      <c r="E224" s="94"/>
      <c r="F224" s="23"/>
      <c r="G224" s="52"/>
    </row>
    <row r="225" spans="1:7" ht="30.2" customHeight="1">
      <c r="A225" s="112" t="s">
        <v>354</v>
      </c>
      <c r="B225" s="23" t="s">
        <v>355</v>
      </c>
      <c r="C225" s="119" t="s">
        <v>343</v>
      </c>
      <c r="D225" s="114" t="s">
        <v>353</v>
      </c>
      <c r="E225" s="94"/>
      <c r="F225" s="23"/>
      <c r="G225" s="52"/>
    </row>
    <row r="226" spans="1:7" ht="30.2" customHeight="1">
      <c r="A226" s="112" t="s">
        <v>356</v>
      </c>
      <c r="B226" s="23" t="s">
        <v>357</v>
      </c>
      <c r="C226" s="119" t="s">
        <v>343</v>
      </c>
      <c r="D226" s="114" t="s">
        <v>353</v>
      </c>
      <c r="E226" s="94"/>
      <c r="F226" s="23"/>
      <c r="G226" s="52"/>
    </row>
    <row r="227" spans="1:7" ht="42.8" customHeight="1">
      <c r="A227" s="112" t="s">
        <v>358</v>
      </c>
      <c r="B227" s="23" t="s">
        <v>359</v>
      </c>
      <c r="C227" s="119" t="s">
        <v>343</v>
      </c>
      <c r="D227" s="114" t="s">
        <v>353</v>
      </c>
      <c r="E227" s="94"/>
      <c r="F227" s="23"/>
      <c r="G227" s="52"/>
    </row>
    <row r="229" spans="1:7" ht="24" customHeight="1">
      <c r="A229" s="107" t="s">
        <v>367</v>
      </c>
      <c r="B229" s="108"/>
      <c r="C229" s="109" t="str">
        <f>IF($B229="","Pick the property in the yellow cell",COUNTIF($E231:$E255,"Yes")&amp;" yes  |  "&amp;COUNTIF($E231:$E255,"No")&amp;" NO  |  "&amp;COUNTIF($E231:$E255,"N/A")&amp;" n/a  |  "&amp;(ROWS($E231:$E255)-COUNTIF($E231:$E255,"Yes")-COUNTIF($E231:$E255,"No")-COUNTIF($E231:$E255,"N/A"))&amp;" not answered")</f>
        <v>Pick the property in the yellow cell</v>
      </c>
      <c r="D229" s="110"/>
      <c r="E229" s="110"/>
      <c r="F229" s="110"/>
      <c r="G229" s="110"/>
    </row>
    <row r="230" spans="1:7" ht="20" customHeight="1">
      <c r="A230" s="80" t="s">
        <v>282</v>
      </c>
      <c r="B230" s="80" t="s">
        <v>283</v>
      </c>
      <c r="C230" s="80" t="s">
        <v>284</v>
      </c>
      <c r="D230" s="80" t="s">
        <v>285</v>
      </c>
      <c r="E230" s="80" t="s">
        <v>286</v>
      </c>
      <c r="F230" s="80" t="s">
        <v>287</v>
      </c>
      <c r="G230" s="80" t="s">
        <v>288</v>
      </c>
    </row>
    <row r="231" spans="1:7" ht="42.8" customHeight="1">
      <c r="A231" s="112" t="s">
        <v>289</v>
      </c>
      <c r="B231" s="23" t="s">
        <v>290</v>
      </c>
      <c r="C231" s="113" t="s">
        <v>291</v>
      </c>
      <c r="D231" s="114" t="s">
        <v>292</v>
      </c>
      <c r="E231" s="94"/>
      <c r="F231" s="23"/>
      <c r="G231" s="52"/>
    </row>
    <row r="232" spans="1:7" ht="42.8" customHeight="1">
      <c r="A232" s="112" t="s">
        <v>293</v>
      </c>
      <c r="B232" s="23" t="s">
        <v>294</v>
      </c>
      <c r="C232" s="113" t="s">
        <v>291</v>
      </c>
      <c r="D232" s="114" t="s">
        <v>295</v>
      </c>
      <c r="E232" s="94"/>
      <c r="F232" s="23"/>
      <c r="G232" s="52"/>
    </row>
    <row r="233" spans="1:7" ht="42.8" customHeight="1">
      <c r="A233" s="112" t="s">
        <v>296</v>
      </c>
      <c r="B233" s="23" t="s">
        <v>297</v>
      </c>
      <c r="C233" s="113" t="s">
        <v>291</v>
      </c>
      <c r="D233" s="114" t="s">
        <v>298</v>
      </c>
      <c r="E233" s="94"/>
      <c r="F233" s="23"/>
      <c r="G233" s="52"/>
    </row>
    <row r="234" spans="1:7" ht="42.8" customHeight="1">
      <c r="A234" s="112" t="s">
        <v>299</v>
      </c>
      <c r="B234" s="23" t="s">
        <v>300</v>
      </c>
      <c r="C234" s="113" t="s">
        <v>291</v>
      </c>
      <c r="D234" s="114" t="s">
        <v>301</v>
      </c>
      <c r="E234" s="94"/>
      <c r="F234" s="23"/>
      <c r="G234" s="52"/>
    </row>
    <row r="235" spans="1:7" ht="42.8" customHeight="1">
      <c r="A235" s="112" t="s">
        <v>302</v>
      </c>
      <c r="B235" s="23" t="s">
        <v>303</v>
      </c>
      <c r="C235" s="113" t="s">
        <v>291</v>
      </c>
      <c r="D235" s="114" t="s">
        <v>304</v>
      </c>
      <c r="E235" s="94"/>
      <c r="F235" s="23"/>
      <c r="G235" s="52"/>
    </row>
    <row r="236" spans="1:7" ht="30.2" customHeight="1">
      <c r="A236" s="112" t="s">
        <v>305</v>
      </c>
      <c r="B236" s="23" t="s">
        <v>306</v>
      </c>
      <c r="C236" s="113" t="s">
        <v>291</v>
      </c>
      <c r="D236" s="114" t="s">
        <v>307</v>
      </c>
      <c r="E236" s="94"/>
      <c r="F236" s="23"/>
      <c r="G236" s="52"/>
    </row>
    <row r="237" spans="1:7" ht="55.4" customHeight="1">
      <c r="A237" s="112" t="s">
        <v>308</v>
      </c>
      <c r="B237" s="23" t="s">
        <v>309</v>
      </c>
      <c r="C237" s="113" t="s">
        <v>291</v>
      </c>
      <c r="D237" s="114" t="s">
        <v>310</v>
      </c>
      <c r="E237" s="94"/>
      <c r="F237" s="23"/>
      <c r="G237" s="52"/>
    </row>
    <row r="238" spans="1:7" ht="30.2" customHeight="1">
      <c r="A238" s="112" t="s">
        <v>311</v>
      </c>
      <c r="B238" s="23" t="s">
        <v>312</v>
      </c>
      <c r="C238" s="113" t="s">
        <v>291</v>
      </c>
      <c r="D238" s="114" t="s">
        <v>313</v>
      </c>
      <c r="E238" s="94"/>
      <c r="F238" s="23"/>
      <c r="G238" s="52"/>
    </row>
    <row r="239" spans="1:7" ht="30.2" customHeight="1">
      <c r="A239" s="112" t="s">
        <v>314</v>
      </c>
      <c r="B239" s="23" t="s">
        <v>315</v>
      </c>
      <c r="C239" s="113" t="s">
        <v>291</v>
      </c>
      <c r="D239" s="114" t="s">
        <v>316</v>
      </c>
      <c r="E239" s="94"/>
      <c r="F239" s="23"/>
      <c r="G239" s="52"/>
    </row>
    <row r="240" spans="1:7" ht="30.2" customHeight="1">
      <c r="A240" s="112" t="s">
        <v>317</v>
      </c>
      <c r="B240" s="23" t="s">
        <v>318</v>
      </c>
      <c r="C240" s="113" t="s">
        <v>291</v>
      </c>
      <c r="D240" s="114" t="s">
        <v>319</v>
      </c>
      <c r="E240" s="94"/>
      <c r="F240" s="23"/>
      <c r="G240" s="52"/>
    </row>
    <row r="241" spans="1:7" ht="30.2" customHeight="1">
      <c r="A241" s="112" t="s">
        <v>320</v>
      </c>
      <c r="B241" s="23" t="s">
        <v>321</v>
      </c>
      <c r="C241" s="119" t="s">
        <v>36</v>
      </c>
      <c r="D241" s="114" t="s">
        <v>322</v>
      </c>
      <c r="E241" s="94"/>
      <c r="F241" s="23"/>
      <c r="G241" s="52"/>
    </row>
    <row r="242" spans="1:7" ht="42.8" customHeight="1">
      <c r="A242" s="112" t="s">
        <v>323</v>
      </c>
      <c r="B242" s="23" t="s">
        <v>324</v>
      </c>
      <c r="C242" s="119" t="s">
        <v>36</v>
      </c>
      <c r="D242" s="114" t="s">
        <v>325</v>
      </c>
      <c r="E242" s="94"/>
      <c r="F242" s="23"/>
      <c r="G242" s="52"/>
    </row>
    <row r="243" spans="1:7" ht="42.8" customHeight="1">
      <c r="A243" s="112" t="s">
        <v>326</v>
      </c>
      <c r="B243" s="23" t="s">
        <v>327</v>
      </c>
      <c r="C243" s="119" t="s">
        <v>36</v>
      </c>
      <c r="D243" s="114" t="s">
        <v>328</v>
      </c>
      <c r="E243" s="94"/>
      <c r="F243" s="23"/>
      <c r="G243" s="52"/>
    </row>
    <row r="244" spans="1:7" ht="30.2" customHeight="1">
      <c r="A244" s="112" t="s">
        <v>329</v>
      </c>
      <c r="B244" s="23" t="s">
        <v>330</v>
      </c>
      <c r="C244" s="119" t="s">
        <v>36</v>
      </c>
      <c r="D244" s="114" t="s">
        <v>331</v>
      </c>
      <c r="E244" s="94"/>
      <c r="F244" s="23"/>
      <c r="G244" s="52"/>
    </row>
    <row r="245" spans="1:7" ht="42.8" customHeight="1">
      <c r="A245" s="112" t="s">
        <v>332</v>
      </c>
      <c r="B245" s="23" t="s">
        <v>333</v>
      </c>
      <c r="C245" s="119" t="s">
        <v>36</v>
      </c>
      <c r="D245" s="114" t="s">
        <v>334</v>
      </c>
      <c r="E245" s="94"/>
      <c r="F245" s="23"/>
      <c r="G245" s="52"/>
    </row>
    <row r="246" spans="1:7" ht="42.8" customHeight="1">
      <c r="A246" s="112" t="s">
        <v>335</v>
      </c>
      <c r="B246" s="23" t="s">
        <v>336</v>
      </c>
      <c r="C246" s="119" t="s">
        <v>36</v>
      </c>
      <c r="D246" s="114" t="s">
        <v>337</v>
      </c>
      <c r="E246" s="94"/>
      <c r="F246" s="23"/>
      <c r="G246" s="52"/>
    </row>
    <row r="247" spans="1:7" ht="42.8" customHeight="1">
      <c r="A247" s="112" t="s">
        <v>338</v>
      </c>
      <c r="B247" s="23" t="s">
        <v>339</v>
      </c>
      <c r="C247" s="119" t="s">
        <v>36</v>
      </c>
      <c r="D247" s="114" t="s">
        <v>340</v>
      </c>
      <c r="E247" s="94"/>
      <c r="F247" s="23"/>
      <c r="G247" s="52"/>
    </row>
    <row r="248" spans="1:7" ht="42.8" customHeight="1">
      <c r="A248" s="112" t="s">
        <v>341</v>
      </c>
      <c r="B248" s="23" t="s">
        <v>342</v>
      </c>
      <c r="C248" s="119" t="s">
        <v>343</v>
      </c>
      <c r="D248" s="114" t="s">
        <v>344</v>
      </c>
      <c r="E248" s="94"/>
      <c r="F248" s="23"/>
      <c r="G248" s="52"/>
    </row>
    <row r="249" spans="1:7" ht="42.8" customHeight="1">
      <c r="A249" s="112" t="s">
        <v>345</v>
      </c>
      <c r="B249" s="23" t="s">
        <v>346</v>
      </c>
      <c r="C249" s="119" t="s">
        <v>343</v>
      </c>
      <c r="D249" s="114" t="s">
        <v>344</v>
      </c>
      <c r="E249" s="94"/>
      <c r="F249" s="23"/>
      <c r="G249" s="52"/>
    </row>
    <row r="250" spans="1:7" ht="42.8" customHeight="1">
      <c r="A250" s="112" t="s">
        <v>347</v>
      </c>
      <c r="B250" s="23" t="s">
        <v>348</v>
      </c>
      <c r="C250" s="119" t="s">
        <v>343</v>
      </c>
      <c r="D250" s="114" t="s">
        <v>344</v>
      </c>
      <c r="E250" s="94"/>
      <c r="F250" s="23"/>
      <c r="G250" s="52"/>
    </row>
    <row r="251" spans="1:7" ht="42.8" customHeight="1">
      <c r="A251" s="112" t="s">
        <v>349</v>
      </c>
      <c r="B251" s="23" t="s">
        <v>350</v>
      </c>
      <c r="C251" s="119" t="s">
        <v>343</v>
      </c>
      <c r="D251" s="114" t="s">
        <v>344</v>
      </c>
      <c r="E251" s="94"/>
      <c r="F251" s="23"/>
      <c r="G251" s="52"/>
    </row>
    <row r="252" spans="1:7" ht="30.2" customHeight="1">
      <c r="A252" s="112" t="s">
        <v>351</v>
      </c>
      <c r="B252" s="23" t="s">
        <v>352</v>
      </c>
      <c r="C252" s="119" t="s">
        <v>343</v>
      </c>
      <c r="D252" s="114" t="s">
        <v>353</v>
      </c>
      <c r="E252" s="94"/>
      <c r="F252" s="23"/>
      <c r="G252" s="52"/>
    </row>
    <row r="253" spans="1:7" ht="30.2" customHeight="1">
      <c r="A253" s="112" t="s">
        <v>354</v>
      </c>
      <c r="B253" s="23" t="s">
        <v>355</v>
      </c>
      <c r="C253" s="119" t="s">
        <v>343</v>
      </c>
      <c r="D253" s="114" t="s">
        <v>353</v>
      </c>
      <c r="E253" s="94"/>
      <c r="F253" s="23"/>
      <c r="G253" s="52"/>
    </row>
    <row r="254" spans="1:7" ht="30.2" customHeight="1">
      <c r="A254" s="112" t="s">
        <v>356</v>
      </c>
      <c r="B254" s="23" t="s">
        <v>357</v>
      </c>
      <c r="C254" s="119" t="s">
        <v>343</v>
      </c>
      <c r="D254" s="114" t="s">
        <v>353</v>
      </c>
      <c r="E254" s="94"/>
      <c r="F254" s="23"/>
      <c r="G254" s="52"/>
    </row>
    <row r="255" spans="1:7" ht="42.8" customHeight="1">
      <c r="A255" s="112" t="s">
        <v>358</v>
      </c>
      <c r="B255" s="23" t="s">
        <v>359</v>
      </c>
      <c r="C255" s="119" t="s">
        <v>343</v>
      </c>
      <c r="D255" s="114" t="s">
        <v>353</v>
      </c>
      <c r="E255" s="94"/>
      <c r="F255" s="23"/>
      <c r="G255" s="52"/>
    </row>
    <row r="257" spans="1:7" ht="24" customHeight="1">
      <c r="A257" s="107" t="s">
        <v>368</v>
      </c>
      <c r="B257" s="108"/>
      <c r="C257" s="109" t="str">
        <f>IF($B257="","Pick the property in the yellow cell",COUNTIF($E259:$E283,"Yes")&amp;" yes  |  "&amp;COUNTIF($E259:$E283,"No")&amp;" NO  |  "&amp;COUNTIF($E259:$E283,"N/A")&amp;" n/a  |  "&amp;(ROWS($E259:$E283)-COUNTIF($E259:$E283,"Yes")-COUNTIF($E259:$E283,"No")-COUNTIF($E259:$E283,"N/A"))&amp;" not answered")</f>
        <v>Pick the property in the yellow cell</v>
      </c>
      <c r="D257" s="110"/>
      <c r="E257" s="110"/>
      <c r="F257" s="110"/>
      <c r="G257" s="110"/>
    </row>
    <row r="258" spans="1:7" ht="20" customHeight="1">
      <c r="A258" s="80" t="s">
        <v>282</v>
      </c>
      <c r="B258" s="80" t="s">
        <v>283</v>
      </c>
      <c r="C258" s="80" t="s">
        <v>284</v>
      </c>
      <c r="D258" s="80" t="s">
        <v>285</v>
      </c>
      <c r="E258" s="80" t="s">
        <v>286</v>
      </c>
      <c r="F258" s="80" t="s">
        <v>287</v>
      </c>
      <c r="G258" s="80" t="s">
        <v>288</v>
      </c>
    </row>
    <row r="259" spans="1:7" ht="42.8" customHeight="1">
      <c r="A259" s="112" t="s">
        <v>289</v>
      </c>
      <c r="B259" s="23" t="s">
        <v>290</v>
      </c>
      <c r="C259" s="113" t="s">
        <v>291</v>
      </c>
      <c r="D259" s="114" t="s">
        <v>292</v>
      </c>
      <c r="E259" s="94"/>
      <c r="F259" s="23"/>
      <c r="G259" s="52"/>
    </row>
    <row r="260" spans="1:7" ht="42.8" customHeight="1">
      <c r="A260" s="112" t="s">
        <v>293</v>
      </c>
      <c r="B260" s="23" t="s">
        <v>294</v>
      </c>
      <c r="C260" s="113" t="s">
        <v>291</v>
      </c>
      <c r="D260" s="114" t="s">
        <v>295</v>
      </c>
      <c r="E260" s="94"/>
      <c r="F260" s="23"/>
      <c r="G260" s="52"/>
    </row>
    <row r="261" spans="1:7" ht="42.8" customHeight="1">
      <c r="A261" s="112" t="s">
        <v>296</v>
      </c>
      <c r="B261" s="23" t="s">
        <v>297</v>
      </c>
      <c r="C261" s="113" t="s">
        <v>291</v>
      </c>
      <c r="D261" s="114" t="s">
        <v>298</v>
      </c>
      <c r="E261" s="94"/>
      <c r="F261" s="23"/>
      <c r="G261" s="52"/>
    </row>
    <row r="262" spans="1:7" ht="42.8" customHeight="1">
      <c r="A262" s="112" t="s">
        <v>299</v>
      </c>
      <c r="B262" s="23" t="s">
        <v>300</v>
      </c>
      <c r="C262" s="113" t="s">
        <v>291</v>
      </c>
      <c r="D262" s="114" t="s">
        <v>301</v>
      </c>
      <c r="E262" s="94"/>
      <c r="F262" s="23"/>
      <c r="G262" s="52"/>
    </row>
    <row r="263" spans="1:7" ht="42.8" customHeight="1">
      <c r="A263" s="112" t="s">
        <v>302</v>
      </c>
      <c r="B263" s="23" t="s">
        <v>303</v>
      </c>
      <c r="C263" s="113" t="s">
        <v>291</v>
      </c>
      <c r="D263" s="114" t="s">
        <v>304</v>
      </c>
      <c r="E263" s="94"/>
      <c r="F263" s="23"/>
      <c r="G263" s="52"/>
    </row>
    <row r="264" spans="1:7" ht="30.2" customHeight="1">
      <c r="A264" s="112" t="s">
        <v>305</v>
      </c>
      <c r="B264" s="23" t="s">
        <v>306</v>
      </c>
      <c r="C264" s="113" t="s">
        <v>291</v>
      </c>
      <c r="D264" s="114" t="s">
        <v>307</v>
      </c>
      <c r="E264" s="94"/>
      <c r="F264" s="23"/>
      <c r="G264" s="52"/>
    </row>
    <row r="265" spans="1:7" ht="55.4" customHeight="1">
      <c r="A265" s="112" t="s">
        <v>308</v>
      </c>
      <c r="B265" s="23" t="s">
        <v>309</v>
      </c>
      <c r="C265" s="113" t="s">
        <v>291</v>
      </c>
      <c r="D265" s="114" t="s">
        <v>310</v>
      </c>
      <c r="E265" s="94"/>
      <c r="F265" s="23"/>
      <c r="G265" s="52"/>
    </row>
    <row r="266" spans="1:7" ht="30.2" customHeight="1">
      <c r="A266" s="112" t="s">
        <v>311</v>
      </c>
      <c r="B266" s="23" t="s">
        <v>312</v>
      </c>
      <c r="C266" s="113" t="s">
        <v>291</v>
      </c>
      <c r="D266" s="114" t="s">
        <v>313</v>
      </c>
      <c r="E266" s="94"/>
      <c r="F266" s="23"/>
      <c r="G266" s="52"/>
    </row>
    <row r="267" spans="1:7" ht="30.2" customHeight="1">
      <c r="A267" s="112" t="s">
        <v>314</v>
      </c>
      <c r="B267" s="23" t="s">
        <v>315</v>
      </c>
      <c r="C267" s="113" t="s">
        <v>291</v>
      </c>
      <c r="D267" s="114" t="s">
        <v>316</v>
      </c>
      <c r="E267" s="94"/>
      <c r="F267" s="23"/>
      <c r="G267" s="52"/>
    </row>
    <row r="268" spans="1:7" ht="30.2" customHeight="1">
      <c r="A268" s="112" t="s">
        <v>317</v>
      </c>
      <c r="B268" s="23" t="s">
        <v>318</v>
      </c>
      <c r="C268" s="113" t="s">
        <v>291</v>
      </c>
      <c r="D268" s="114" t="s">
        <v>319</v>
      </c>
      <c r="E268" s="94"/>
      <c r="F268" s="23"/>
      <c r="G268" s="52"/>
    </row>
    <row r="269" spans="1:7" ht="30.2" customHeight="1">
      <c r="A269" s="112" t="s">
        <v>320</v>
      </c>
      <c r="B269" s="23" t="s">
        <v>321</v>
      </c>
      <c r="C269" s="119" t="s">
        <v>36</v>
      </c>
      <c r="D269" s="114" t="s">
        <v>322</v>
      </c>
      <c r="E269" s="94"/>
      <c r="F269" s="23"/>
      <c r="G269" s="52"/>
    </row>
    <row r="270" spans="1:7" ht="42.8" customHeight="1">
      <c r="A270" s="112" t="s">
        <v>323</v>
      </c>
      <c r="B270" s="23" t="s">
        <v>324</v>
      </c>
      <c r="C270" s="119" t="s">
        <v>36</v>
      </c>
      <c r="D270" s="114" t="s">
        <v>325</v>
      </c>
      <c r="E270" s="94"/>
      <c r="F270" s="23"/>
      <c r="G270" s="52"/>
    </row>
    <row r="271" spans="1:7" ht="42.8" customHeight="1">
      <c r="A271" s="112" t="s">
        <v>326</v>
      </c>
      <c r="B271" s="23" t="s">
        <v>327</v>
      </c>
      <c r="C271" s="119" t="s">
        <v>36</v>
      </c>
      <c r="D271" s="114" t="s">
        <v>328</v>
      </c>
      <c r="E271" s="94"/>
      <c r="F271" s="23"/>
      <c r="G271" s="52"/>
    </row>
    <row r="272" spans="1:7" ht="30.2" customHeight="1">
      <c r="A272" s="112" t="s">
        <v>329</v>
      </c>
      <c r="B272" s="23" t="s">
        <v>330</v>
      </c>
      <c r="C272" s="119" t="s">
        <v>36</v>
      </c>
      <c r="D272" s="114" t="s">
        <v>331</v>
      </c>
      <c r="E272" s="94"/>
      <c r="F272" s="23"/>
      <c r="G272" s="52"/>
    </row>
    <row r="273" spans="1:7" ht="42.8" customHeight="1">
      <c r="A273" s="112" t="s">
        <v>332</v>
      </c>
      <c r="B273" s="23" t="s">
        <v>333</v>
      </c>
      <c r="C273" s="119" t="s">
        <v>36</v>
      </c>
      <c r="D273" s="114" t="s">
        <v>334</v>
      </c>
      <c r="E273" s="94"/>
      <c r="F273" s="23"/>
      <c r="G273" s="52"/>
    </row>
    <row r="274" spans="1:7" ht="42.8" customHeight="1">
      <c r="A274" s="112" t="s">
        <v>335</v>
      </c>
      <c r="B274" s="23" t="s">
        <v>336</v>
      </c>
      <c r="C274" s="119" t="s">
        <v>36</v>
      </c>
      <c r="D274" s="114" t="s">
        <v>337</v>
      </c>
      <c r="E274" s="94"/>
      <c r="F274" s="23"/>
      <c r="G274" s="52"/>
    </row>
    <row r="275" spans="1:7" ht="42.8" customHeight="1">
      <c r="A275" s="112" t="s">
        <v>338</v>
      </c>
      <c r="B275" s="23" t="s">
        <v>339</v>
      </c>
      <c r="C275" s="119" t="s">
        <v>36</v>
      </c>
      <c r="D275" s="114" t="s">
        <v>340</v>
      </c>
      <c r="E275" s="94"/>
      <c r="F275" s="23"/>
      <c r="G275" s="52"/>
    </row>
    <row r="276" spans="1:7" ht="42.8" customHeight="1">
      <c r="A276" s="112" t="s">
        <v>341</v>
      </c>
      <c r="B276" s="23" t="s">
        <v>342</v>
      </c>
      <c r="C276" s="119" t="s">
        <v>343</v>
      </c>
      <c r="D276" s="114" t="s">
        <v>344</v>
      </c>
      <c r="E276" s="94"/>
      <c r="F276" s="23"/>
      <c r="G276" s="52"/>
    </row>
    <row r="277" spans="1:7" ht="42.8" customHeight="1">
      <c r="A277" s="112" t="s">
        <v>345</v>
      </c>
      <c r="B277" s="23" t="s">
        <v>346</v>
      </c>
      <c r="C277" s="119" t="s">
        <v>343</v>
      </c>
      <c r="D277" s="114" t="s">
        <v>344</v>
      </c>
      <c r="E277" s="94"/>
      <c r="F277" s="23"/>
      <c r="G277" s="52"/>
    </row>
    <row r="278" spans="1:7" ht="42.8" customHeight="1">
      <c r="A278" s="112" t="s">
        <v>347</v>
      </c>
      <c r="B278" s="23" t="s">
        <v>348</v>
      </c>
      <c r="C278" s="119" t="s">
        <v>343</v>
      </c>
      <c r="D278" s="114" t="s">
        <v>344</v>
      </c>
      <c r="E278" s="94"/>
      <c r="F278" s="23"/>
      <c r="G278" s="52"/>
    </row>
    <row r="279" spans="1:7" ht="42.8" customHeight="1">
      <c r="A279" s="112" t="s">
        <v>349</v>
      </c>
      <c r="B279" s="23" t="s">
        <v>350</v>
      </c>
      <c r="C279" s="119" t="s">
        <v>343</v>
      </c>
      <c r="D279" s="114" t="s">
        <v>344</v>
      </c>
      <c r="E279" s="94"/>
      <c r="F279" s="23"/>
      <c r="G279" s="52"/>
    </row>
    <row r="280" spans="1:7" ht="30.2" customHeight="1">
      <c r="A280" s="112" t="s">
        <v>351</v>
      </c>
      <c r="B280" s="23" t="s">
        <v>352</v>
      </c>
      <c r="C280" s="119" t="s">
        <v>343</v>
      </c>
      <c r="D280" s="114" t="s">
        <v>353</v>
      </c>
      <c r="E280" s="94"/>
      <c r="F280" s="23"/>
      <c r="G280" s="52"/>
    </row>
    <row r="281" spans="1:7" ht="30.2" customHeight="1">
      <c r="A281" s="112" t="s">
        <v>354</v>
      </c>
      <c r="B281" s="23" t="s">
        <v>355</v>
      </c>
      <c r="C281" s="119" t="s">
        <v>343</v>
      </c>
      <c r="D281" s="114" t="s">
        <v>353</v>
      </c>
      <c r="E281" s="94"/>
      <c r="F281" s="23"/>
      <c r="G281" s="52"/>
    </row>
    <row r="282" spans="1:7" ht="30.2" customHeight="1">
      <c r="A282" s="112" t="s">
        <v>356</v>
      </c>
      <c r="B282" s="23" t="s">
        <v>357</v>
      </c>
      <c r="C282" s="119" t="s">
        <v>343</v>
      </c>
      <c r="D282" s="114" t="s">
        <v>353</v>
      </c>
      <c r="E282" s="94"/>
      <c r="F282" s="23"/>
      <c r="G282" s="52"/>
    </row>
    <row r="283" spans="1:7" ht="42.8" customHeight="1">
      <c r="A283" s="112" t="s">
        <v>358</v>
      </c>
      <c r="B283" s="23" t="s">
        <v>359</v>
      </c>
      <c r="C283" s="119" t="s">
        <v>343</v>
      </c>
      <c r="D283" s="114" t="s">
        <v>353</v>
      </c>
      <c r="E283" s="94"/>
      <c r="F283" s="23"/>
      <c r="G283" s="52"/>
    </row>
  </sheetData>
  <mergeCells count="13">
    <mergeCell ref="A3:G3"/>
    <mergeCell ref="C5:G5"/>
    <mergeCell ref="C33:G33"/>
    <mergeCell ref="C61:G61"/>
    <mergeCell ref="C89:G89"/>
    <mergeCell ref="C117:G117"/>
    <mergeCell ref="C145:G145"/>
    <mergeCell ref="C173:G173"/>
    <mergeCell ref="C201:G201"/>
    <mergeCell ref="C229:G229"/>
    <mergeCell ref="C257:G257"/>
    <mergeCell ref="I5:P5"/>
    <mergeCell ref="I6:P6"/>
  </mergeCells>
  <conditionalFormatting sqref="E119:E143">
    <cfRule type="cellIs" dxfId="3" priority="13" operator="equal">
      <formula>"Yes"</formula>
    </cfRule>
    <cfRule type="cellIs" dxfId="0" priority="14" operator="equal">
      <formula>"No"</formula>
    </cfRule>
    <cfRule type="cellIs" dxfId="4" priority="15" operator="equal">
      <formula>"N/A"</formula>
    </cfRule>
  </conditionalFormatting>
  <conditionalFormatting sqref="E147:E171">
    <cfRule type="cellIs" dxfId="3" priority="16" operator="equal">
      <formula>"Yes"</formula>
    </cfRule>
    <cfRule type="cellIs" dxfId="0" priority="17" operator="equal">
      <formula>"No"</formula>
    </cfRule>
    <cfRule type="cellIs" dxfId="4" priority="18" operator="equal">
      <formula>"N/A"</formula>
    </cfRule>
  </conditionalFormatting>
  <conditionalFormatting sqref="E175:E199">
    <cfRule type="cellIs" dxfId="3" priority="19" operator="equal">
      <formula>"Yes"</formula>
    </cfRule>
    <cfRule type="cellIs" dxfId="0" priority="20" operator="equal">
      <formula>"No"</formula>
    </cfRule>
    <cfRule type="cellIs" dxfId="4" priority="21" operator="equal">
      <formula>"N/A"</formula>
    </cfRule>
  </conditionalFormatting>
  <conditionalFormatting sqref="E203:E227">
    <cfRule type="cellIs" dxfId="3" priority="22" operator="equal">
      <formula>"Yes"</formula>
    </cfRule>
    <cfRule type="cellIs" dxfId="0" priority="23" operator="equal">
      <formula>"No"</formula>
    </cfRule>
    <cfRule type="cellIs" dxfId="4" priority="24" operator="equal">
      <formula>"N/A"</formula>
    </cfRule>
  </conditionalFormatting>
  <conditionalFormatting sqref="E231:E255">
    <cfRule type="cellIs" dxfId="3" priority="25" operator="equal">
      <formula>"Yes"</formula>
    </cfRule>
    <cfRule type="cellIs" dxfId="0" priority="26" operator="equal">
      <formula>"No"</formula>
    </cfRule>
    <cfRule type="cellIs" dxfId="4" priority="27" operator="equal">
      <formula>"N/A"</formula>
    </cfRule>
  </conditionalFormatting>
  <conditionalFormatting sqref="E259:E283">
    <cfRule type="cellIs" dxfId="3" priority="28" operator="equal">
      <formula>"Yes"</formula>
    </cfRule>
    <cfRule type="cellIs" dxfId="0" priority="29" operator="equal">
      <formula>"No"</formula>
    </cfRule>
    <cfRule type="cellIs" dxfId="4" priority="30" operator="equal">
      <formula>"N/A"</formula>
    </cfRule>
  </conditionalFormatting>
  <conditionalFormatting sqref="E35:E59">
    <cfRule type="cellIs" dxfId="3" priority="4" operator="equal">
      <formula>"Yes"</formula>
    </cfRule>
    <cfRule type="cellIs" dxfId="0" priority="5" operator="equal">
      <formula>"No"</formula>
    </cfRule>
    <cfRule type="cellIs" dxfId="4" priority="6" operator="equal">
      <formula>"N/A"</formula>
    </cfRule>
  </conditionalFormatting>
  <conditionalFormatting sqref="E63:E87">
    <cfRule type="cellIs" dxfId="3" priority="7" operator="equal">
      <formula>"Yes"</formula>
    </cfRule>
    <cfRule type="cellIs" dxfId="0" priority="8" operator="equal">
      <formula>"No"</formula>
    </cfRule>
    <cfRule type="cellIs" dxfId="4" priority="9" operator="equal">
      <formula>"N/A"</formula>
    </cfRule>
  </conditionalFormatting>
  <conditionalFormatting sqref="E7:E31">
    <cfRule type="cellIs" dxfId="3" priority="1" operator="equal">
      <formula>"Yes"</formula>
    </cfRule>
    <cfRule type="cellIs" dxfId="0" priority="2" operator="equal">
      <formula>"No"</formula>
    </cfRule>
    <cfRule type="cellIs" dxfId="4" priority="3" operator="equal">
      <formula>"N/A"</formula>
    </cfRule>
  </conditionalFormatting>
  <conditionalFormatting sqref="E91:E115">
    <cfRule type="cellIs" dxfId="3" priority="10" operator="equal">
      <formula>"Yes"</formula>
    </cfRule>
    <cfRule type="cellIs" dxfId="0" priority="11" operator="equal">
      <formula>"No"</formula>
    </cfRule>
    <cfRule type="cellIs" dxfId="4" priority="12" operator="equal">
      <formula>"N/A"</formula>
    </cfRule>
  </conditionalFormatting>
  <conditionalFormatting sqref="O8:O31">
    <cfRule type="expression" dxfId="0" priority="31">
      <formula>LEFT($O8,2)="NO"</formula>
    </cfRule>
    <cfRule type="expression" dxfId="3" priority="32">
      <formula>$O8="Yes"</formula>
    </cfRule>
    <cfRule type="expression" dxfId="2" priority="33">
      <formula>$O8="Check council standard"</formula>
    </cfRule>
  </conditionalFormatting>
  <dataValidations count="33">
    <dataValidation type="list" allowBlank="1" showInputMessage="1" showErrorMessage="1" errorTitle="Property not found" error="Choose a property from the dropdown." promptTitle="Property" prompt="Pick the property this checklist is for." sqref="B5">
      <formula1>Properties!$A$6:$A$105</formula1>
    </dataValidation>
    <dataValidation type="list" allowBlank="1" showInputMessage="1" showErrorMessage="1" errorTitle="Complies?" error="Choose Yes, No or N/A." sqref="E7:E31">
      <formula1>"Yes,No,N/A"</formula1>
    </dataValidation>
    <dataValidation type="date" allowBlank="1" showInputMessage="1" showErrorMessage="1" errorTitle="Not a date" error="Enter a date as dd/mm/yyyy. In Google Sheets set File &gt; Settings &gt; Locale to United Kingdom." sqref="G7:G31">
      <formula1>36526</formula1>
      <formula2>73415</formula2>
    </dataValidation>
    <dataValidation type="list" allowBlank="1" showInputMessage="1" showErrorMessage="1" errorTitle="Property not found" error="Choose a property from the dropdown." promptTitle="Property" prompt="Pick the property this checklist is for." sqref="B33">
      <formula1>Properties!$A$6:$A$105</formula1>
    </dataValidation>
    <dataValidation type="list" allowBlank="1" showInputMessage="1" showErrorMessage="1" errorTitle="Complies?" error="Choose Yes, No or N/A." sqref="E35:E59">
      <formula1>"Yes,No,N/A"</formula1>
    </dataValidation>
    <dataValidation type="date" allowBlank="1" showInputMessage="1" showErrorMessage="1" errorTitle="Not a date" error="Enter a date as dd/mm/yyyy. In Google Sheets set File &gt; Settings &gt; Locale to United Kingdom." sqref="G35:G59">
      <formula1>36526</formula1>
      <formula2>73415</formula2>
    </dataValidation>
    <dataValidation type="list" allowBlank="1" showInputMessage="1" showErrorMessage="1" errorTitle="Property not found" error="Choose a property from the dropdown." promptTitle="Property" prompt="Pick the property this checklist is for." sqref="B61">
      <formula1>Properties!$A$6:$A$105</formula1>
    </dataValidation>
    <dataValidation type="list" allowBlank="1" showInputMessage="1" showErrorMessage="1" errorTitle="Complies?" error="Choose Yes, No or N/A." sqref="E63:E87">
      <formula1>"Yes,No,N/A"</formula1>
    </dataValidation>
    <dataValidation type="date" allowBlank="1" showInputMessage="1" showErrorMessage="1" errorTitle="Not a date" error="Enter a date as dd/mm/yyyy. In Google Sheets set File &gt; Settings &gt; Locale to United Kingdom." sqref="G63:G87">
      <formula1>36526</formula1>
      <formula2>73415</formula2>
    </dataValidation>
    <dataValidation type="list" allowBlank="1" showInputMessage="1" showErrorMessage="1" errorTitle="Property not found" error="Choose a property from the dropdown." promptTitle="Property" prompt="Pick the property this checklist is for." sqref="B89">
      <formula1>Properties!$A$6:$A$105</formula1>
    </dataValidation>
    <dataValidation type="list" allowBlank="1" showInputMessage="1" showErrorMessage="1" errorTitle="Complies?" error="Choose Yes, No or N/A." sqref="E91:E115">
      <formula1>"Yes,No,N/A"</formula1>
    </dataValidation>
    <dataValidation type="date" allowBlank="1" showInputMessage="1" showErrorMessage="1" errorTitle="Not a date" error="Enter a date as dd/mm/yyyy. In Google Sheets set File &gt; Settings &gt; Locale to United Kingdom." sqref="G91:G115">
      <formula1>36526</formula1>
      <formula2>73415</formula2>
    </dataValidation>
    <dataValidation type="list" allowBlank="1" showInputMessage="1" showErrorMessage="1" errorTitle="Property not found" error="Choose a property from the dropdown." promptTitle="Property" prompt="Pick the property this checklist is for." sqref="B117">
      <formula1>Properties!$A$6:$A$105</formula1>
    </dataValidation>
    <dataValidation type="list" allowBlank="1" showInputMessage="1" showErrorMessage="1" errorTitle="Complies?" error="Choose Yes, No or N/A." sqref="E119:E143">
      <formula1>"Yes,No,N/A"</formula1>
    </dataValidation>
    <dataValidation type="date" allowBlank="1" showInputMessage="1" showErrorMessage="1" errorTitle="Not a date" error="Enter a date as dd/mm/yyyy. In Google Sheets set File &gt; Settings &gt; Locale to United Kingdom." sqref="G119:G143">
      <formula1>36526</formula1>
      <formula2>73415</formula2>
    </dataValidation>
    <dataValidation type="list" allowBlank="1" showInputMessage="1" showErrorMessage="1" errorTitle="Property not found" error="Choose a property from the dropdown." promptTitle="Property" prompt="Pick the property this checklist is for." sqref="B145">
      <formula1>Properties!$A$6:$A$105</formula1>
    </dataValidation>
    <dataValidation type="list" allowBlank="1" showInputMessage="1" showErrorMessage="1" errorTitle="Complies?" error="Choose Yes, No or N/A." sqref="E147:E171">
      <formula1>"Yes,No,N/A"</formula1>
    </dataValidation>
    <dataValidation type="date" allowBlank="1" showInputMessage="1" showErrorMessage="1" errorTitle="Not a date" error="Enter a date as dd/mm/yyyy. In Google Sheets set File &gt; Settings &gt; Locale to United Kingdom." sqref="G147:G171">
      <formula1>36526</formula1>
      <formula2>73415</formula2>
    </dataValidation>
    <dataValidation type="list" allowBlank="1" showInputMessage="1" showErrorMessage="1" errorTitle="Property not found" error="Choose a property from the dropdown." promptTitle="Property" prompt="Pick the property this checklist is for." sqref="B173">
      <formula1>Properties!$A$6:$A$105</formula1>
    </dataValidation>
    <dataValidation type="list" allowBlank="1" showInputMessage="1" showErrorMessage="1" errorTitle="Complies?" error="Choose Yes, No or N/A." sqref="E175:E199">
      <formula1>"Yes,No,N/A"</formula1>
    </dataValidation>
    <dataValidation type="date" allowBlank="1" showInputMessage="1" showErrorMessage="1" errorTitle="Not a date" error="Enter a date as dd/mm/yyyy. In Google Sheets set File &gt; Settings &gt; Locale to United Kingdom." sqref="G175:G199">
      <formula1>36526</formula1>
      <formula2>73415</formula2>
    </dataValidation>
    <dataValidation type="list" allowBlank="1" showInputMessage="1" showErrorMessage="1" errorTitle="Property not found" error="Choose a property from the dropdown." promptTitle="Property" prompt="Pick the property this checklist is for." sqref="B201">
      <formula1>Properties!$A$6:$A$105</formula1>
    </dataValidation>
    <dataValidation type="list" allowBlank="1" showInputMessage="1" showErrorMessage="1" errorTitle="Complies?" error="Choose Yes, No or N/A." sqref="E203:E227">
      <formula1>"Yes,No,N/A"</formula1>
    </dataValidation>
    <dataValidation type="date" allowBlank="1" showInputMessage="1" showErrorMessage="1" errorTitle="Not a date" error="Enter a date as dd/mm/yyyy. In Google Sheets set File &gt; Settings &gt; Locale to United Kingdom." sqref="G203:G227">
      <formula1>36526</formula1>
      <formula2>73415</formula2>
    </dataValidation>
    <dataValidation type="list" allowBlank="1" showInputMessage="1" showErrorMessage="1" errorTitle="Property not found" error="Choose a property from the dropdown." promptTitle="Property" prompt="Pick the property this checklist is for." sqref="B229">
      <formula1>Properties!$A$6:$A$105</formula1>
    </dataValidation>
    <dataValidation type="list" allowBlank="1" showInputMessage="1" showErrorMessage="1" errorTitle="Complies?" error="Choose Yes, No or N/A." sqref="E231:E255">
      <formula1>"Yes,No,N/A"</formula1>
    </dataValidation>
    <dataValidation type="date" allowBlank="1" showInputMessage="1" showErrorMessage="1" errorTitle="Not a date" error="Enter a date as dd/mm/yyyy. In Google Sheets set File &gt; Settings &gt; Locale to United Kingdom." sqref="G231:G255">
      <formula1>36526</formula1>
      <formula2>73415</formula2>
    </dataValidation>
    <dataValidation type="list" allowBlank="1" showInputMessage="1" showErrorMessage="1" errorTitle="Property not found" error="Choose a property from the dropdown." promptTitle="Property" prompt="Pick the property this checklist is for." sqref="B257">
      <formula1>Properties!$A$6:$A$105</formula1>
    </dataValidation>
    <dataValidation type="list" allowBlank="1" showInputMessage="1" showErrorMessage="1" errorTitle="Complies?" error="Choose Yes, No or N/A." sqref="E259:E283">
      <formula1>"Yes,No,N/A"</formula1>
    </dataValidation>
    <dataValidation type="date" allowBlank="1" showInputMessage="1" showErrorMessage="1" errorTitle="Not a date" error="Enter a date as dd/mm/yyyy. In Google Sheets set File &gt; Settings &gt; Locale to United Kingdom." sqref="G259:G283">
      <formula1>36526</formula1>
      <formula2>73415</formula2>
    </dataValidation>
    <dataValidation type="list" errorStyle="warning" allowBlank="1" showInputMessage="1" showErrorMessage="1" errorTitle="Property" error="Not on the Properties list. Keep it anyway?" sqref="I8:I31">
      <formula1>Properties!$A$6:$A$105</formula1>
    </dataValidation>
    <dataValidation type="decimal" operator="greaterThanOrEqual" allowBlank="1" showInputMessage="1" showErrorMessage="1" errorTitle="Floor area" error="Enter the floor area in square metres." sqref="K8:K31">
      <formula1>0</formula1>
    </dataValidation>
    <dataValidation type="whole" allowBlank="1" showInputMessage="1" showErrorMessage="1" errorTitle="Persons" error="Enter a whole number." sqref="L8:M31">
      <formula1>0</formula1>
      <formula2>10</formula2>
    </dataValidation>
  </dataValidations>
  <hyperlinks>
    <hyperlink ref="I2" location="'Licence Conditions'!I5" display="Room-size calculator is here (columns I to P)"/>
  </hyperlinks>
  <pageMargins left="0.4" right="0.4" top="0.5" bottom="0.55" header="0.3" footer="0.3"/>
  <pageSetup paperSize="9" fitToHeight="0" orientation="landscape"/>
  <headerFooter>
    <oddFooter>&amp;L&amp;8&amp;A&amp;C&amp;8Page &amp;P of &amp;N&amp;R&amp;8Printed &amp;D</oddFooter>
  </headerFooter>
  <rowBreaks count="9" manualBreakCount="9">
    <brk id="32" max="16383" man="1"/>
    <brk id="60" max="16383" man="1"/>
    <brk id="88" max="16383" man="1"/>
    <brk id="116" max="16383" man="1"/>
    <brk id="144" max="16383" man="1"/>
    <brk id="172" max="16383" man="1"/>
    <brk id="200" max="16383" man="1"/>
    <brk id="228" max="16383" man="1"/>
    <brk id="256" max="16383" man="1"/>
  </rowBreaks>
  <ignoredErrors>
    <ignoredError sqref="A1:Z2000" numberStoredAsText="1"/>
    <ignoredError sqref="A1:Z2000" formula="1"/>
  </ignoredErrors>
</worksheet>
</file>

<file path=xl/worksheets/sheet8.xml><?xml version="1.0" encoding="utf-8"?>
<worksheet xmlns="http://schemas.openxmlformats.org/spreadsheetml/2006/main" xmlns:r="http://schemas.openxmlformats.org/officeDocument/2006/relationships">
  <sheetPr>
    <tabColor rgb="FF00838F"/>
    <pageSetUpPr fitToPage="1"/>
  </sheetPr>
  <dimension ref="A1:Y505"/>
  <sheetViews>
    <sheetView workbookViewId="0">
      <pane xSplit="3" ySplit="5" topLeftCell="D6" activePane="bottomRight" state="frozen"/>
      <selection pane="topRight" activeCell="D1" sqref="D1"/>
      <selection pane="bottomLeft" activeCell="A6" sqref="A6"/>
      <selection pane="bottomRight"/>
    </sheetView>
  </sheetViews>
  <sheetFormatPr defaultRowHeight="15"/>
  <cols>
    <col min="1" max="1" width="12.7109375" customWidth="1"/>
    <col min="2" max="2" width="42.7109375" customWidth="1"/>
    <col min="3" max="3" width="10.7109375" customWidth="1"/>
    <col min="4" max="4" width="12.7109375" customWidth="1"/>
    <col min="5" max="6" width="11.7109375" customWidth="1"/>
    <col min="7" max="8" width="12.7109375" customWidth="1"/>
    <col min="9" max="9" width="13.7109375" customWidth="1"/>
    <col min="10" max="10" width="30.7109375" customWidth="1"/>
    <col min="11" max="11" width="14.7109375" customWidth="1"/>
    <col min="12" max="12" width="12.7109375" customWidth="1"/>
    <col min="13" max="13" width="13.7109375" customWidth="1"/>
    <col min="14" max="14" width="20.7109375" customWidth="1"/>
    <col min="15" max="16" width="13.7109375" customWidth="1"/>
    <col min="17" max="17" width="22.7109375" customWidth="1"/>
    <col min="18" max="18" width="12.7109375" customWidth="1"/>
    <col min="19" max="19" width="13.7109375" customWidth="1"/>
    <col min="20" max="20" width="12.7109375" customWidth="1"/>
    <col min="21" max="21" width="13.7109375" customWidth="1"/>
    <col min="22" max="23" width="12.7109375" customWidth="1"/>
    <col min="24" max="24" width="26.7109375" customWidth="1"/>
    <col min="25" max="25" width="30.7109375" customWidth="1"/>
  </cols>
  <sheetData>
    <row r="1" spans="1:25" ht="17" customHeight="1">
      <c r="A1" s="25" t="str">
        <f>IF(TRIM('Start Here'!$C$20)="","HMO Compliance Tracker 2026",TRIM('Start Here'!$C$20))&amp;IF(TRIM('Start Here'!$C$21)="","","  |  "&amp;TRIM('Start Here'!$C$21))&amp;IF(TRIM('Start Here'!$C$22)="","","  |  "&amp;TRIM('Start Here'!$C$22))&amp;IF(TRIM('Start Here'!$C$23)="","","  |  "&amp;TRIM('Start Here'!$C$23))</f>
        <v>HMO Compliance Tracker 2026</v>
      </c>
      <c r="B1" s="26"/>
      <c r="C1" s="26"/>
      <c r="D1" s="26"/>
      <c r="E1" s="26"/>
      <c r="F1" s="26"/>
      <c r="G1" s="26"/>
      <c r="H1" s="26"/>
      <c r="I1" s="26"/>
      <c r="J1" s="26"/>
      <c r="K1" s="26"/>
      <c r="L1" s="26"/>
      <c r="M1" s="26"/>
      <c r="N1" s="26"/>
      <c r="O1" s="26"/>
      <c r="P1" s="26"/>
      <c r="Q1" s="26"/>
      <c r="R1" s="26"/>
      <c r="S1" s="26"/>
      <c r="T1" s="26"/>
      <c r="U1" s="26"/>
      <c r="V1" s="26"/>
      <c r="W1" s="26"/>
      <c r="X1" s="26"/>
      <c r="Y1" s="26"/>
    </row>
    <row r="2" spans="1:25" ht="30" customHeight="1">
      <c r="A2" s="55" t="s">
        <v>395</v>
      </c>
    </row>
    <row r="3" spans="1:25" ht="32" customHeight="1">
      <c r="A3" s="95" t="s">
        <v>396</v>
      </c>
      <c r="B3" s="95"/>
      <c r="C3" s="95"/>
      <c r="D3" s="95"/>
      <c r="E3" s="95"/>
      <c r="F3" s="95"/>
      <c r="G3" s="95"/>
      <c r="H3" s="95"/>
      <c r="I3" s="95"/>
      <c r="J3" s="95"/>
      <c r="K3" s="95"/>
      <c r="L3" s="95"/>
      <c r="M3" s="95"/>
      <c r="N3" s="95"/>
      <c r="O3" s="95"/>
      <c r="P3" s="95"/>
      <c r="Q3" s="95"/>
      <c r="R3" s="95"/>
      <c r="S3" s="95"/>
      <c r="T3" s="95"/>
      <c r="U3" s="95"/>
      <c r="V3" s="95"/>
      <c r="W3" s="95"/>
      <c r="X3" s="95"/>
      <c r="Y3" s="95"/>
    </row>
    <row r="4" spans="1:25" ht="6" customHeight="1"/>
    <row r="5" spans="1:25" ht="70" customHeight="1">
      <c r="A5" s="79" t="s">
        <v>397</v>
      </c>
      <c r="B5" s="79" t="s">
        <v>82</v>
      </c>
      <c r="C5" s="79" t="s">
        <v>383</v>
      </c>
      <c r="D5" s="79" t="s">
        <v>398</v>
      </c>
      <c r="E5" s="79" t="s">
        <v>399</v>
      </c>
      <c r="F5" s="79" t="s">
        <v>400</v>
      </c>
      <c r="G5" s="79" t="s">
        <v>401</v>
      </c>
      <c r="H5" s="79" t="s">
        <v>402</v>
      </c>
      <c r="I5" s="79" t="s">
        <v>403</v>
      </c>
      <c r="J5" s="80" t="s">
        <v>404</v>
      </c>
      <c r="K5" s="80" t="s">
        <v>405</v>
      </c>
      <c r="L5" s="79" t="s">
        <v>406</v>
      </c>
      <c r="M5" s="79" t="s">
        <v>407</v>
      </c>
      <c r="N5" s="80" t="s">
        <v>408</v>
      </c>
      <c r="O5" s="79" t="s">
        <v>409</v>
      </c>
      <c r="P5" s="79" t="s">
        <v>410</v>
      </c>
      <c r="Q5" s="80" t="s">
        <v>411</v>
      </c>
      <c r="R5" s="79" t="s">
        <v>412</v>
      </c>
      <c r="S5" s="80" t="s">
        <v>413</v>
      </c>
      <c r="T5" s="79" t="s">
        <v>414</v>
      </c>
      <c r="U5" s="80" t="s">
        <v>415</v>
      </c>
      <c r="V5" s="79" t="s">
        <v>416</v>
      </c>
      <c r="W5" s="79" t="s">
        <v>417</v>
      </c>
      <c r="X5" s="80" t="s">
        <v>418</v>
      </c>
      <c r="Y5" s="79" t="s">
        <v>139</v>
      </c>
    </row>
    <row r="6" spans="1:25">
      <c r="A6" s="54" t="s">
        <v>419</v>
      </c>
      <c r="B6" s="54" t="s">
        <v>169</v>
      </c>
      <c r="C6" s="51" t="s">
        <v>390</v>
      </c>
      <c r="D6" s="52">
        <f>TODAY()-(500)</f>
        <v>45797.0</v>
      </c>
      <c r="E6" s="120">
        <v>550</v>
      </c>
      <c r="F6" s="120">
        <v>600</v>
      </c>
      <c r="G6" s="52">
        <f>TODAY()-(500)</f>
        <v>45797.0</v>
      </c>
      <c r="H6" s="52">
        <f>TODAY()-(490)</f>
        <v>45807.0</v>
      </c>
      <c r="I6" s="52">
        <f>TODAY()-(490)</f>
        <v>45807.0</v>
      </c>
      <c r="J6" s="121" t="str">
        <f>IF(OR($A6="",NOT(ISNUMBER($F6))),"",IF($F6&lt;=0,"No deposit",IF(NOT(ISNUMBER($G6)),"Enter date received",IF(AND(ISNUMBER($H6),ISNUMBER($I6)),IF(MAX($H6,$I6)-$G6&lt;=29,"OK","LATE: protected / info served after day 30"),IF(TODAY()-$G6&gt;29,"OVERDUE: not protected / info not served","Protect + serve info by "&amp;TEXT($G6+29,"dd/mm/yyyy"))))))</f>
        <v>OK</v>
      </c>
      <c r="K6" s="97" t="str">
        <f>IF(OR(NOT(ISNUMBER($E6)),NOT(ISNUMBER($F6))),"",IF($F6&lt;=$E6*12/52*5,"OK","Over 5 weeks"))</f>
        <v>OK</v>
      </c>
      <c r="L6" s="52">
        <f>TODAY()-(505)</f>
        <v>45792.0</v>
      </c>
      <c r="M6" s="52"/>
      <c r="N6" s="122" t="str">
        <f>IF(OR($A6="",NOT(ISNUMBER($L6))),IF($A6="","","Not recorded"),IF(NOT(ISNUMBER($M6)),"Checked (no follow-up)",IF($M6&lt;TODAY(),"OVERDUE: follow-up check",IF($M6-TODAY()&lt;=60,"Follow-up due "&amp;TEXT($M6,"dd/mm/yyyy"),"Checked"))))</f>
        <v>Checked (no follow-up)</v>
      </c>
      <c r="O6" s="52">
        <f>TODAY()-(500)</f>
        <v>45797.0</v>
      </c>
      <c r="P6" s="52">
        <f>TODAY()-(150)</f>
        <v>46147.0</v>
      </c>
      <c r="Q6" s="122" t="str">
        <f>IF($A6="","",IF(NOT(ISNUMBER($D6)),"Enter start date",IF($D6&gt;=DATE(2026,5,1),IF(ISNUMBER($O6),"Complete","Missing: written terms"),IF(OR(ISNUMBER($P6),ISNUMBER($O6)),"Complete","Missing: Information Sheet (was due 31/05/2026)"))))</f>
        <v>Complete</v>
      </c>
      <c r="R6" s="52">
        <f>TODAY()-(200)</f>
        <v>46097.0</v>
      </c>
      <c r="S6" s="82">
        <f>IF(ISNUMBER($R6),$R6+364,IF(ISNUMBER($D6),$D6+364,""))</f>
        <v>46461.0</v>
      </c>
      <c r="T6" s="52"/>
      <c r="U6" s="82">
        <f>IF(ISNUMBER($T6),IF(ISNUMBER($S6),MAX(EDATE($T6,2),$S6),EDATE($T6,2)),"")</f>
        <v/>
      </c>
      <c r="V6" s="52"/>
      <c r="W6" s="52"/>
      <c r="X6" s="121">
        <f>IF(NOT(ISNUMBER($V6)),"",IF(ISNUMBER($W6),IF($W6-$V6&lt;=28,"Answered in time","LATE: answered after day 28"),IF(TODAY()-$V6&gt;28,"OVERDUE: no reply yet","Reply due by "&amp;TEXT($V6+28,"dd/mm/yyyy"))))</f>
        <v/>
      </c>
      <c r="Y6" s="54" t="s">
        <v>235</v>
      </c>
    </row>
    <row r="7" spans="1:25">
      <c r="A7" s="54" t="s">
        <v>420</v>
      </c>
      <c r="B7" s="54" t="s">
        <v>169</v>
      </c>
      <c r="C7" s="51" t="s">
        <v>391</v>
      </c>
      <c r="D7" s="52">
        <f>TODAY()-(40)</f>
        <v>46257.0</v>
      </c>
      <c r="E7" s="120">
        <v>575</v>
      </c>
      <c r="F7" s="120">
        <v>650</v>
      </c>
      <c r="G7" s="52">
        <f>TODAY()-(40)</f>
        <v>46257.0</v>
      </c>
      <c r="H7" s="52"/>
      <c r="I7" s="52"/>
      <c r="J7" s="121" t="str">
        <f>IF(OR($A7="",NOT(ISNUMBER($F7))),"",IF($F7&lt;=0,"No deposit",IF(NOT(ISNUMBER($G7)),"Enter date received",IF(AND(ISNUMBER($H7),ISNUMBER($I7)),IF(MAX($H7,$I7)-$G7&lt;=29,"OK","LATE: protected / info served after day 30"),IF(TODAY()-$G7&gt;29,"OVERDUE: not protected / info not served","Protect + serve info by "&amp;TEXT($G7+29,"dd/mm/yyyy"))))))</f>
        <v>OVERDUE: not protected / info not served</v>
      </c>
      <c r="K7" s="97" t="str">
        <f>IF(OR(NOT(ISNUMBER($E7)),NOT(ISNUMBER($F7))),"",IF($F7&lt;=$E7*12/52*5,"OK","Over 5 weeks"))</f>
        <v>OK</v>
      </c>
      <c r="L7" s="52">
        <f>TODAY()-(41)</f>
        <v>46256.0</v>
      </c>
      <c r="M7" s="52">
        <f>TODAY()+(100)</f>
        <v>46397.0</v>
      </c>
      <c r="N7" s="122" t="str">
        <f>IF(OR($A7="",NOT(ISNUMBER($L7))),IF($A7="","","Not recorded"),IF(NOT(ISNUMBER($M7)),"Checked (no follow-up)",IF($M7&lt;TODAY(),"OVERDUE: follow-up check",IF($M7-TODAY()&lt;=60,"Follow-up due "&amp;TEXT($M7,"dd/mm/yyyy"),"Checked"))))</f>
        <v>Checked</v>
      </c>
      <c r="O7" s="52"/>
      <c r="P7" s="52"/>
      <c r="Q7" s="122" t="str">
        <f>IF($A7="","",IF(NOT(ISNUMBER($D7)),"Enter start date",IF($D7&gt;=DATE(2026,5,1),IF(ISNUMBER($O7),"Complete","Missing: written terms"),IF(OR(ISNUMBER($P7),ISNUMBER($O7)),"Complete","Missing: Information Sheet (was due 31/05/2026)"))))</f>
        <v>Missing: written terms</v>
      </c>
      <c r="R7" s="52"/>
      <c r="S7" s="82">
        <f>IF(ISNUMBER($R7),$R7+364,IF(ISNUMBER($D7),$D7+364,""))</f>
        <v>46621.0</v>
      </c>
      <c r="T7" s="52"/>
      <c r="U7" s="82">
        <f>IF(ISNUMBER($T7),IF(ISNUMBER($S7),MAX(EDATE($T7,2),$S7),EDATE($T7,2)),"")</f>
        <v/>
      </c>
      <c r="V7" s="52">
        <f>TODAY()-(10)</f>
        <v>46287.0</v>
      </c>
      <c r="W7" s="52"/>
      <c r="X7" s="121" t="str">
        <f>IF(NOT(ISNUMBER($V7)),"",IF(ISNUMBER($W7),IF($W7-$V7&lt;=28,"Answered in time","LATE: answered after day 28"),IF(TODAY()-$V7&gt;28,"OVERDUE: no reply yet","Reply due by "&amp;TEXT($V7+28,"dd/mm/yyyy"))))</f>
        <v>Reply due by 20/10/2026</v>
      </c>
      <c r="Y7" s="54" t="s">
        <v>421</v>
      </c>
    </row>
    <row r="8" spans="1:25">
      <c r="A8" s="54" t="s">
        <v>422</v>
      </c>
      <c r="B8" s="54" t="s">
        <v>174</v>
      </c>
      <c r="C8" s="51" t="s">
        <v>423</v>
      </c>
      <c r="D8" s="52">
        <f>TODAY()-(700)</f>
        <v>45597.0</v>
      </c>
      <c r="E8" s="120">
        <v>480</v>
      </c>
      <c r="F8" s="120">
        <v>480</v>
      </c>
      <c r="G8" s="52">
        <f>TODAY()-(700)</f>
        <v>45597.0</v>
      </c>
      <c r="H8" s="52">
        <f>TODAY()-(695)</f>
        <v>45602.0</v>
      </c>
      <c r="I8" s="52">
        <f>TODAY()-(695)</f>
        <v>45602.0</v>
      </c>
      <c r="J8" s="121" t="str">
        <f>IF(OR($A8="",NOT(ISNUMBER($F8))),"",IF($F8&lt;=0,"No deposit",IF(NOT(ISNUMBER($G8)),"Enter date received",IF(AND(ISNUMBER($H8),ISNUMBER($I8)),IF(MAX($H8,$I8)-$G8&lt;=29,"OK","LATE: protected / info served after day 30"),IF(TODAY()-$G8&gt;29,"OVERDUE: not protected / info not served","Protect + serve info by "&amp;TEXT($G8+29,"dd/mm/yyyy"))))))</f>
        <v>OK</v>
      </c>
      <c r="K8" s="97" t="str">
        <f>IF(OR(NOT(ISNUMBER($E8)),NOT(ISNUMBER($F8))),"",IF($F8&lt;=$E8*12/52*5,"OK","Over 5 weeks"))</f>
        <v>OK</v>
      </c>
      <c r="L8" s="52">
        <f>TODAY()-(705)</f>
        <v>45592.0</v>
      </c>
      <c r="M8" s="52">
        <f>TODAY()+(20)</f>
        <v>46317.0</v>
      </c>
      <c r="N8" s="122" t="str">
        <f>IF(OR($A8="",NOT(ISNUMBER($L8))),IF($A8="","","Not recorded"),IF(NOT(ISNUMBER($M8)),"Checked (no follow-up)",IF($M8&lt;TODAY(),"OVERDUE: follow-up check",IF($M8-TODAY()&lt;=60,"Follow-up due "&amp;TEXT($M8,"dd/mm/yyyy"),"Checked"))))</f>
        <v>Follow-up due 22/10/2026</v>
      </c>
      <c r="O8" s="52">
        <f>TODAY()-(700)</f>
        <v>45597.0</v>
      </c>
      <c r="P8" s="52">
        <f>TODAY()-(140)</f>
        <v>46157.0</v>
      </c>
      <c r="Q8" s="122" t="str">
        <f>IF($A8="","",IF(NOT(ISNUMBER($D8)),"Enter start date",IF($D8&gt;=DATE(2026,5,1),IF(ISNUMBER($O8),"Complete","Missing: written terms"),IF(OR(ISNUMBER($P8),ISNUMBER($O8)),"Complete","Missing: Information Sheet (was due 31/05/2026)"))))</f>
        <v>Complete</v>
      </c>
      <c r="R8" s="52">
        <f>TODAY()-(400)</f>
        <v>45897.0</v>
      </c>
      <c r="S8" s="82">
        <f>IF(ISNUMBER($R8),$R8+364,IF(ISNUMBER($D8),$D8+364,""))</f>
        <v>46261.0</v>
      </c>
      <c r="T8" s="52">
        <f>TODAY()-(15)</f>
        <v>46282.0</v>
      </c>
      <c r="U8" s="82">
        <f>IF(ISNUMBER($T8),IF(ISNUMBER($S8),MAX(EDATE($T8,2),$S8),EDATE($T8,2)),"")</f>
        <v>46343.0</v>
      </c>
      <c r="V8" s="52"/>
      <c r="W8" s="52"/>
      <c r="X8" s="121">
        <f>IF(NOT(ISNUMBER($V8)),"",IF(ISNUMBER($W8),IF($W8-$V8&lt;=28,"Answered in time","LATE: answered after day 28"),IF(TODAY()-$V8&gt;28,"OVERDUE: no reply yet","Reply due by "&amp;TEXT($V8+28,"dd/mm/yyyy"))))</f>
        <v/>
      </c>
      <c r="Y8" s="54" t="s">
        <v>424</v>
      </c>
    </row>
    <row r="9" spans="1:25">
      <c r="A9" s="54" t="s">
        <v>425</v>
      </c>
      <c r="B9" s="54" t="s">
        <v>174</v>
      </c>
      <c r="C9" s="51" t="s">
        <v>426</v>
      </c>
      <c r="D9" s="52">
        <f>TODAY()-(30)</f>
        <v>46267.0</v>
      </c>
      <c r="E9" s="120">
        <v>520</v>
      </c>
      <c r="F9" s="120">
        <v>900</v>
      </c>
      <c r="G9" s="52">
        <f>TODAY()-(30)</f>
        <v>46267.0</v>
      </c>
      <c r="H9" s="52">
        <f>TODAY()-(28)</f>
        <v>46269.0</v>
      </c>
      <c r="I9" s="52">
        <f>TODAY()-(28)</f>
        <v>46269.0</v>
      </c>
      <c r="J9" s="121" t="str">
        <f>IF(OR($A9="",NOT(ISNUMBER($F9))),"",IF($F9&lt;=0,"No deposit",IF(NOT(ISNUMBER($G9)),"Enter date received",IF(AND(ISNUMBER($H9),ISNUMBER($I9)),IF(MAX($H9,$I9)-$G9&lt;=29,"OK","LATE: protected / info served after day 30"),IF(TODAY()-$G9&gt;29,"OVERDUE: not protected / info not served","Protect + serve info by "&amp;TEXT($G9+29,"dd/mm/yyyy"))))))</f>
        <v>OK</v>
      </c>
      <c r="K9" s="97" t="str">
        <f>IF(OR(NOT(ISNUMBER($E9)),NOT(ISNUMBER($F9))),"",IF($F9&lt;=$E9*12/52*5,"OK","Over 5 weeks"))</f>
        <v>Over 5 weeks</v>
      </c>
      <c r="L9" s="52">
        <f>TODAY()-(30)</f>
        <v>46267.0</v>
      </c>
      <c r="M9" s="52"/>
      <c r="N9" s="122" t="str">
        <f>IF(OR($A9="",NOT(ISNUMBER($L9))),IF($A9="","","Not recorded"),IF(NOT(ISNUMBER($M9)),"Checked (no follow-up)",IF($M9&lt;TODAY(),"OVERDUE: follow-up check",IF($M9-TODAY()&lt;=60,"Follow-up due "&amp;TEXT($M9,"dd/mm/yyyy"),"Checked"))))</f>
        <v>Checked (no follow-up)</v>
      </c>
      <c r="O9" s="52">
        <f>TODAY()-(30)</f>
        <v>46267.0</v>
      </c>
      <c r="P9" s="52">
        <f>TODAY()-(30)</f>
        <v>46267.0</v>
      </c>
      <c r="Q9" s="122" t="str">
        <f>IF($A9="","",IF(NOT(ISNUMBER($D9)),"Enter start date",IF($D9&gt;=DATE(2026,5,1),IF(ISNUMBER($O9),"Complete","Missing: written terms"),IF(OR(ISNUMBER($P9),ISNUMBER($O9)),"Complete","Missing: Information Sheet (was due 31/05/2026)"))))</f>
        <v>Complete</v>
      </c>
      <c r="R9" s="52"/>
      <c r="S9" s="82">
        <f>IF(ISNUMBER($R9),$R9+364,IF(ISNUMBER($D9),$D9+364,""))</f>
        <v>46631.0</v>
      </c>
      <c r="T9" s="52"/>
      <c r="U9" s="82">
        <f>IF(ISNUMBER($T9),IF(ISNUMBER($S9),MAX(EDATE($T9,2),$S9),EDATE($T9,2)),"")</f>
        <v/>
      </c>
      <c r="V9" s="52">
        <f>TODAY()-(60)</f>
        <v>46237.0</v>
      </c>
      <c r="W9" s="52">
        <f>TODAY()-(40)</f>
        <v>46257.0</v>
      </c>
      <c r="X9" s="121" t="str">
        <f>IF(NOT(ISNUMBER($V9)),"",IF(ISNUMBER($W9),IF($W9-$V9&lt;=28,"Answered in time","LATE: answered after day 28"),IF(TODAY()-$V9&gt;28,"OVERDUE: no reply yet","Reply due by "&amp;TEXT($V9+28,"dd/mm/yyyy"))))</f>
        <v>Answered in time</v>
      </c>
      <c r="Y9" s="54" t="s">
        <v>427</v>
      </c>
    </row>
    <row r="10" spans="1:25">
      <c r="A10" s="54"/>
      <c r="B10" s="54"/>
      <c r="C10" s="51"/>
      <c r="D10" s="52"/>
      <c r="E10" s="120"/>
      <c r="F10" s="120"/>
      <c r="G10" s="52"/>
      <c r="H10" s="52"/>
      <c r="I10" s="52"/>
      <c r="J10" s="121">
        <f>IF(OR($A10="",NOT(ISNUMBER($F10))),"",IF($F10&lt;=0,"No deposit",IF(NOT(ISNUMBER($G10)),"Enter date received",IF(AND(ISNUMBER($H10),ISNUMBER($I10)),IF(MAX($H10,$I10)-$G10&lt;=29,"OK","LATE: protected / info served after day 30"),IF(TODAY()-$G10&gt;29,"OVERDUE: not protected / info not served","Protect + serve info by "&amp;TEXT($G10+29,"dd/mm/yyyy"))))))</f>
        <v/>
      </c>
      <c r="K10" s="97">
        <f>IF(OR(NOT(ISNUMBER($E10)),NOT(ISNUMBER($F10))),"",IF($F10&lt;=$E10*12/52*5,"OK","Over 5 weeks"))</f>
        <v/>
      </c>
      <c r="L10" s="52"/>
      <c r="M10" s="52"/>
      <c r="N10" s="122">
        <f>IF(OR($A10="",NOT(ISNUMBER($L10))),IF($A10="","","Not recorded"),IF(NOT(ISNUMBER($M10)),"Checked (no follow-up)",IF($M10&lt;TODAY(),"OVERDUE: follow-up check",IF($M10-TODAY()&lt;=60,"Follow-up due "&amp;TEXT($M10,"dd/mm/yyyy"),"Checked"))))</f>
        <v/>
      </c>
      <c r="O10" s="52"/>
      <c r="P10" s="52"/>
      <c r="Q10" s="122">
        <f>IF($A10="","",IF(NOT(ISNUMBER($D10)),"Enter start date",IF($D10&gt;=DATE(2026,5,1),IF(ISNUMBER($O10),"Complete","Missing: written terms"),IF(OR(ISNUMBER($P10),ISNUMBER($O10)),"Complete","Missing: Information Sheet (was due 31/05/2026)"))))</f>
        <v/>
      </c>
      <c r="R10" s="52"/>
      <c r="S10" s="82">
        <f>IF(ISNUMBER($R10),$R10+364,IF(ISNUMBER($D10),$D10+364,""))</f>
        <v/>
      </c>
      <c r="T10" s="52"/>
      <c r="U10" s="82">
        <f>IF(ISNUMBER($T10),IF(ISNUMBER($S10),MAX(EDATE($T10,2),$S10),EDATE($T10,2)),"")</f>
        <v/>
      </c>
      <c r="V10" s="52"/>
      <c r="W10" s="52"/>
      <c r="X10" s="121">
        <f>IF(NOT(ISNUMBER($V10)),"",IF(ISNUMBER($W10),IF($W10-$V10&lt;=28,"Answered in time","LATE: answered after day 28"),IF(TODAY()-$V10&gt;28,"OVERDUE: no reply yet","Reply due by "&amp;TEXT($V10+28,"dd/mm/yyyy"))))</f>
        <v/>
      </c>
      <c r="Y10" s="54"/>
    </row>
    <row r="11" spans="1:25">
      <c r="A11" s="54"/>
      <c r="B11" s="54"/>
      <c r="C11" s="51"/>
      <c r="D11" s="52"/>
      <c r="E11" s="120"/>
      <c r="F11" s="120"/>
      <c r="G11" s="52"/>
      <c r="H11" s="52"/>
      <c r="I11" s="52"/>
      <c r="J11" s="121">
        <f>IF(OR($A11="",NOT(ISNUMBER($F11))),"",IF($F11&lt;=0,"No deposit",IF(NOT(ISNUMBER($G11)),"Enter date received",IF(AND(ISNUMBER($H11),ISNUMBER($I11)),IF(MAX($H11,$I11)-$G11&lt;=29,"OK","LATE: protected / info served after day 30"),IF(TODAY()-$G11&gt;29,"OVERDUE: not protected / info not served","Protect + serve info by "&amp;TEXT($G11+29,"dd/mm/yyyy"))))))</f>
        <v/>
      </c>
      <c r="K11" s="97">
        <f>IF(OR(NOT(ISNUMBER($E11)),NOT(ISNUMBER($F11))),"",IF($F11&lt;=$E11*12/52*5,"OK","Over 5 weeks"))</f>
        <v/>
      </c>
      <c r="L11" s="52"/>
      <c r="M11" s="52"/>
      <c r="N11" s="122">
        <f>IF(OR($A11="",NOT(ISNUMBER($L11))),IF($A11="","","Not recorded"),IF(NOT(ISNUMBER($M11)),"Checked (no follow-up)",IF($M11&lt;TODAY(),"OVERDUE: follow-up check",IF($M11-TODAY()&lt;=60,"Follow-up due "&amp;TEXT($M11,"dd/mm/yyyy"),"Checked"))))</f>
        <v/>
      </c>
      <c r="O11" s="52"/>
      <c r="P11" s="52"/>
      <c r="Q11" s="122">
        <f>IF($A11="","",IF(NOT(ISNUMBER($D11)),"Enter start date",IF($D11&gt;=DATE(2026,5,1),IF(ISNUMBER($O11),"Complete","Missing: written terms"),IF(OR(ISNUMBER($P11),ISNUMBER($O11)),"Complete","Missing: Information Sheet (was due 31/05/2026)"))))</f>
        <v/>
      </c>
      <c r="R11" s="52"/>
      <c r="S11" s="82">
        <f>IF(ISNUMBER($R11),$R11+364,IF(ISNUMBER($D11),$D11+364,""))</f>
        <v/>
      </c>
      <c r="T11" s="52"/>
      <c r="U11" s="82">
        <f>IF(ISNUMBER($T11),IF(ISNUMBER($S11),MAX(EDATE($T11,2),$S11),EDATE($T11,2)),"")</f>
        <v/>
      </c>
      <c r="V11" s="52"/>
      <c r="W11" s="52"/>
      <c r="X11" s="121">
        <f>IF(NOT(ISNUMBER($V11)),"",IF(ISNUMBER($W11),IF($W11-$V11&lt;=28,"Answered in time","LATE: answered after day 28"),IF(TODAY()-$V11&gt;28,"OVERDUE: no reply yet","Reply due by "&amp;TEXT($V11+28,"dd/mm/yyyy"))))</f>
        <v/>
      </c>
      <c r="Y11" s="54"/>
    </row>
    <row r="12" spans="1:25">
      <c r="A12" s="54"/>
      <c r="B12" s="54"/>
      <c r="C12" s="51"/>
      <c r="D12" s="52"/>
      <c r="E12" s="120"/>
      <c r="F12" s="120"/>
      <c r="G12" s="52"/>
      <c r="H12" s="52"/>
      <c r="I12" s="52"/>
      <c r="J12" s="121">
        <f>IF(OR($A12="",NOT(ISNUMBER($F12))),"",IF($F12&lt;=0,"No deposit",IF(NOT(ISNUMBER($G12)),"Enter date received",IF(AND(ISNUMBER($H12),ISNUMBER($I12)),IF(MAX($H12,$I12)-$G12&lt;=29,"OK","LATE: protected / info served after day 30"),IF(TODAY()-$G12&gt;29,"OVERDUE: not protected / info not served","Protect + serve info by "&amp;TEXT($G12+29,"dd/mm/yyyy"))))))</f>
        <v/>
      </c>
      <c r="K12" s="97">
        <f>IF(OR(NOT(ISNUMBER($E12)),NOT(ISNUMBER($F12))),"",IF($F12&lt;=$E12*12/52*5,"OK","Over 5 weeks"))</f>
        <v/>
      </c>
      <c r="L12" s="52"/>
      <c r="M12" s="52"/>
      <c r="N12" s="122">
        <f>IF(OR($A12="",NOT(ISNUMBER($L12))),IF($A12="","","Not recorded"),IF(NOT(ISNUMBER($M12)),"Checked (no follow-up)",IF($M12&lt;TODAY(),"OVERDUE: follow-up check",IF($M12-TODAY()&lt;=60,"Follow-up due "&amp;TEXT($M12,"dd/mm/yyyy"),"Checked"))))</f>
        <v/>
      </c>
      <c r="O12" s="52"/>
      <c r="P12" s="52"/>
      <c r="Q12" s="122">
        <f>IF($A12="","",IF(NOT(ISNUMBER($D12)),"Enter start date",IF($D12&gt;=DATE(2026,5,1),IF(ISNUMBER($O12),"Complete","Missing: written terms"),IF(OR(ISNUMBER($P12),ISNUMBER($O12)),"Complete","Missing: Information Sheet (was due 31/05/2026)"))))</f>
        <v/>
      </c>
      <c r="R12" s="52"/>
      <c r="S12" s="82">
        <f>IF(ISNUMBER($R12),$R12+364,IF(ISNUMBER($D12),$D12+364,""))</f>
        <v/>
      </c>
      <c r="T12" s="52"/>
      <c r="U12" s="82">
        <f>IF(ISNUMBER($T12),IF(ISNUMBER($S12),MAX(EDATE($T12,2),$S12),EDATE($T12,2)),"")</f>
        <v/>
      </c>
      <c r="V12" s="52"/>
      <c r="W12" s="52"/>
      <c r="X12" s="121">
        <f>IF(NOT(ISNUMBER($V12)),"",IF(ISNUMBER($W12),IF($W12-$V12&lt;=28,"Answered in time","LATE: answered after day 28"),IF(TODAY()-$V12&gt;28,"OVERDUE: no reply yet","Reply due by "&amp;TEXT($V12+28,"dd/mm/yyyy"))))</f>
        <v/>
      </c>
      <c r="Y12" s="54"/>
    </row>
    <row r="13" spans="1:25">
      <c r="A13" s="54"/>
      <c r="B13" s="54"/>
      <c r="C13" s="51"/>
      <c r="D13" s="52"/>
      <c r="E13" s="120"/>
      <c r="F13" s="120"/>
      <c r="G13" s="52"/>
      <c r="H13" s="52"/>
      <c r="I13" s="52"/>
      <c r="J13" s="121">
        <f>IF(OR($A13="",NOT(ISNUMBER($F13))),"",IF($F13&lt;=0,"No deposit",IF(NOT(ISNUMBER($G13)),"Enter date received",IF(AND(ISNUMBER($H13),ISNUMBER($I13)),IF(MAX($H13,$I13)-$G13&lt;=29,"OK","LATE: protected / info served after day 30"),IF(TODAY()-$G13&gt;29,"OVERDUE: not protected / info not served","Protect + serve info by "&amp;TEXT($G13+29,"dd/mm/yyyy"))))))</f>
        <v/>
      </c>
      <c r="K13" s="97">
        <f>IF(OR(NOT(ISNUMBER($E13)),NOT(ISNUMBER($F13))),"",IF($F13&lt;=$E13*12/52*5,"OK","Over 5 weeks"))</f>
        <v/>
      </c>
      <c r="L13" s="52"/>
      <c r="M13" s="52"/>
      <c r="N13" s="122">
        <f>IF(OR($A13="",NOT(ISNUMBER($L13))),IF($A13="","","Not recorded"),IF(NOT(ISNUMBER($M13)),"Checked (no follow-up)",IF($M13&lt;TODAY(),"OVERDUE: follow-up check",IF($M13-TODAY()&lt;=60,"Follow-up due "&amp;TEXT($M13,"dd/mm/yyyy"),"Checked"))))</f>
        <v/>
      </c>
      <c r="O13" s="52"/>
      <c r="P13" s="52"/>
      <c r="Q13" s="122">
        <f>IF($A13="","",IF(NOT(ISNUMBER($D13)),"Enter start date",IF($D13&gt;=DATE(2026,5,1),IF(ISNUMBER($O13),"Complete","Missing: written terms"),IF(OR(ISNUMBER($P13),ISNUMBER($O13)),"Complete","Missing: Information Sheet (was due 31/05/2026)"))))</f>
        <v/>
      </c>
      <c r="R13" s="52"/>
      <c r="S13" s="82">
        <f>IF(ISNUMBER($R13),$R13+364,IF(ISNUMBER($D13),$D13+364,""))</f>
        <v/>
      </c>
      <c r="T13" s="52"/>
      <c r="U13" s="82">
        <f>IF(ISNUMBER($T13),IF(ISNUMBER($S13),MAX(EDATE($T13,2),$S13),EDATE($T13,2)),"")</f>
        <v/>
      </c>
      <c r="V13" s="52"/>
      <c r="W13" s="52"/>
      <c r="X13" s="121">
        <f>IF(NOT(ISNUMBER($V13)),"",IF(ISNUMBER($W13),IF($W13-$V13&lt;=28,"Answered in time","LATE: answered after day 28"),IF(TODAY()-$V13&gt;28,"OVERDUE: no reply yet","Reply due by "&amp;TEXT($V13+28,"dd/mm/yyyy"))))</f>
        <v/>
      </c>
      <c r="Y13" s="54"/>
    </row>
    <row r="14" spans="1:25">
      <c r="A14" s="54"/>
      <c r="B14" s="54"/>
      <c r="C14" s="51"/>
      <c r="D14" s="52"/>
      <c r="E14" s="120"/>
      <c r="F14" s="120"/>
      <c r="G14" s="52"/>
      <c r="H14" s="52"/>
      <c r="I14" s="52"/>
      <c r="J14" s="121">
        <f>IF(OR($A14="",NOT(ISNUMBER($F14))),"",IF($F14&lt;=0,"No deposit",IF(NOT(ISNUMBER($G14)),"Enter date received",IF(AND(ISNUMBER($H14),ISNUMBER($I14)),IF(MAX($H14,$I14)-$G14&lt;=29,"OK","LATE: protected / info served after day 30"),IF(TODAY()-$G14&gt;29,"OVERDUE: not protected / info not served","Protect + serve info by "&amp;TEXT($G14+29,"dd/mm/yyyy"))))))</f>
        <v/>
      </c>
      <c r="K14" s="97">
        <f>IF(OR(NOT(ISNUMBER($E14)),NOT(ISNUMBER($F14))),"",IF($F14&lt;=$E14*12/52*5,"OK","Over 5 weeks"))</f>
        <v/>
      </c>
      <c r="L14" s="52"/>
      <c r="M14" s="52"/>
      <c r="N14" s="122">
        <f>IF(OR($A14="",NOT(ISNUMBER($L14))),IF($A14="","","Not recorded"),IF(NOT(ISNUMBER($M14)),"Checked (no follow-up)",IF($M14&lt;TODAY(),"OVERDUE: follow-up check",IF($M14-TODAY()&lt;=60,"Follow-up due "&amp;TEXT($M14,"dd/mm/yyyy"),"Checked"))))</f>
        <v/>
      </c>
      <c r="O14" s="52"/>
      <c r="P14" s="52"/>
      <c r="Q14" s="122">
        <f>IF($A14="","",IF(NOT(ISNUMBER($D14)),"Enter start date",IF($D14&gt;=DATE(2026,5,1),IF(ISNUMBER($O14),"Complete","Missing: written terms"),IF(OR(ISNUMBER($P14),ISNUMBER($O14)),"Complete","Missing: Information Sheet (was due 31/05/2026)"))))</f>
        <v/>
      </c>
      <c r="R14" s="52"/>
      <c r="S14" s="82">
        <f>IF(ISNUMBER($R14),$R14+364,IF(ISNUMBER($D14),$D14+364,""))</f>
        <v/>
      </c>
      <c r="T14" s="52"/>
      <c r="U14" s="82">
        <f>IF(ISNUMBER($T14),IF(ISNUMBER($S14),MAX(EDATE($T14,2),$S14),EDATE($T14,2)),"")</f>
        <v/>
      </c>
      <c r="V14" s="52"/>
      <c r="W14" s="52"/>
      <c r="X14" s="121">
        <f>IF(NOT(ISNUMBER($V14)),"",IF(ISNUMBER($W14),IF($W14-$V14&lt;=28,"Answered in time","LATE: answered after day 28"),IF(TODAY()-$V14&gt;28,"OVERDUE: no reply yet","Reply due by "&amp;TEXT($V14+28,"dd/mm/yyyy"))))</f>
        <v/>
      </c>
      <c r="Y14" s="54"/>
    </row>
    <row r="15" spans="1:25">
      <c r="A15" s="54"/>
      <c r="B15" s="54"/>
      <c r="C15" s="51"/>
      <c r="D15" s="52"/>
      <c r="E15" s="120"/>
      <c r="F15" s="120"/>
      <c r="G15" s="52"/>
      <c r="H15" s="52"/>
      <c r="I15" s="52"/>
      <c r="J15" s="121">
        <f>IF(OR($A15="",NOT(ISNUMBER($F15))),"",IF($F15&lt;=0,"No deposit",IF(NOT(ISNUMBER($G15)),"Enter date received",IF(AND(ISNUMBER($H15),ISNUMBER($I15)),IF(MAX($H15,$I15)-$G15&lt;=29,"OK","LATE: protected / info served after day 30"),IF(TODAY()-$G15&gt;29,"OVERDUE: not protected / info not served","Protect + serve info by "&amp;TEXT($G15+29,"dd/mm/yyyy"))))))</f>
        <v/>
      </c>
      <c r="K15" s="97">
        <f>IF(OR(NOT(ISNUMBER($E15)),NOT(ISNUMBER($F15))),"",IF($F15&lt;=$E15*12/52*5,"OK","Over 5 weeks"))</f>
        <v/>
      </c>
      <c r="L15" s="52"/>
      <c r="M15" s="52"/>
      <c r="N15" s="122">
        <f>IF(OR($A15="",NOT(ISNUMBER($L15))),IF($A15="","","Not recorded"),IF(NOT(ISNUMBER($M15)),"Checked (no follow-up)",IF($M15&lt;TODAY(),"OVERDUE: follow-up check",IF($M15-TODAY()&lt;=60,"Follow-up due "&amp;TEXT($M15,"dd/mm/yyyy"),"Checked"))))</f>
        <v/>
      </c>
      <c r="O15" s="52"/>
      <c r="P15" s="52"/>
      <c r="Q15" s="122">
        <f>IF($A15="","",IF(NOT(ISNUMBER($D15)),"Enter start date",IF($D15&gt;=DATE(2026,5,1),IF(ISNUMBER($O15),"Complete","Missing: written terms"),IF(OR(ISNUMBER($P15),ISNUMBER($O15)),"Complete","Missing: Information Sheet (was due 31/05/2026)"))))</f>
        <v/>
      </c>
      <c r="R15" s="52"/>
      <c r="S15" s="82">
        <f>IF(ISNUMBER($R15),$R15+364,IF(ISNUMBER($D15),$D15+364,""))</f>
        <v/>
      </c>
      <c r="T15" s="52"/>
      <c r="U15" s="82">
        <f>IF(ISNUMBER($T15),IF(ISNUMBER($S15),MAX(EDATE($T15,2),$S15),EDATE($T15,2)),"")</f>
        <v/>
      </c>
      <c r="V15" s="52"/>
      <c r="W15" s="52"/>
      <c r="X15" s="121">
        <f>IF(NOT(ISNUMBER($V15)),"",IF(ISNUMBER($W15),IF($W15-$V15&lt;=28,"Answered in time","LATE: answered after day 28"),IF(TODAY()-$V15&gt;28,"OVERDUE: no reply yet","Reply due by "&amp;TEXT($V15+28,"dd/mm/yyyy"))))</f>
        <v/>
      </c>
      <c r="Y15" s="54"/>
    </row>
    <row r="16" spans="1:25">
      <c r="A16" s="54"/>
      <c r="B16" s="54"/>
      <c r="C16" s="51"/>
      <c r="D16" s="52"/>
      <c r="E16" s="120"/>
      <c r="F16" s="120"/>
      <c r="G16" s="52"/>
      <c r="H16" s="52"/>
      <c r="I16" s="52"/>
      <c r="J16" s="121">
        <f>IF(OR($A16="",NOT(ISNUMBER($F16))),"",IF($F16&lt;=0,"No deposit",IF(NOT(ISNUMBER($G16)),"Enter date received",IF(AND(ISNUMBER($H16),ISNUMBER($I16)),IF(MAX($H16,$I16)-$G16&lt;=29,"OK","LATE: protected / info served after day 30"),IF(TODAY()-$G16&gt;29,"OVERDUE: not protected / info not served","Protect + serve info by "&amp;TEXT($G16+29,"dd/mm/yyyy"))))))</f>
        <v/>
      </c>
      <c r="K16" s="97">
        <f>IF(OR(NOT(ISNUMBER($E16)),NOT(ISNUMBER($F16))),"",IF($F16&lt;=$E16*12/52*5,"OK","Over 5 weeks"))</f>
        <v/>
      </c>
      <c r="L16" s="52"/>
      <c r="M16" s="52"/>
      <c r="N16" s="122">
        <f>IF(OR($A16="",NOT(ISNUMBER($L16))),IF($A16="","","Not recorded"),IF(NOT(ISNUMBER($M16)),"Checked (no follow-up)",IF($M16&lt;TODAY(),"OVERDUE: follow-up check",IF($M16-TODAY()&lt;=60,"Follow-up due "&amp;TEXT($M16,"dd/mm/yyyy"),"Checked"))))</f>
        <v/>
      </c>
      <c r="O16" s="52"/>
      <c r="P16" s="52"/>
      <c r="Q16" s="122">
        <f>IF($A16="","",IF(NOT(ISNUMBER($D16)),"Enter start date",IF($D16&gt;=DATE(2026,5,1),IF(ISNUMBER($O16),"Complete","Missing: written terms"),IF(OR(ISNUMBER($P16),ISNUMBER($O16)),"Complete","Missing: Information Sheet (was due 31/05/2026)"))))</f>
        <v/>
      </c>
      <c r="R16" s="52"/>
      <c r="S16" s="82">
        <f>IF(ISNUMBER($R16),$R16+364,IF(ISNUMBER($D16),$D16+364,""))</f>
        <v/>
      </c>
      <c r="T16" s="52"/>
      <c r="U16" s="82">
        <f>IF(ISNUMBER($T16),IF(ISNUMBER($S16),MAX(EDATE($T16,2),$S16),EDATE($T16,2)),"")</f>
        <v/>
      </c>
      <c r="V16" s="52"/>
      <c r="W16" s="52"/>
      <c r="X16" s="121">
        <f>IF(NOT(ISNUMBER($V16)),"",IF(ISNUMBER($W16),IF($W16-$V16&lt;=28,"Answered in time","LATE: answered after day 28"),IF(TODAY()-$V16&gt;28,"OVERDUE: no reply yet","Reply due by "&amp;TEXT($V16+28,"dd/mm/yyyy"))))</f>
        <v/>
      </c>
      <c r="Y16" s="54"/>
    </row>
    <row r="17" spans="1:25">
      <c r="A17" s="54"/>
      <c r="B17" s="54"/>
      <c r="C17" s="51"/>
      <c r="D17" s="52"/>
      <c r="E17" s="120"/>
      <c r="F17" s="120"/>
      <c r="G17" s="52"/>
      <c r="H17" s="52"/>
      <c r="I17" s="52"/>
      <c r="J17" s="121">
        <f>IF(OR($A17="",NOT(ISNUMBER($F17))),"",IF($F17&lt;=0,"No deposit",IF(NOT(ISNUMBER($G17)),"Enter date received",IF(AND(ISNUMBER($H17),ISNUMBER($I17)),IF(MAX($H17,$I17)-$G17&lt;=29,"OK","LATE: protected / info served after day 30"),IF(TODAY()-$G17&gt;29,"OVERDUE: not protected / info not served","Protect + serve info by "&amp;TEXT($G17+29,"dd/mm/yyyy"))))))</f>
        <v/>
      </c>
      <c r="K17" s="97">
        <f>IF(OR(NOT(ISNUMBER($E17)),NOT(ISNUMBER($F17))),"",IF($F17&lt;=$E17*12/52*5,"OK","Over 5 weeks"))</f>
        <v/>
      </c>
      <c r="L17" s="52"/>
      <c r="M17" s="52"/>
      <c r="N17" s="122">
        <f>IF(OR($A17="",NOT(ISNUMBER($L17))),IF($A17="","","Not recorded"),IF(NOT(ISNUMBER($M17)),"Checked (no follow-up)",IF($M17&lt;TODAY(),"OVERDUE: follow-up check",IF($M17-TODAY()&lt;=60,"Follow-up due "&amp;TEXT($M17,"dd/mm/yyyy"),"Checked"))))</f>
        <v/>
      </c>
      <c r="O17" s="52"/>
      <c r="P17" s="52"/>
      <c r="Q17" s="122">
        <f>IF($A17="","",IF(NOT(ISNUMBER($D17)),"Enter start date",IF($D17&gt;=DATE(2026,5,1),IF(ISNUMBER($O17),"Complete","Missing: written terms"),IF(OR(ISNUMBER($P17),ISNUMBER($O17)),"Complete","Missing: Information Sheet (was due 31/05/2026)"))))</f>
        <v/>
      </c>
      <c r="R17" s="52"/>
      <c r="S17" s="82">
        <f>IF(ISNUMBER($R17),$R17+364,IF(ISNUMBER($D17),$D17+364,""))</f>
        <v/>
      </c>
      <c r="T17" s="52"/>
      <c r="U17" s="82">
        <f>IF(ISNUMBER($T17),IF(ISNUMBER($S17),MAX(EDATE($T17,2),$S17),EDATE($T17,2)),"")</f>
        <v/>
      </c>
      <c r="V17" s="52"/>
      <c r="W17" s="52"/>
      <c r="X17" s="121">
        <f>IF(NOT(ISNUMBER($V17)),"",IF(ISNUMBER($W17),IF($W17-$V17&lt;=28,"Answered in time","LATE: answered after day 28"),IF(TODAY()-$V17&gt;28,"OVERDUE: no reply yet","Reply due by "&amp;TEXT($V17+28,"dd/mm/yyyy"))))</f>
        <v/>
      </c>
      <c r="Y17" s="54"/>
    </row>
    <row r="18" spans="1:25">
      <c r="A18" s="54"/>
      <c r="B18" s="54"/>
      <c r="C18" s="51"/>
      <c r="D18" s="52"/>
      <c r="E18" s="120"/>
      <c r="F18" s="120"/>
      <c r="G18" s="52"/>
      <c r="H18" s="52"/>
      <c r="I18" s="52"/>
      <c r="J18" s="121">
        <f>IF(OR($A18="",NOT(ISNUMBER($F18))),"",IF($F18&lt;=0,"No deposit",IF(NOT(ISNUMBER($G18)),"Enter date received",IF(AND(ISNUMBER($H18),ISNUMBER($I18)),IF(MAX($H18,$I18)-$G18&lt;=29,"OK","LATE: protected / info served after day 30"),IF(TODAY()-$G18&gt;29,"OVERDUE: not protected / info not served","Protect + serve info by "&amp;TEXT($G18+29,"dd/mm/yyyy"))))))</f>
        <v/>
      </c>
      <c r="K18" s="97">
        <f>IF(OR(NOT(ISNUMBER($E18)),NOT(ISNUMBER($F18))),"",IF($F18&lt;=$E18*12/52*5,"OK","Over 5 weeks"))</f>
        <v/>
      </c>
      <c r="L18" s="52"/>
      <c r="M18" s="52"/>
      <c r="N18" s="122">
        <f>IF(OR($A18="",NOT(ISNUMBER($L18))),IF($A18="","","Not recorded"),IF(NOT(ISNUMBER($M18)),"Checked (no follow-up)",IF($M18&lt;TODAY(),"OVERDUE: follow-up check",IF($M18-TODAY()&lt;=60,"Follow-up due "&amp;TEXT($M18,"dd/mm/yyyy"),"Checked"))))</f>
        <v/>
      </c>
      <c r="O18" s="52"/>
      <c r="P18" s="52"/>
      <c r="Q18" s="122">
        <f>IF($A18="","",IF(NOT(ISNUMBER($D18)),"Enter start date",IF($D18&gt;=DATE(2026,5,1),IF(ISNUMBER($O18),"Complete","Missing: written terms"),IF(OR(ISNUMBER($P18),ISNUMBER($O18)),"Complete","Missing: Information Sheet (was due 31/05/2026)"))))</f>
        <v/>
      </c>
      <c r="R18" s="52"/>
      <c r="S18" s="82">
        <f>IF(ISNUMBER($R18),$R18+364,IF(ISNUMBER($D18),$D18+364,""))</f>
        <v/>
      </c>
      <c r="T18" s="52"/>
      <c r="U18" s="82">
        <f>IF(ISNUMBER($T18),IF(ISNUMBER($S18),MAX(EDATE($T18,2),$S18),EDATE($T18,2)),"")</f>
        <v/>
      </c>
      <c r="V18" s="52"/>
      <c r="W18" s="52"/>
      <c r="X18" s="121">
        <f>IF(NOT(ISNUMBER($V18)),"",IF(ISNUMBER($W18),IF($W18-$V18&lt;=28,"Answered in time","LATE: answered after day 28"),IF(TODAY()-$V18&gt;28,"OVERDUE: no reply yet","Reply due by "&amp;TEXT($V18+28,"dd/mm/yyyy"))))</f>
        <v/>
      </c>
      <c r="Y18" s="54"/>
    </row>
    <row r="19" spans="1:25">
      <c r="A19" s="54"/>
      <c r="B19" s="54"/>
      <c r="C19" s="51"/>
      <c r="D19" s="52"/>
      <c r="E19" s="120"/>
      <c r="F19" s="120"/>
      <c r="G19" s="52"/>
      <c r="H19" s="52"/>
      <c r="I19" s="52"/>
      <c r="J19" s="121">
        <f>IF(OR($A19="",NOT(ISNUMBER($F19))),"",IF($F19&lt;=0,"No deposit",IF(NOT(ISNUMBER($G19)),"Enter date received",IF(AND(ISNUMBER($H19),ISNUMBER($I19)),IF(MAX($H19,$I19)-$G19&lt;=29,"OK","LATE: protected / info served after day 30"),IF(TODAY()-$G19&gt;29,"OVERDUE: not protected / info not served","Protect + serve info by "&amp;TEXT($G19+29,"dd/mm/yyyy"))))))</f>
        <v/>
      </c>
      <c r="K19" s="97">
        <f>IF(OR(NOT(ISNUMBER($E19)),NOT(ISNUMBER($F19))),"",IF($F19&lt;=$E19*12/52*5,"OK","Over 5 weeks"))</f>
        <v/>
      </c>
      <c r="L19" s="52"/>
      <c r="M19" s="52"/>
      <c r="N19" s="122">
        <f>IF(OR($A19="",NOT(ISNUMBER($L19))),IF($A19="","","Not recorded"),IF(NOT(ISNUMBER($M19)),"Checked (no follow-up)",IF($M19&lt;TODAY(),"OVERDUE: follow-up check",IF($M19-TODAY()&lt;=60,"Follow-up due "&amp;TEXT($M19,"dd/mm/yyyy"),"Checked"))))</f>
        <v/>
      </c>
      <c r="O19" s="52"/>
      <c r="P19" s="52"/>
      <c r="Q19" s="122">
        <f>IF($A19="","",IF(NOT(ISNUMBER($D19)),"Enter start date",IF($D19&gt;=DATE(2026,5,1),IF(ISNUMBER($O19),"Complete","Missing: written terms"),IF(OR(ISNUMBER($P19),ISNUMBER($O19)),"Complete","Missing: Information Sheet (was due 31/05/2026)"))))</f>
        <v/>
      </c>
      <c r="R19" s="52"/>
      <c r="S19" s="82">
        <f>IF(ISNUMBER($R19),$R19+364,IF(ISNUMBER($D19),$D19+364,""))</f>
        <v/>
      </c>
      <c r="T19" s="52"/>
      <c r="U19" s="82">
        <f>IF(ISNUMBER($T19),IF(ISNUMBER($S19),MAX(EDATE($T19,2),$S19),EDATE($T19,2)),"")</f>
        <v/>
      </c>
      <c r="V19" s="52"/>
      <c r="W19" s="52"/>
      <c r="X19" s="121">
        <f>IF(NOT(ISNUMBER($V19)),"",IF(ISNUMBER($W19),IF($W19-$V19&lt;=28,"Answered in time","LATE: answered after day 28"),IF(TODAY()-$V19&gt;28,"OVERDUE: no reply yet","Reply due by "&amp;TEXT($V19+28,"dd/mm/yyyy"))))</f>
        <v/>
      </c>
      <c r="Y19" s="54"/>
    </row>
    <row r="20" spans="1:25">
      <c r="A20" s="54"/>
      <c r="B20" s="54"/>
      <c r="C20" s="51"/>
      <c r="D20" s="52"/>
      <c r="E20" s="120"/>
      <c r="F20" s="120"/>
      <c r="G20" s="52"/>
      <c r="H20" s="52"/>
      <c r="I20" s="52"/>
      <c r="J20" s="121">
        <f>IF(OR($A20="",NOT(ISNUMBER($F20))),"",IF($F20&lt;=0,"No deposit",IF(NOT(ISNUMBER($G20)),"Enter date received",IF(AND(ISNUMBER($H20),ISNUMBER($I20)),IF(MAX($H20,$I20)-$G20&lt;=29,"OK","LATE: protected / info served after day 30"),IF(TODAY()-$G20&gt;29,"OVERDUE: not protected / info not served","Protect + serve info by "&amp;TEXT($G20+29,"dd/mm/yyyy"))))))</f>
        <v/>
      </c>
      <c r="K20" s="97">
        <f>IF(OR(NOT(ISNUMBER($E20)),NOT(ISNUMBER($F20))),"",IF($F20&lt;=$E20*12/52*5,"OK","Over 5 weeks"))</f>
        <v/>
      </c>
      <c r="L20" s="52"/>
      <c r="M20" s="52"/>
      <c r="N20" s="122">
        <f>IF(OR($A20="",NOT(ISNUMBER($L20))),IF($A20="","","Not recorded"),IF(NOT(ISNUMBER($M20)),"Checked (no follow-up)",IF($M20&lt;TODAY(),"OVERDUE: follow-up check",IF($M20-TODAY()&lt;=60,"Follow-up due "&amp;TEXT($M20,"dd/mm/yyyy"),"Checked"))))</f>
        <v/>
      </c>
      <c r="O20" s="52"/>
      <c r="P20" s="52"/>
      <c r="Q20" s="122">
        <f>IF($A20="","",IF(NOT(ISNUMBER($D20)),"Enter start date",IF($D20&gt;=DATE(2026,5,1),IF(ISNUMBER($O20),"Complete","Missing: written terms"),IF(OR(ISNUMBER($P20),ISNUMBER($O20)),"Complete","Missing: Information Sheet (was due 31/05/2026)"))))</f>
        <v/>
      </c>
      <c r="R20" s="52"/>
      <c r="S20" s="82">
        <f>IF(ISNUMBER($R20),$R20+364,IF(ISNUMBER($D20),$D20+364,""))</f>
        <v/>
      </c>
      <c r="T20" s="52"/>
      <c r="U20" s="82">
        <f>IF(ISNUMBER($T20),IF(ISNUMBER($S20),MAX(EDATE($T20,2),$S20),EDATE($T20,2)),"")</f>
        <v/>
      </c>
      <c r="V20" s="52"/>
      <c r="W20" s="52"/>
      <c r="X20" s="121">
        <f>IF(NOT(ISNUMBER($V20)),"",IF(ISNUMBER($W20),IF($W20-$V20&lt;=28,"Answered in time","LATE: answered after day 28"),IF(TODAY()-$V20&gt;28,"OVERDUE: no reply yet","Reply due by "&amp;TEXT($V20+28,"dd/mm/yyyy"))))</f>
        <v/>
      </c>
      <c r="Y20" s="54"/>
    </row>
    <row r="21" spans="1:25">
      <c r="A21" s="54"/>
      <c r="B21" s="54"/>
      <c r="C21" s="51"/>
      <c r="D21" s="52"/>
      <c r="E21" s="120"/>
      <c r="F21" s="120"/>
      <c r="G21" s="52"/>
      <c r="H21" s="52"/>
      <c r="I21" s="52"/>
      <c r="J21" s="121">
        <f>IF(OR($A21="",NOT(ISNUMBER($F21))),"",IF($F21&lt;=0,"No deposit",IF(NOT(ISNUMBER($G21)),"Enter date received",IF(AND(ISNUMBER($H21),ISNUMBER($I21)),IF(MAX($H21,$I21)-$G21&lt;=29,"OK","LATE: protected / info served after day 30"),IF(TODAY()-$G21&gt;29,"OVERDUE: not protected / info not served","Protect + serve info by "&amp;TEXT($G21+29,"dd/mm/yyyy"))))))</f>
        <v/>
      </c>
      <c r="K21" s="97">
        <f>IF(OR(NOT(ISNUMBER($E21)),NOT(ISNUMBER($F21))),"",IF($F21&lt;=$E21*12/52*5,"OK","Over 5 weeks"))</f>
        <v/>
      </c>
      <c r="L21" s="52"/>
      <c r="M21" s="52"/>
      <c r="N21" s="122">
        <f>IF(OR($A21="",NOT(ISNUMBER($L21))),IF($A21="","","Not recorded"),IF(NOT(ISNUMBER($M21)),"Checked (no follow-up)",IF($M21&lt;TODAY(),"OVERDUE: follow-up check",IF($M21-TODAY()&lt;=60,"Follow-up due "&amp;TEXT($M21,"dd/mm/yyyy"),"Checked"))))</f>
        <v/>
      </c>
      <c r="O21" s="52"/>
      <c r="P21" s="52"/>
      <c r="Q21" s="122">
        <f>IF($A21="","",IF(NOT(ISNUMBER($D21)),"Enter start date",IF($D21&gt;=DATE(2026,5,1),IF(ISNUMBER($O21),"Complete","Missing: written terms"),IF(OR(ISNUMBER($P21),ISNUMBER($O21)),"Complete","Missing: Information Sheet (was due 31/05/2026)"))))</f>
        <v/>
      </c>
      <c r="R21" s="52"/>
      <c r="S21" s="82">
        <f>IF(ISNUMBER($R21),$R21+364,IF(ISNUMBER($D21),$D21+364,""))</f>
        <v/>
      </c>
      <c r="T21" s="52"/>
      <c r="U21" s="82">
        <f>IF(ISNUMBER($T21),IF(ISNUMBER($S21),MAX(EDATE($T21,2),$S21),EDATE($T21,2)),"")</f>
        <v/>
      </c>
      <c r="V21" s="52"/>
      <c r="W21" s="52"/>
      <c r="X21" s="121">
        <f>IF(NOT(ISNUMBER($V21)),"",IF(ISNUMBER($W21),IF($W21-$V21&lt;=28,"Answered in time","LATE: answered after day 28"),IF(TODAY()-$V21&gt;28,"OVERDUE: no reply yet","Reply due by "&amp;TEXT($V21+28,"dd/mm/yyyy"))))</f>
        <v/>
      </c>
      <c r="Y21" s="54"/>
    </row>
    <row r="22" spans="1:25">
      <c r="A22" s="54"/>
      <c r="B22" s="54"/>
      <c r="C22" s="51"/>
      <c r="D22" s="52"/>
      <c r="E22" s="120"/>
      <c r="F22" s="120"/>
      <c r="G22" s="52"/>
      <c r="H22" s="52"/>
      <c r="I22" s="52"/>
      <c r="J22" s="121">
        <f>IF(OR($A22="",NOT(ISNUMBER($F22))),"",IF($F22&lt;=0,"No deposit",IF(NOT(ISNUMBER($G22)),"Enter date received",IF(AND(ISNUMBER($H22),ISNUMBER($I22)),IF(MAX($H22,$I22)-$G22&lt;=29,"OK","LATE: protected / info served after day 30"),IF(TODAY()-$G22&gt;29,"OVERDUE: not protected / info not served","Protect + serve info by "&amp;TEXT($G22+29,"dd/mm/yyyy"))))))</f>
        <v/>
      </c>
      <c r="K22" s="97">
        <f>IF(OR(NOT(ISNUMBER($E22)),NOT(ISNUMBER($F22))),"",IF($F22&lt;=$E22*12/52*5,"OK","Over 5 weeks"))</f>
        <v/>
      </c>
      <c r="L22" s="52"/>
      <c r="M22" s="52"/>
      <c r="N22" s="122">
        <f>IF(OR($A22="",NOT(ISNUMBER($L22))),IF($A22="","","Not recorded"),IF(NOT(ISNUMBER($M22)),"Checked (no follow-up)",IF($M22&lt;TODAY(),"OVERDUE: follow-up check",IF($M22-TODAY()&lt;=60,"Follow-up due "&amp;TEXT($M22,"dd/mm/yyyy"),"Checked"))))</f>
        <v/>
      </c>
      <c r="O22" s="52"/>
      <c r="P22" s="52"/>
      <c r="Q22" s="122">
        <f>IF($A22="","",IF(NOT(ISNUMBER($D22)),"Enter start date",IF($D22&gt;=DATE(2026,5,1),IF(ISNUMBER($O22),"Complete","Missing: written terms"),IF(OR(ISNUMBER($P22),ISNUMBER($O22)),"Complete","Missing: Information Sheet (was due 31/05/2026)"))))</f>
        <v/>
      </c>
      <c r="R22" s="52"/>
      <c r="S22" s="82">
        <f>IF(ISNUMBER($R22),$R22+364,IF(ISNUMBER($D22),$D22+364,""))</f>
        <v/>
      </c>
      <c r="T22" s="52"/>
      <c r="U22" s="82">
        <f>IF(ISNUMBER($T22),IF(ISNUMBER($S22),MAX(EDATE($T22,2),$S22),EDATE($T22,2)),"")</f>
        <v/>
      </c>
      <c r="V22" s="52"/>
      <c r="W22" s="52"/>
      <c r="X22" s="121">
        <f>IF(NOT(ISNUMBER($V22)),"",IF(ISNUMBER($W22),IF($W22-$V22&lt;=28,"Answered in time","LATE: answered after day 28"),IF(TODAY()-$V22&gt;28,"OVERDUE: no reply yet","Reply due by "&amp;TEXT($V22+28,"dd/mm/yyyy"))))</f>
        <v/>
      </c>
      <c r="Y22" s="54"/>
    </row>
    <row r="23" spans="1:25">
      <c r="A23" s="54"/>
      <c r="B23" s="54"/>
      <c r="C23" s="51"/>
      <c r="D23" s="52"/>
      <c r="E23" s="120"/>
      <c r="F23" s="120"/>
      <c r="G23" s="52"/>
      <c r="H23" s="52"/>
      <c r="I23" s="52"/>
      <c r="J23" s="121">
        <f>IF(OR($A23="",NOT(ISNUMBER($F23))),"",IF($F23&lt;=0,"No deposit",IF(NOT(ISNUMBER($G23)),"Enter date received",IF(AND(ISNUMBER($H23),ISNUMBER($I23)),IF(MAX($H23,$I23)-$G23&lt;=29,"OK","LATE: protected / info served after day 30"),IF(TODAY()-$G23&gt;29,"OVERDUE: not protected / info not served","Protect + serve info by "&amp;TEXT($G23+29,"dd/mm/yyyy"))))))</f>
        <v/>
      </c>
      <c r="K23" s="97">
        <f>IF(OR(NOT(ISNUMBER($E23)),NOT(ISNUMBER($F23))),"",IF($F23&lt;=$E23*12/52*5,"OK","Over 5 weeks"))</f>
        <v/>
      </c>
      <c r="L23" s="52"/>
      <c r="M23" s="52"/>
      <c r="N23" s="122">
        <f>IF(OR($A23="",NOT(ISNUMBER($L23))),IF($A23="","","Not recorded"),IF(NOT(ISNUMBER($M23)),"Checked (no follow-up)",IF($M23&lt;TODAY(),"OVERDUE: follow-up check",IF($M23-TODAY()&lt;=60,"Follow-up due "&amp;TEXT($M23,"dd/mm/yyyy"),"Checked"))))</f>
        <v/>
      </c>
      <c r="O23" s="52"/>
      <c r="P23" s="52"/>
      <c r="Q23" s="122">
        <f>IF($A23="","",IF(NOT(ISNUMBER($D23)),"Enter start date",IF($D23&gt;=DATE(2026,5,1),IF(ISNUMBER($O23),"Complete","Missing: written terms"),IF(OR(ISNUMBER($P23),ISNUMBER($O23)),"Complete","Missing: Information Sheet (was due 31/05/2026)"))))</f>
        <v/>
      </c>
      <c r="R23" s="52"/>
      <c r="S23" s="82">
        <f>IF(ISNUMBER($R23),$R23+364,IF(ISNUMBER($D23),$D23+364,""))</f>
        <v/>
      </c>
      <c r="T23" s="52"/>
      <c r="U23" s="82">
        <f>IF(ISNUMBER($T23),IF(ISNUMBER($S23),MAX(EDATE($T23,2),$S23),EDATE($T23,2)),"")</f>
        <v/>
      </c>
      <c r="V23" s="52"/>
      <c r="W23" s="52"/>
      <c r="X23" s="121">
        <f>IF(NOT(ISNUMBER($V23)),"",IF(ISNUMBER($W23),IF($W23-$V23&lt;=28,"Answered in time","LATE: answered after day 28"),IF(TODAY()-$V23&gt;28,"OVERDUE: no reply yet","Reply due by "&amp;TEXT($V23+28,"dd/mm/yyyy"))))</f>
        <v/>
      </c>
      <c r="Y23" s="54"/>
    </row>
    <row r="24" spans="1:25">
      <c r="A24" s="54"/>
      <c r="B24" s="54"/>
      <c r="C24" s="51"/>
      <c r="D24" s="52"/>
      <c r="E24" s="120"/>
      <c r="F24" s="120"/>
      <c r="G24" s="52"/>
      <c r="H24" s="52"/>
      <c r="I24" s="52"/>
      <c r="J24" s="121">
        <f>IF(OR($A24="",NOT(ISNUMBER($F24))),"",IF($F24&lt;=0,"No deposit",IF(NOT(ISNUMBER($G24)),"Enter date received",IF(AND(ISNUMBER($H24),ISNUMBER($I24)),IF(MAX($H24,$I24)-$G24&lt;=29,"OK","LATE: protected / info served after day 30"),IF(TODAY()-$G24&gt;29,"OVERDUE: not protected / info not served","Protect + serve info by "&amp;TEXT($G24+29,"dd/mm/yyyy"))))))</f>
        <v/>
      </c>
      <c r="K24" s="97">
        <f>IF(OR(NOT(ISNUMBER($E24)),NOT(ISNUMBER($F24))),"",IF($F24&lt;=$E24*12/52*5,"OK","Over 5 weeks"))</f>
        <v/>
      </c>
      <c r="L24" s="52"/>
      <c r="M24" s="52"/>
      <c r="N24" s="122">
        <f>IF(OR($A24="",NOT(ISNUMBER($L24))),IF($A24="","","Not recorded"),IF(NOT(ISNUMBER($M24)),"Checked (no follow-up)",IF($M24&lt;TODAY(),"OVERDUE: follow-up check",IF($M24-TODAY()&lt;=60,"Follow-up due "&amp;TEXT($M24,"dd/mm/yyyy"),"Checked"))))</f>
        <v/>
      </c>
      <c r="O24" s="52"/>
      <c r="P24" s="52"/>
      <c r="Q24" s="122">
        <f>IF($A24="","",IF(NOT(ISNUMBER($D24)),"Enter start date",IF($D24&gt;=DATE(2026,5,1),IF(ISNUMBER($O24),"Complete","Missing: written terms"),IF(OR(ISNUMBER($P24),ISNUMBER($O24)),"Complete","Missing: Information Sheet (was due 31/05/2026)"))))</f>
        <v/>
      </c>
      <c r="R24" s="52"/>
      <c r="S24" s="82">
        <f>IF(ISNUMBER($R24),$R24+364,IF(ISNUMBER($D24),$D24+364,""))</f>
        <v/>
      </c>
      <c r="T24" s="52"/>
      <c r="U24" s="82">
        <f>IF(ISNUMBER($T24),IF(ISNUMBER($S24),MAX(EDATE($T24,2),$S24),EDATE($T24,2)),"")</f>
        <v/>
      </c>
      <c r="V24" s="52"/>
      <c r="W24" s="52"/>
      <c r="X24" s="121">
        <f>IF(NOT(ISNUMBER($V24)),"",IF(ISNUMBER($W24),IF($W24-$V24&lt;=28,"Answered in time","LATE: answered after day 28"),IF(TODAY()-$V24&gt;28,"OVERDUE: no reply yet","Reply due by "&amp;TEXT($V24+28,"dd/mm/yyyy"))))</f>
        <v/>
      </c>
      <c r="Y24" s="54"/>
    </row>
    <row r="25" spans="1:25">
      <c r="A25" s="54"/>
      <c r="B25" s="54"/>
      <c r="C25" s="51"/>
      <c r="D25" s="52"/>
      <c r="E25" s="120"/>
      <c r="F25" s="120"/>
      <c r="G25" s="52"/>
      <c r="H25" s="52"/>
      <c r="I25" s="52"/>
      <c r="J25" s="121">
        <f>IF(OR($A25="",NOT(ISNUMBER($F25))),"",IF($F25&lt;=0,"No deposit",IF(NOT(ISNUMBER($G25)),"Enter date received",IF(AND(ISNUMBER($H25),ISNUMBER($I25)),IF(MAX($H25,$I25)-$G25&lt;=29,"OK","LATE: protected / info served after day 30"),IF(TODAY()-$G25&gt;29,"OVERDUE: not protected / info not served","Protect + serve info by "&amp;TEXT($G25+29,"dd/mm/yyyy"))))))</f>
        <v/>
      </c>
      <c r="K25" s="97">
        <f>IF(OR(NOT(ISNUMBER($E25)),NOT(ISNUMBER($F25))),"",IF($F25&lt;=$E25*12/52*5,"OK","Over 5 weeks"))</f>
        <v/>
      </c>
      <c r="L25" s="52"/>
      <c r="M25" s="52"/>
      <c r="N25" s="122">
        <f>IF(OR($A25="",NOT(ISNUMBER($L25))),IF($A25="","","Not recorded"),IF(NOT(ISNUMBER($M25)),"Checked (no follow-up)",IF($M25&lt;TODAY(),"OVERDUE: follow-up check",IF($M25-TODAY()&lt;=60,"Follow-up due "&amp;TEXT($M25,"dd/mm/yyyy"),"Checked"))))</f>
        <v/>
      </c>
      <c r="O25" s="52"/>
      <c r="P25" s="52"/>
      <c r="Q25" s="122">
        <f>IF($A25="","",IF(NOT(ISNUMBER($D25)),"Enter start date",IF($D25&gt;=DATE(2026,5,1),IF(ISNUMBER($O25),"Complete","Missing: written terms"),IF(OR(ISNUMBER($P25),ISNUMBER($O25)),"Complete","Missing: Information Sheet (was due 31/05/2026)"))))</f>
        <v/>
      </c>
      <c r="R25" s="52"/>
      <c r="S25" s="82">
        <f>IF(ISNUMBER($R25),$R25+364,IF(ISNUMBER($D25),$D25+364,""))</f>
        <v/>
      </c>
      <c r="T25" s="52"/>
      <c r="U25" s="82">
        <f>IF(ISNUMBER($T25),IF(ISNUMBER($S25),MAX(EDATE($T25,2),$S25),EDATE($T25,2)),"")</f>
        <v/>
      </c>
      <c r="V25" s="52"/>
      <c r="W25" s="52"/>
      <c r="X25" s="121">
        <f>IF(NOT(ISNUMBER($V25)),"",IF(ISNUMBER($W25),IF($W25-$V25&lt;=28,"Answered in time","LATE: answered after day 28"),IF(TODAY()-$V25&gt;28,"OVERDUE: no reply yet","Reply due by "&amp;TEXT($V25+28,"dd/mm/yyyy"))))</f>
        <v/>
      </c>
      <c r="Y25" s="54"/>
    </row>
    <row r="26" spans="1:25">
      <c r="A26" s="54"/>
      <c r="B26" s="54"/>
      <c r="C26" s="51"/>
      <c r="D26" s="52"/>
      <c r="E26" s="120"/>
      <c r="F26" s="120"/>
      <c r="G26" s="52"/>
      <c r="H26" s="52"/>
      <c r="I26" s="52"/>
      <c r="J26" s="121">
        <f>IF(OR($A26="",NOT(ISNUMBER($F26))),"",IF($F26&lt;=0,"No deposit",IF(NOT(ISNUMBER($G26)),"Enter date received",IF(AND(ISNUMBER($H26),ISNUMBER($I26)),IF(MAX($H26,$I26)-$G26&lt;=29,"OK","LATE: protected / info served after day 30"),IF(TODAY()-$G26&gt;29,"OVERDUE: not protected / info not served","Protect + serve info by "&amp;TEXT($G26+29,"dd/mm/yyyy"))))))</f>
        <v/>
      </c>
      <c r="K26" s="97">
        <f>IF(OR(NOT(ISNUMBER($E26)),NOT(ISNUMBER($F26))),"",IF($F26&lt;=$E26*12/52*5,"OK","Over 5 weeks"))</f>
        <v/>
      </c>
      <c r="L26" s="52"/>
      <c r="M26" s="52"/>
      <c r="N26" s="122">
        <f>IF(OR($A26="",NOT(ISNUMBER($L26))),IF($A26="","","Not recorded"),IF(NOT(ISNUMBER($M26)),"Checked (no follow-up)",IF($M26&lt;TODAY(),"OVERDUE: follow-up check",IF($M26-TODAY()&lt;=60,"Follow-up due "&amp;TEXT($M26,"dd/mm/yyyy"),"Checked"))))</f>
        <v/>
      </c>
      <c r="O26" s="52"/>
      <c r="P26" s="52"/>
      <c r="Q26" s="122">
        <f>IF($A26="","",IF(NOT(ISNUMBER($D26)),"Enter start date",IF($D26&gt;=DATE(2026,5,1),IF(ISNUMBER($O26),"Complete","Missing: written terms"),IF(OR(ISNUMBER($P26),ISNUMBER($O26)),"Complete","Missing: Information Sheet (was due 31/05/2026)"))))</f>
        <v/>
      </c>
      <c r="R26" s="52"/>
      <c r="S26" s="82">
        <f>IF(ISNUMBER($R26),$R26+364,IF(ISNUMBER($D26),$D26+364,""))</f>
        <v/>
      </c>
      <c r="T26" s="52"/>
      <c r="U26" s="82">
        <f>IF(ISNUMBER($T26),IF(ISNUMBER($S26),MAX(EDATE($T26,2),$S26),EDATE($T26,2)),"")</f>
        <v/>
      </c>
      <c r="V26" s="52"/>
      <c r="W26" s="52"/>
      <c r="X26" s="121">
        <f>IF(NOT(ISNUMBER($V26)),"",IF(ISNUMBER($W26),IF($W26-$V26&lt;=28,"Answered in time","LATE: answered after day 28"),IF(TODAY()-$V26&gt;28,"OVERDUE: no reply yet","Reply due by "&amp;TEXT($V26+28,"dd/mm/yyyy"))))</f>
        <v/>
      </c>
      <c r="Y26" s="54"/>
    </row>
    <row r="27" spans="1:25">
      <c r="A27" s="54"/>
      <c r="B27" s="54"/>
      <c r="C27" s="51"/>
      <c r="D27" s="52"/>
      <c r="E27" s="120"/>
      <c r="F27" s="120"/>
      <c r="G27" s="52"/>
      <c r="H27" s="52"/>
      <c r="I27" s="52"/>
      <c r="J27" s="121">
        <f>IF(OR($A27="",NOT(ISNUMBER($F27))),"",IF($F27&lt;=0,"No deposit",IF(NOT(ISNUMBER($G27)),"Enter date received",IF(AND(ISNUMBER($H27),ISNUMBER($I27)),IF(MAX($H27,$I27)-$G27&lt;=29,"OK","LATE: protected / info served after day 30"),IF(TODAY()-$G27&gt;29,"OVERDUE: not protected / info not served","Protect + serve info by "&amp;TEXT($G27+29,"dd/mm/yyyy"))))))</f>
        <v/>
      </c>
      <c r="K27" s="97">
        <f>IF(OR(NOT(ISNUMBER($E27)),NOT(ISNUMBER($F27))),"",IF($F27&lt;=$E27*12/52*5,"OK","Over 5 weeks"))</f>
        <v/>
      </c>
      <c r="L27" s="52"/>
      <c r="M27" s="52"/>
      <c r="N27" s="122">
        <f>IF(OR($A27="",NOT(ISNUMBER($L27))),IF($A27="","","Not recorded"),IF(NOT(ISNUMBER($M27)),"Checked (no follow-up)",IF($M27&lt;TODAY(),"OVERDUE: follow-up check",IF($M27-TODAY()&lt;=60,"Follow-up due "&amp;TEXT($M27,"dd/mm/yyyy"),"Checked"))))</f>
        <v/>
      </c>
      <c r="O27" s="52"/>
      <c r="P27" s="52"/>
      <c r="Q27" s="122">
        <f>IF($A27="","",IF(NOT(ISNUMBER($D27)),"Enter start date",IF($D27&gt;=DATE(2026,5,1),IF(ISNUMBER($O27),"Complete","Missing: written terms"),IF(OR(ISNUMBER($P27),ISNUMBER($O27)),"Complete","Missing: Information Sheet (was due 31/05/2026)"))))</f>
        <v/>
      </c>
      <c r="R27" s="52"/>
      <c r="S27" s="82">
        <f>IF(ISNUMBER($R27),$R27+364,IF(ISNUMBER($D27),$D27+364,""))</f>
        <v/>
      </c>
      <c r="T27" s="52"/>
      <c r="U27" s="82">
        <f>IF(ISNUMBER($T27),IF(ISNUMBER($S27),MAX(EDATE($T27,2),$S27),EDATE($T27,2)),"")</f>
        <v/>
      </c>
      <c r="V27" s="52"/>
      <c r="W27" s="52"/>
      <c r="X27" s="121">
        <f>IF(NOT(ISNUMBER($V27)),"",IF(ISNUMBER($W27),IF($W27-$V27&lt;=28,"Answered in time","LATE: answered after day 28"),IF(TODAY()-$V27&gt;28,"OVERDUE: no reply yet","Reply due by "&amp;TEXT($V27+28,"dd/mm/yyyy"))))</f>
        <v/>
      </c>
      <c r="Y27" s="54"/>
    </row>
    <row r="28" spans="1:25">
      <c r="A28" s="54"/>
      <c r="B28" s="54"/>
      <c r="C28" s="51"/>
      <c r="D28" s="52"/>
      <c r="E28" s="120"/>
      <c r="F28" s="120"/>
      <c r="G28" s="52"/>
      <c r="H28" s="52"/>
      <c r="I28" s="52"/>
      <c r="J28" s="121">
        <f>IF(OR($A28="",NOT(ISNUMBER($F28))),"",IF($F28&lt;=0,"No deposit",IF(NOT(ISNUMBER($G28)),"Enter date received",IF(AND(ISNUMBER($H28),ISNUMBER($I28)),IF(MAX($H28,$I28)-$G28&lt;=29,"OK","LATE: protected / info served after day 30"),IF(TODAY()-$G28&gt;29,"OVERDUE: not protected / info not served","Protect + serve info by "&amp;TEXT($G28+29,"dd/mm/yyyy"))))))</f>
        <v/>
      </c>
      <c r="K28" s="97">
        <f>IF(OR(NOT(ISNUMBER($E28)),NOT(ISNUMBER($F28))),"",IF($F28&lt;=$E28*12/52*5,"OK","Over 5 weeks"))</f>
        <v/>
      </c>
      <c r="L28" s="52"/>
      <c r="M28" s="52"/>
      <c r="N28" s="122">
        <f>IF(OR($A28="",NOT(ISNUMBER($L28))),IF($A28="","","Not recorded"),IF(NOT(ISNUMBER($M28)),"Checked (no follow-up)",IF($M28&lt;TODAY(),"OVERDUE: follow-up check",IF($M28-TODAY()&lt;=60,"Follow-up due "&amp;TEXT($M28,"dd/mm/yyyy"),"Checked"))))</f>
        <v/>
      </c>
      <c r="O28" s="52"/>
      <c r="P28" s="52"/>
      <c r="Q28" s="122">
        <f>IF($A28="","",IF(NOT(ISNUMBER($D28)),"Enter start date",IF($D28&gt;=DATE(2026,5,1),IF(ISNUMBER($O28),"Complete","Missing: written terms"),IF(OR(ISNUMBER($P28),ISNUMBER($O28)),"Complete","Missing: Information Sheet (was due 31/05/2026)"))))</f>
        <v/>
      </c>
      <c r="R28" s="52"/>
      <c r="S28" s="82">
        <f>IF(ISNUMBER($R28),$R28+364,IF(ISNUMBER($D28),$D28+364,""))</f>
        <v/>
      </c>
      <c r="T28" s="52"/>
      <c r="U28" s="82">
        <f>IF(ISNUMBER($T28),IF(ISNUMBER($S28),MAX(EDATE($T28,2),$S28),EDATE($T28,2)),"")</f>
        <v/>
      </c>
      <c r="V28" s="52"/>
      <c r="W28" s="52"/>
      <c r="X28" s="121">
        <f>IF(NOT(ISNUMBER($V28)),"",IF(ISNUMBER($W28),IF($W28-$V28&lt;=28,"Answered in time","LATE: answered after day 28"),IF(TODAY()-$V28&gt;28,"OVERDUE: no reply yet","Reply due by "&amp;TEXT($V28+28,"dd/mm/yyyy"))))</f>
        <v/>
      </c>
      <c r="Y28" s="54"/>
    </row>
    <row r="29" spans="1:25">
      <c r="A29" s="54"/>
      <c r="B29" s="54"/>
      <c r="C29" s="51"/>
      <c r="D29" s="52"/>
      <c r="E29" s="120"/>
      <c r="F29" s="120"/>
      <c r="G29" s="52"/>
      <c r="H29" s="52"/>
      <c r="I29" s="52"/>
      <c r="J29" s="121">
        <f>IF(OR($A29="",NOT(ISNUMBER($F29))),"",IF($F29&lt;=0,"No deposit",IF(NOT(ISNUMBER($G29)),"Enter date received",IF(AND(ISNUMBER($H29),ISNUMBER($I29)),IF(MAX($H29,$I29)-$G29&lt;=29,"OK","LATE: protected / info served after day 30"),IF(TODAY()-$G29&gt;29,"OVERDUE: not protected / info not served","Protect + serve info by "&amp;TEXT($G29+29,"dd/mm/yyyy"))))))</f>
        <v/>
      </c>
      <c r="K29" s="97">
        <f>IF(OR(NOT(ISNUMBER($E29)),NOT(ISNUMBER($F29))),"",IF($F29&lt;=$E29*12/52*5,"OK","Over 5 weeks"))</f>
        <v/>
      </c>
      <c r="L29" s="52"/>
      <c r="M29" s="52"/>
      <c r="N29" s="122">
        <f>IF(OR($A29="",NOT(ISNUMBER($L29))),IF($A29="","","Not recorded"),IF(NOT(ISNUMBER($M29)),"Checked (no follow-up)",IF($M29&lt;TODAY(),"OVERDUE: follow-up check",IF($M29-TODAY()&lt;=60,"Follow-up due "&amp;TEXT($M29,"dd/mm/yyyy"),"Checked"))))</f>
        <v/>
      </c>
      <c r="O29" s="52"/>
      <c r="P29" s="52"/>
      <c r="Q29" s="122">
        <f>IF($A29="","",IF(NOT(ISNUMBER($D29)),"Enter start date",IF($D29&gt;=DATE(2026,5,1),IF(ISNUMBER($O29),"Complete","Missing: written terms"),IF(OR(ISNUMBER($P29),ISNUMBER($O29)),"Complete","Missing: Information Sheet (was due 31/05/2026)"))))</f>
        <v/>
      </c>
      <c r="R29" s="52"/>
      <c r="S29" s="82">
        <f>IF(ISNUMBER($R29),$R29+364,IF(ISNUMBER($D29),$D29+364,""))</f>
        <v/>
      </c>
      <c r="T29" s="52"/>
      <c r="U29" s="82">
        <f>IF(ISNUMBER($T29),IF(ISNUMBER($S29),MAX(EDATE($T29,2),$S29),EDATE($T29,2)),"")</f>
        <v/>
      </c>
      <c r="V29" s="52"/>
      <c r="W29" s="52"/>
      <c r="X29" s="121">
        <f>IF(NOT(ISNUMBER($V29)),"",IF(ISNUMBER($W29),IF($W29-$V29&lt;=28,"Answered in time","LATE: answered after day 28"),IF(TODAY()-$V29&gt;28,"OVERDUE: no reply yet","Reply due by "&amp;TEXT($V29+28,"dd/mm/yyyy"))))</f>
        <v/>
      </c>
      <c r="Y29" s="54"/>
    </row>
    <row r="30" spans="1:25">
      <c r="A30" s="54"/>
      <c r="B30" s="54"/>
      <c r="C30" s="51"/>
      <c r="D30" s="52"/>
      <c r="E30" s="120"/>
      <c r="F30" s="120"/>
      <c r="G30" s="52"/>
      <c r="H30" s="52"/>
      <c r="I30" s="52"/>
      <c r="J30" s="121">
        <f>IF(OR($A30="",NOT(ISNUMBER($F30))),"",IF($F30&lt;=0,"No deposit",IF(NOT(ISNUMBER($G30)),"Enter date received",IF(AND(ISNUMBER($H30),ISNUMBER($I30)),IF(MAX($H30,$I30)-$G30&lt;=29,"OK","LATE: protected / info served after day 30"),IF(TODAY()-$G30&gt;29,"OVERDUE: not protected / info not served","Protect + serve info by "&amp;TEXT($G30+29,"dd/mm/yyyy"))))))</f>
        <v/>
      </c>
      <c r="K30" s="97">
        <f>IF(OR(NOT(ISNUMBER($E30)),NOT(ISNUMBER($F30))),"",IF($F30&lt;=$E30*12/52*5,"OK","Over 5 weeks"))</f>
        <v/>
      </c>
      <c r="L30" s="52"/>
      <c r="M30" s="52"/>
      <c r="N30" s="122">
        <f>IF(OR($A30="",NOT(ISNUMBER($L30))),IF($A30="","","Not recorded"),IF(NOT(ISNUMBER($M30)),"Checked (no follow-up)",IF($M30&lt;TODAY(),"OVERDUE: follow-up check",IF($M30-TODAY()&lt;=60,"Follow-up due "&amp;TEXT($M30,"dd/mm/yyyy"),"Checked"))))</f>
        <v/>
      </c>
      <c r="O30" s="52"/>
      <c r="P30" s="52"/>
      <c r="Q30" s="122">
        <f>IF($A30="","",IF(NOT(ISNUMBER($D30)),"Enter start date",IF($D30&gt;=DATE(2026,5,1),IF(ISNUMBER($O30),"Complete","Missing: written terms"),IF(OR(ISNUMBER($P30),ISNUMBER($O30)),"Complete","Missing: Information Sheet (was due 31/05/2026)"))))</f>
        <v/>
      </c>
      <c r="R30" s="52"/>
      <c r="S30" s="82">
        <f>IF(ISNUMBER($R30),$R30+364,IF(ISNUMBER($D30),$D30+364,""))</f>
        <v/>
      </c>
      <c r="T30" s="52"/>
      <c r="U30" s="82">
        <f>IF(ISNUMBER($T30),IF(ISNUMBER($S30),MAX(EDATE($T30,2),$S30),EDATE($T30,2)),"")</f>
        <v/>
      </c>
      <c r="V30" s="52"/>
      <c r="W30" s="52"/>
      <c r="X30" s="121">
        <f>IF(NOT(ISNUMBER($V30)),"",IF(ISNUMBER($W30),IF($W30-$V30&lt;=28,"Answered in time","LATE: answered after day 28"),IF(TODAY()-$V30&gt;28,"OVERDUE: no reply yet","Reply due by "&amp;TEXT($V30+28,"dd/mm/yyyy"))))</f>
        <v/>
      </c>
      <c r="Y30" s="54"/>
    </row>
    <row r="31" spans="1:25">
      <c r="A31" s="54"/>
      <c r="B31" s="54"/>
      <c r="C31" s="51"/>
      <c r="D31" s="52"/>
      <c r="E31" s="120"/>
      <c r="F31" s="120"/>
      <c r="G31" s="52"/>
      <c r="H31" s="52"/>
      <c r="I31" s="52"/>
      <c r="J31" s="121">
        <f>IF(OR($A31="",NOT(ISNUMBER($F31))),"",IF($F31&lt;=0,"No deposit",IF(NOT(ISNUMBER($G31)),"Enter date received",IF(AND(ISNUMBER($H31),ISNUMBER($I31)),IF(MAX($H31,$I31)-$G31&lt;=29,"OK","LATE: protected / info served after day 30"),IF(TODAY()-$G31&gt;29,"OVERDUE: not protected / info not served","Protect + serve info by "&amp;TEXT($G31+29,"dd/mm/yyyy"))))))</f>
        <v/>
      </c>
      <c r="K31" s="97">
        <f>IF(OR(NOT(ISNUMBER($E31)),NOT(ISNUMBER($F31))),"",IF($F31&lt;=$E31*12/52*5,"OK","Over 5 weeks"))</f>
        <v/>
      </c>
      <c r="L31" s="52"/>
      <c r="M31" s="52"/>
      <c r="N31" s="122">
        <f>IF(OR($A31="",NOT(ISNUMBER($L31))),IF($A31="","","Not recorded"),IF(NOT(ISNUMBER($M31)),"Checked (no follow-up)",IF($M31&lt;TODAY(),"OVERDUE: follow-up check",IF($M31-TODAY()&lt;=60,"Follow-up due "&amp;TEXT($M31,"dd/mm/yyyy"),"Checked"))))</f>
        <v/>
      </c>
      <c r="O31" s="52"/>
      <c r="P31" s="52"/>
      <c r="Q31" s="122">
        <f>IF($A31="","",IF(NOT(ISNUMBER($D31)),"Enter start date",IF($D31&gt;=DATE(2026,5,1),IF(ISNUMBER($O31),"Complete","Missing: written terms"),IF(OR(ISNUMBER($P31),ISNUMBER($O31)),"Complete","Missing: Information Sheet (was due 31/05/2026)"))))</f>
        <v/>
      </c>
      <c r="R31" s="52"/>
      <c r="S31" s="82">
        <f>IF(ISNUMBER($R31),$R31+364,IF(ISNUMBER($D31),$D31+364,""))</f>
        <v/>
      </c>
      <c r="T31" s="52"/>
      <c r="U31" s="82">
        <f>IF(ISNUMBER($T31),IF(ISNUMBER($S31),MAX(EDATE($T31,2),$S31),EDATE($T31,2)),"")</f>
        <v/>
      </c>
      <c r="V31" s="52"/>
      <c r="W31" s="52"/>
      <c r="X31" s="121">
        <f>IF(NOT(ISNUMBER($V31)),"",IF(ISNUMBER($W31),IF($W31-$V31&lt;=28,"Answered in time","LATE: answered after day 28"),IF(TODAY()-$V31&gt;28,"OVERDUE: no reply yet","Reply due by "&amp;TEXT($V31+28,"dd/mm/yyyy"))))</f>
        <v/>
      </c>
      <c r="Y31" s="54"/>
    </row>
    <row r="32" spans="1:25">
      <c r="A32" s="54"/>
      <c r="B32" s="54"/>
      <c r="C32" s="51"/>
      <c r="D32" s="52"/>
      <c r="E32" s="120"/>
      <c r="F32" s="120"/>
      <c r="G32" s="52"/>
      <c r="H32" s="52"/>
      <c r="I32" s="52"/>
      <c r="J32" s="121">
        <f>IF(OR($A32="",NOT(ISNUMBER($F32))),"",IF($F32&lt;=0,"No deposit",IF(NOT(ISNUMBER($G32)),"Enter date received",IF(AND(ISNUMBER($H32),ISNUMBER($I32)),IF(MAX($H32,$I32)-$G32&lt;=29,"OK","LATE: protected / info served after day 30"),IF(TODAY()-$G32&gt;29,"OVERDUE: not protected / info not served","Protect + serve info by "&amp;TEXT($G32+29,"dd/mm/yyyy"))))))</f>
        <v/>
      </c>
      <c r="K32" s="97">
        <f>IF(OR(NOT(ISNUMBER($E32)),NOT(ISNUMBER($F32))),"",IF($F32&lt;=$E32*12/52*5,"OK","Over 5 weeks"))</f>
        <v/>
      </c>
      <c r="L32" s="52"/>
      <c r="M32" s="52"/>
      <c r="N32" s="122">
        <f>IF(OR($A32="",NOT(ISNUMBER($L32))),IF($A32="","","Not recorded"),IF(NOT(ISNUMBER($M32)),"Checked (no follow-up)",IF($M32&lt;TODAY(),"OVERDUE: follow-up check",IF($M32-TODAY()&lt;=60,"Follow-up due "&amp;TEXT($M32,"dd/mm/yyyy"),"Checked"))))</f>
        <v/>
      </c>
      <c r="O32" s="52"/>
      <c r="P32" s="52"/>
      <c r="Q32" s="122">
        <f>IF($A32="","",IF(NOT(ISNUMBER($D32)),"Enter start date",IF($D32&gt;=DATE(2026,5,1),IF(ISNUMBER($O32),"Complete","Missing: written terms"),IF(OR(ISNUMBER($P32),ISNUMBER($O32)),"Complete","Missing: Information Sheet (was due 31/05/2026)"))))</f>
        <v/>
      </c>
      <c r="R32" s="52"/>
      <c r="S32" s="82">
        <f>IF(ISNUMBER($R32),$R32+364,IF(ISNUMBER($D32),$D32+364,""))</f>
        <v/>
      </c>
      <c r="T32" s="52"/>
      <c r="U32" s="82">
        <f>IF(ISNUMBER($T32),IF(ISNUMBER($S32),MAX(EDATE($T32,2),$S32),EDATE($T32,2)),"")</f>
        <v/>
      </c>
      <c r="V32" s="52"/>
      <c r="W32" s="52"/>
      <c r="X32" s="121">
        <f>IF(NOT(ISNUMBER($V32)),"",IF(ISNUMBER($W32),IF($W32-$V32&lt;=28,"Answered in time","LATE: answered after day 28"),IF(TODAY()-$V32&gt;28,"OVERDUE: no reply yet","Reply due by "&amp;TEXT($V32+28,"dd/mm/yyyy"))))</f>
        <v/>
      </c>
      <c r="Y32" s="54"/>
    </row>
    <row r="33" spans="1:25">
      <c r="A33" s="54"/>
      <c r="B33" s="54"/>
      <c r="C33" s="51"/>
      <c r="D33" s="52"/>
      <c r="E33" s="120"/>
      <c r="F33" s="120"/>
      <c r="G33" s="52"/>
      <c r="H33" s="52"/>
      <c r="I33" s="52"/>
      <c r="J33" s="121">
        <f>IF(OR($A33="",NOT(ISNUMBER($F33))),"",IF($F33&lt;=0,"No deposit",IF(NOT(ISNUMBER($G33)),"Enter date received",IF(AND(ISNUMBER($H33),ISNUMBER($I33)),IF(MAX($H33,$I33)-$G33&lt;=29,"OK","LATE: protected / info served after day 30"),IF(TODAY()-$G33&gt;29,"OVERDUE: not protected / info not served","Protect + serve info by "&amp;TEXT($G33+29,"dd/mm/yyyy"))))))</f>
        <v/>
      </c>
      <c r="K33" s="97">
        <f>IF(OR(NOT(ISNUMBER($E33)),NOT(ISNUMBER($F33))),"",IF($F33&lt;=$E33*12/52*5,"OK","Over 5 weeks"))</f>
        <v/>
      </c>
      <c r="L33" s="52"/>
      <c r="M33" s="52"/>
      <c r="N33" s="122">
        <f>IF(OR($A33="",NOT(ISNUMBER($L33))),IF($A33="","","Not recorded"),IF(NOT(ISNUMBER($M33)),"Checked (no follow-up)",IF($M33&lt;TODAY(),"OVERDUE: follow-up check",IF($M33-TODAY()&lt;=60,"Follow-up due "&amp;TEXT($M33,"dd/mm/yyyy"),"Checked"))))</f>
        <v/>
      </c>
      <c r="O33" s="52"/>
      <c r="P33" s="52"/>
      <c r="Q33" s="122">
        <f>IF($A33="","",IF(NOT(ISNUMBER($D33)),"Enter start date",IF($D33&gt;=DATE(2026,5,1),IF(ISNUMBER($O33),"Complete","Missing: written terms"),IF(OR(ISNUMBER($P33),ISNUMBER($O33)),"Complete","Missing: Information Sheet (was due 31/05/2026)"))))</f>
        <v/>
      </c>
      <c r="R33" s="52"/>
      <c r="S33" s="82">
        <f>IF(ISNUMBER($R33),$R33+364,IF(ISNUMBER($D33),$D33+364,""))</f>
        <v/>
      </c>
      <c r="T33" s="52"/>
      <c r="U33" s="82">
        <f>IF(ISNUMBER($T33),IF(ISNUMBER($S33),MAX(EDATE($T33,2),$S33),EDATE($T33,2)),"")</f>
        <v/>
      </c>
      <c r="V33" s="52"/>
      <c r="W33" s="52"/>
      <c r="X33" s="121">
        <f>IF(NOT(ISNUMBER($V33)),"",IF(ISNUMBER($W33),IF($W33-$V33&lt;=28,"Answered in time","LATE: answered after day 28"),IF(TODAY()-$V33&gt;28,"OVERDUE: no reply yet","Reply due by "&amp;TEXT($V33+28,"dd/mm/yyyy"))))</f>
        <v/>
      </c>
      <c r="Y33" s="54"/>
    </row>
    <row r="34" spans="1:25">
      <c r="A34" s="54"/>
      <c r="B34" s="54"/>
      <c r="C34" s="51"/>
      <c r="D34" s="52"/>
      <c r="E34" s="120"/>
      <c r="F34" s="120"/>
      <c r="G34" s="52"/>
      <c r="H34" s="52"/>
      <c r="I34" s="52"/>
      <c r="J34" s="121">
        <f>IF(OR($A34="",NOT(ISNUMBER($F34))),"",IF($F34&lt;=0,"No deposit",IF(NOT(ISNUMBER($G34)),"Enter date received",IF(AND(ISNUMBER($H34),ISNUMBER($I34)),IF(MAX($H34,$I34)-$G34&lt;=29,"OK","LATE: protected / info served after day 30"),IF(TODAY()-$G34&gt;29,"OVERDUE: not protected / info not served","Protect + serve info by "&amp;TEXT($G34+29,"dd/mm/yyyy"))))))</f>
        <v/>
      </c>
      <c r="K34" s="97">
        <f>IF(OR(NOT(ISNUMBER($E34)),NOT(ISNUMBER($F34))),"",IF($F34&lt;=$E34*12/52*5,"OK","Over 5 weeks"))</f>
        <v/>
      </c>
      <c r="L34" s="52"/>
      <c r="M34" s="52"/>
      <c r="N34" s="122">
        <f>IF(OR($A34="",NOT(ISNUMBER($L34))),IF($A34="","","Not recorded"),IF(NOT(ISNUMBER($M34)),"Checked (no follow-up)",IF($M34&lt;TODAY(),"OVERDUE: follow-up check",IF($M34-TODAY()&lt;=60,"Follow-up due "&amp;TEXT($M34,"dd/mm/yyyy"),"Checked"))))</f>
        <v/>
      </c>
      <c r="O34" s="52"/>
      <c r="P34" s="52"/>
      <c r="Q34" s="122">
        <f>IF($A34="","",IF(NOT(ISNUMBER($D34)),"Enter start date",IF($D34&gt;=DATE(2026,5,1),IF(ISNUMBER($O34),"Complete","Missing: written terms"),IF(OR(ISNUMBER($P34),ISNUMBER($O34)),"Complete","Missing: Information Sheet (was due 31/05/2026)"))))</f>
        <v/>
      </c>
      <c r="R34" s="52"/>
      <c r="S34" s="82">
        <f>IF(ISNUMBER($R34),$R34+364,IF(ISNUMBER($D34),$D34+364,""))</f>
        <v/>
      </c>
      <c r="T34" s="52"/>
      <c r="U34" s="82">
        <f>IF(ISNUMBER($T34),IF(ISNUMBER($S34),MAX(EDATE($T34,2),$S34),EDATE($T34,2)),"")</f>
        <v/>
      </c>
      <c r="V34" s="52"/>
      <c r="W34" s="52"/>
      <c r="X34" s="121">
        <f>IF(NOT(ISNUMBER($V34)),"",IF(ISNUMBER($W34),IF($W34-$V34&lt;=28,"Answered in time","LATE: answered after day 28"),IF(TODAY()-$V34&gt;28,"OVERDUE: no reply yet","Reply due by "&amp;TEXT($V34+28,"dd/mm/yyyy"))))</f>
        <v/>
      </c>
      <c r="Y34" s="54"/>
    </row>
    <row r="35" spans="1:25">
      <c r="A35" s="54"/>
      <c r="B35" s="54"/>
      <c r="C35" s="51"/>
      <c r="D35" s="52"/>
      <c r="E35" s="120"/>
      <c r="F35" s="120"/>
      <c r="G35" s="52"/>
      <c r="H35" s="52"/>
      <c r="I35" s="52"/>
      <c r="J35" s="121">
        <f>IF(OR($A35="",NOT(ISNUMBER($F35))),"",IF($F35&lt;=0,"No deposit",IF(NOT(ISNUMBER($G35)),"Enter date received",IF(AND(ISNUMBER($H35),ISNUMBER($I35)),IF(MAX($H35,$I35)-$G35&lt;=29,"OK","LATE: protected / info served after day 30"),IF(TODAY()-$G35&gt;29,"OVERDUE: not protected / info not served","Protect + serve info by "&amp;TEXT($G35+29,"dd/mm/yyyy"))))))</f>
        <v/>
      </c>
      <c r="K35" s="97">
        <f>IF(OR(NOT(ISNUMBER($E35)),NOT(ISNUMBER($F35))),"",IF($F35&lt;=$E35*12/52*5,"OK","Over 5 weeks"))</f>
        <v/>
      </c>
      <c r="L35" s="52"/>
      <c r="M35" s="52"/>
      <c r="N35" s="122">
        <f>IF(OR($A35="",NOT(ISNUMBER($L35))),IF($A35="","","Not recorded"),IF(NOT(ISNUMBER($M35)),"Checked (no follow-up)",IF($M35&lt;TODAY(),"OVERDUE: follow-up check",IF($M35-TODAY()&lt;=60,"Follow-up due "&amp;TEXT($M35,"dd/mm/yyyy"),"Checked"))))</f>
        <v/>
      </c>
      <c r="O35" s="52"/>
      <c r="P35" s="52"/>
      <c r="Q35" s="122">
        <f>IF($A35="","",IF(NOT(ISNUMBER($D35)),"Enter start date",IF($D35&gt;=DATE(2026,5,1),IF(ISNUMBER($O35),"Complete","Missing: written terms"),IF(OR(ISNUMBER($P35),ISNUMBER($O35)),"Complete","Missing: Information Sheet (was due 31/05/2026)"))))</f>
        <v/>
      </c>
      <c r="R35" s="52"/>
      <c r="S35" s="82">
        <f>IF(ISNUMBER($R35),$R35+364,IF(ISNUMBER($D35),$D35+364,""))</f>
        <v/>
      </c>
      <c r="T35" s="52"/>
      <c r="U35" s="82">
        <f>IF(ISNUMBER($T35),IF(ISNUMBER($S35),MAX(EDATE($T35,2),$S35),EDATE($T35,2)),"")</f>
        <v/>
      </c>
      <c r="V35" s="52"/>
      <c r="W35" s="52"/>
      <c r="X35" s="121">
        <f>IF(NOT(ISNUMBER($V35)),"",IF(ISNUMBER($W35),IF($W35-$V35&lt;=28,"Answered in time","LATE: answered after day 28"),IF(TODAY()-$V35&gt;28,"OVERDUE: no reply yet","Reply due by "&amp;TEXT($V35+28,"dd/mm/yyyy"))))</f>
        <v/>
      </c>
      <c r="Y35" s="54"/>
    </row>
    <row r="36" spans="1:25">
      <c r="A36" s="54"/>
      <c r="B36" s="54"/>
      <c r="C36" s="51"/>
      <c r="D36" s="52"/>
      <c r="E36" s="120"/>
      <c r="F36" s="120"/>
      <c r="G36" s="52"/>
      <c r="H36" s="52"/>
      <c r="I36" s="52"/>
      <c r="J36" s="121">
        <f>IF(OR($A36="",NOT(ISNUMBER($F36))),"",IF($F36&lt;=0,"No deposit",IF(NOT(ISNUMBER($G36)),"Enter date received",IF(AND(ISNUMBER($H36),ISNUMBER($I36)),IF(MAX($H36,$I36)-$G36&lt;=29,"OK","LATE: protected / info served after day 30"),IF(TODAY()-$G36&gt;29,"OVERDUE: not protected / info not served","Protect + serve info by "&amp;TEXT($G36+29,"dd/mm/yyyy"))))))</f>
        <v/>
      </c>
      <c r="K36" s="97">
        <f>IF(OR(NOT(ISNUMBER($E36)),NOT(ISNUMBER($F36))),"",IF($F36&lt;=$E36*12/52*5,"OK","Over 5 weeks"))</f>
        <v/>
      </c>
      <c r="L36" s="52"/>
      <c r="M36" s="52"/>
      <c r="N36" s="122">
        <f>IF(OR($A36="",NOT(ISNUMBER($L36))),IF($A36="","","Not recorded"),IF(NOT(ISNUMBER($M36)),"Checked (no follow-up)",IF($M36&lt;TODAY(),"OVERDUE: follow-up check",IF($M36-TODAY()&lt;=60,"Follow-up due "&amp;TEXT($M36,"dd/mm/yyyy"),"Checked"))))</f>
        <v/>
      </c>
      <c r="O36" s="52"/>
      <c r="P36" s="52"/>
      <c r="Q36" s="122">
        <f>IF($A36="","",IF(NOT(ISNUMBER($D36)),"Enter start date",IF($D36&gt;=DATE(2026,5,1),IF(ISNUMBER($O36),"Complete","Missing: written terms"),IF(OR(ISNUMBER($P36),ISNUMBER($O36)),"Complete","Missing: Information Sheet (was due 31/05/2026)"))))</f>
        <v/>
      </c>
      <c r="R36" s="52"/>
      <c r="S36" s="82">
        <f>IF(ISNUMBER($R36),$R36+364,IF(ISNUMBER($D36),$D36+364,""))</f>
        <v/>
      </c>
      <c r="T36" s="52"/>
      <c r="U36" s="82">
        <f>IF(ISNUMBER($T36),IF(ISNUMBER($S36),MAX(EDATE($T36,2),$S36),EDATE($T36,2)),"")</f>
        <v/>
      </c>
      <c r="V36" s="52"/>
      <c r="W36" s="52"/>
      <c r="X36" s="121">
        <f>IF(NOT(ISNUMBER($V36)),"",IF(ISNUMBER($W36),IF($W36-$V36&lt;=28,"Answered in time","LATE: answered after day 28"),IF(TODAY()-$V36&gt;28,"OVERDUE: no reply yet","Reply due by "&amp;TEXT($V36+28,"dd/mm/yyyy"))))</f>
        <v/>
      </c>
      <c r="Y36" s="54"/>
    </row>
    <row r="37" spans="1:25">
      <c r="A37" s="54"/>
      <c r="B37" s="54"/>
      <c r="C37" s="51"/>
      <c r="D37" s="52"/>
      <c r="E37" s="120"/>
      <c r="F37" s="120"/>
      <c r="G37" s="52"/>
      <c r="H37" s="52"/>
      <c r="I37" s="52"/>
      <c r="J37" s="121">
        <f>IF(OR($A37="",NOT(ISNUMBER($F37))),"",IF($F37&lt;=0,"No deposit",IF(NOT(ISNUMBER($G37)),"Enter date received",IF(AND(ISNUMBER($H37),ISNUMBER($I37)),IF(MAX($H37,$I37)-$G37&lt;=29,"OK","LATE: protected / info served after day 30"),IF(TODAY()-$G37&gt;29,"OVERDUE: not protected / info not served","Protect + serve info by "&amp;TEXT($G37+29,"dd/mm/yyyy"))))))</f>
        <v/>
      </c>
      <c r="K37" s="97">
        <f>IF(OR(NOT(ISNUMBER($E37)),NOT(ISNUMBER($F37))),"",IF($F37&lt;=$E37*12/52*5,"OK","Over 5 weeks"))</f>
        <v/>
      </c>
      <c r="L37" s="52"/>
      <c r="M37" s="52"/>
      <c r="N37" s="122">
        <f>IF(OR($A37="",NOT(ISNUMBER($L37))),IF($A37="","","Not recorded"),IF(NOT(ISNUMBER($M37)),"Checked (no follow-up)",IF($M37&lt;TODAY(),"OVERDUE: follow-up check",IF($M37-TODAY()&lt;=60,"Follow-up due "&amp;TEXT($M37,"dd/mm/yyyy"),"Checked"))))</f>
        <v/>
      </c>
      <c r="O37" s="52"/>
      <c r="P37" s="52"/>
      <c r="Q37" s="122">
        <f>IF($A37="","",IF(NOT(ISNUMBER($D37)),"Enter start date",IF($D37&gt;=DATE(2026,5,1),IF(ISNUMBER($O37),"Complete","Missing: written terms"),IF(OR(ISNUMBER($P37),ISNUMBER($O37)),"Complete","Missing: Information Sheet (was due 31/05/2026)"))))</f>
        <v/>
      </c>
      <c r="R37" s="52"/>
      <c r="S37" s="82">
        <f>IF(ISNUMBER($R37),$R37+364,IF(ISNUMBER($D37),$D37+364,""))</f>
        <v/>
      </c>
      <c r="T37" s="52"/>
      <c r="U37" s="82">
        <f>IF(ISNUMBER($T37),IF(ISNUMBER($S37),MAX(EDATE($T37,2),$S37),EDATE($T37,2)),"")</f>
        <v/>
      </c>
      <c r="V37" s="52"/>
      <c r="W37" s="52"/>
      <c r="X37" s="121">
        <f>IF(NOT(ISNUMBER($V37)),"",IF(ISNUMBER($W37),IF($W37-$V37&lt;=28,"Answered in time","LATE: answered after day 28"),IF(TODAY()-$V37&gt;28,"OVERDUE: no reply yet","Reply due by "&amp;TEXT($V37+28,"dd/mm/yyyy"))))</f>
        <v/>
      </c>
      <c r="Y37" s="54"/>
    </row>
    <row r="38" spans="1:25">
      <c r="A38" s="54"/>
      <c r="B38" s="54"/>
      <c r="C38" s="51"/>
      <c r="D38" s="52"/>
      <c r="E38" s="120"/>
      <c r="F38" s="120"/>
      <c r="G38" s="52"/>
      <c r="H38" s="52"/>
      <c r="I38" s="52"/>
      <c r="J38" s="121">
        <f>IF(OR($A38="",NOT(ISNUMBER($F38))),"",IF($F38&lt;=0,"No deposit",IF(NOT(ISNUMBER($G38)),"Enter date received",IF(AND(ISNUMBER($H38),ISNUMBER($I38)),IF(MAX($H38,$I38)-$G38&lt;=29,"OK","LATE: protected / info served after day 30"),IF(TODAY()-$G38&gt;29,"OVERDUE: not protected / info not served","Protect + serve info by "&amp;TEXT($G38+29,"dd/mm/yyyy"))))))</f>
        <v/>
      </c>
      <c r="K38" s="97">
        <f>IF(OR(NOT(ISNUMBER($E38)),NOT(ISNUMBER($F38))),"",IF($F38&lt;=$E38*12/52*5,"OK","Over 5 weeks"))</f>
        <v/>
      </c>
      <c r="L38" s="52"/>
      <c r="M38" s="52"/>
      <c r="N38" s="122">
        <f>IF(OR($A38="",NOT(ISNUMBER($L38))),IF($A38="","","Not recorded"),IF(NOT(ISNUMBER($M38)),"Checked (no follow-up)",IF($M38&lt;TODAY(),"OVERDUE: follow-up check",IF($M38-TODAY()&lt;=60,"Follow-up due "&amp;TEXT($M38,"dd/mm/yyyy"),"Checked"))))</f>
        <v/>
      </c>
      <c r="O38" s="52"/>
      <c r="P38" s="52"/>
      <c r="Q38" s="122">
        <f>IF($A38="","",IF(NOT(ISNUMBER($D38)),"Enter start date",IF($D38&gt;=DATE(2026,5,1),IF(ISNUMBER($O38),"Complete","Missing: written terms"),IF(OR(ISNUMBER($P38),ISNUMBER($O38)),"Complete","Missing: Information Sheet (was due 31/05/2026)"))))</f>
        <v/>
      </c>
      <c r="R38" s="52"/>
      <c r="S38" s="82">
        <f>IF(ISNUMBER($R38),$R38+364,IF(ISNUMBER($D38),$D38+364,""))</f>
        <v/>
      </c>
      <c r="T38" s="52"/>
      <c r="U38" s="82">
        <f>IF(ISNUMBER($T38),IF(ISNUMBER($S38),MAX(EDATE($T38,2),$S38),EDATE($T38,2)),"")</f>
        <v/>
      </c>
      <c r="V38" s="52"/>
      <c r="W38" s="52"/>
      <c r="X38" s="121">
        <f>IF(NOT(ISNUMBER($V38)),"",IF(ISNUMBER($W38),IF($W38-$V38&lt;=28,"Answered in time","LATE: answered after day 28"),IF(TODAY()-$V38&gt;28,"OVERDUE: no reply yet","Reply due by "&amp;TEXT($V38+28,"dd/mm/yyyy"))))</f>
        <v/>
      </c>
      <c r="Y38" s="54"/>
    </row>
    <row r="39" spans="1:25">
      <c r="A39" s="54"/>
      <c r="B39" s="54"/>
      <c r="C39" s="51"/>
      <c r="D39" s="52"/>
      <c r="E39" s="120"/>
      <c r="F39" s="120"/>
      <c r="G39" s="52"/>
      <c r="H39" s="52"/>
      <c r="I39" s="52"/>
      <c r="J39" s="121">
        <f>IF(OR($A39="",NOT(ISNUMBER($F39))),"",IF($F39&lt;=0,"No deposit",IF(NOT(ISNUMBER($G39)),"Enter date received",IF(AND(ISNUMBER($H39),ISNUMBER($I39)),IF(MAX($H39,$I39)-$G39&lt;=29,"OK","LATE: protected / info served after day 30"),IF(TODAY()-$G39&gt;29,"OVERDUE: not protected / info not served","Protect + serve info by "&amp;TEXT($G39+29,"dd/mm/yyyy"))))))</f>
        <v/>
      </c>
      <c r="K39" s="97">
        <f>IF(OR(NOT(ISNUMBER($E39)),NOT(ISNUMBER($F39))),"",IF($F39&lt;=$E39*12/52*5,"OK","Over 5 weeks"))</f>
        <v/>
      </c>
      <c r="L39" s="52"/>
      <c r="M39" s="52"/>
      <c r="N39" s="122">
        <f>IF(OR($A39="",NOT(ISNUMBER($L39))),IF($A39="","","Not recorded"),IF(NOT(ISNUMBER($M39)),"Checked (no follow-up)",IF($M39&lt;TODAY(),"OVERDUE: follow-up check",IF($M39-TODAY()&lt;=60,"Follow-up due "&amp;TEXT($M39,"dd/mm/yyyy"),"Checked"))))</f>
        <v/>
      </c>
      <c r="O39" s="52"/>
      <c r="P39" s="52"/>
      <c r="Q39" s="122">
        <f>IF($A39="","",IF(NOT(ISNUMBER($D39)),"Enter start date",IF($D39&gt;=DATE(2026,5,1),IF(ISNUMBER($O39),"Complete","Missing: written terms"),IF(OR(ISNUMBER($P39),ISNUMBER($O39)),"Complete","Missing: Information Sheet (was due 31/05/2026)"))))</f>
        <v/>
      </c>
      <c r="R39" s="52"/>
      <c r="S39" s="82">
        <f>IF(ISNUMBER($R39),$R39+364,IF(ISNUMBER($D39),$D39+364,""))</f>
        <v/>
      </c>
      <c r="T39" s="52"/>
      <c r="U39" s="82">
        <f>IF(ISNUMBER($T39),IF(ISNUMBER($S39),MAX(EDATE($T39,2),$S39),EDATE($T39,2)),"")</f>
        <v/>
      </c>
      <c r="V39" s="52"/>
      <c r="W39" s="52"/>
      <c r="X39" s="121">
        <f>IF(NOT(ISNUMBER($V39)),"",IF(ISNUMBER($W39),IF($W39-$V39&lt;=28,"Answered in time","LATE: answered after day 28"),IF(TODAY()-$V39&gt;28,"OVERDUE: no reply yet","Reply due by "&amp;TEXT($V39+28,"dd/mm/yyyy"))))</f>
        <v/>
      </c>
      <c r="Y39" s="54"/>
    </row>
    <row r="40" spans="1:25">
      <c r="A40" s="54"/>
      <c r="B40" s="54"/>
      <c r="C40" s="51"/>
      <c r="D40" s="52"/>
      <c r="E40" s="120"/>
      <c r="F40" s="120"/>
      <c r="G40" s="52"/>
      <c r="H40" s="52"/>
      <c r="I40" s="52"/>
      <c r="J40" s="121">
        <f>IF(OR($A40="",NOT(ISNUMBER($F40))),"",IF($F40&lt;=0,"No deposit",IF(NOT(ISNUMBER($G40)),"Enter date received",IF(AND(ISNUMBER($H40),ISNUMBER($I40)),IF(MAX($H40,$I40)-$G40&lt;=29,"OK","LATE: protected / info served after day 30"),IF(TODAY()-$G40&gt;29,"OVERDUE: not protected / info not served","Protect + serve info by "&amp;TEXT($G40+29,"dd/mm/yyyy"))))))</f>
        <v/>
      </c>
      <c r="K40" s="97">
        <f>IF(OR(NOT(ISNUMBER($E40)),NOT(ISNUMBER($F40))),"",IF($F40&lt;=$E40*12/52*5,"OK","Over 5 weeks"))</f>
        <v/>
      </c>
      <c r="L40" s="52"/>
      <c r="M40" s="52"/>
      <c r="N40" s="122">
        <f>IF(OR($A40="",NOT(ISNUMBER($L40))),IF($A40="","","Not recorded"),IF(NOT(ISNUMBER($M40)),"Checked (no follow-up)",IF($M40&lt;TODAY(),"OVERDUE: follow-up check",IF($M40-TODAY()&lt;=60,"Follow-up due "&amp;TEXT($M40,"dd/mm/yyyy"),"Checked"))))</f>
        <v/>
      </c>
      <c r="O40" s="52"/>
      <c r="P40" s="52"/>
      <c r="Q40" s="122">
        <f>IF($A40="","",IF(NOT(ISNUMBER($D40)),"Enter start date",IF($D40&gt;=DATE(2026,5,1),IF(ISNUMBER($O40),"Complete","Missing: written terms"),IF(OR(ISNUMBER($P40),ISNUMBER($O40)),"Complete","Missing: Information Sheet (was due 31/05/2026)"))))</f>
        <v/>
      </c>
      <c r="R40" s="52"/>
      <c r="S40" s="82">
        <f>IF(ISNUMBER($R40),$R40+364,IF(ISNUMBER($D40),$D40+364,""))</f>
        <v/>
      </c>
      <c r="T40" s="52"/>
      <c r="U40" s="82">
        <f>IF(ISNUMBER($T40),IF(ISNUMBER($S40),MAX(EDATE($T40,2),$S40),EDATE($T40,2)),"")</f>
        <v/>
      </c>
      <c r="V40" s="52"/>
      <c r="W40" s="52"/>
      <c r="X40" s="121">
        <f>IF(NOT(ISNUMBER($V40)),"",IF(ISNUMBER($W40),IF($W40-$V40&lt;=28,"Answered in time","LATE: answered after day 28"),IF(TODAY()-$V40&gt;28,"OVERDUE: no reply yet","Reply due by "&amp;TEXT($V40+28,"dd/mm/yyyy"))))</f>
        <v/>
      </c>
      <c r="Y40" s="54"/>
    </row>
    <row r="41" spans="1:25">
      <c r="A41" s="54"/>
      <c r="B41" s="54"/>
      <c r="C41" s="51"/>
      <c r="D41" s="52"/>
      <c r="E41" s="120"/>
      <c r="F41" s="120"/>
      <c r="G41" s="52"/>
      <c r="H41" s="52"/>
      <c r="I41" s="52"/>
      <c r="J41" s="121">
        <f>IF(OR($A41="",NOT(ISNUMBER($F41))),"",IF($F41&lt;=0,"No deposit",IF(NOT(ISNUMBER($G41)),"Enter date received",IF(AND(ISNUMBER($H41),ISNUMBER($I41)),IF(MAX($H41,$I41)-$G41&lt;=29,"OK","LATE: protected / info served after day 30"),IF(TODAY()-$G41&gt;29,"OVERDUE: not protected / info not served","Protect + serve info by "&amp;TEXT($G41+29,"dd/mm/yyyy"))))))</f>
        <v/>
      </c>
      <c r="K41" s="97">
        <f>IF(OR(NOT(ISNUMBER($E41)),NOT(ISNUMBER($F41))),"",IF($F41&lt;=$E41*12/52*5,"OK","Over 5 weeks"))</f>
        <v/>
      </c>
      <c r="L41" s="52"/>
      <c r="M41" s="52"/>
      <c r="N41" s="122">
        <f>IF(OR($A41="",NOT(ISNUMBER($L41))),IF($A41="","","Not recorded"),IF(NOT(ISNUMBER($M41)),"Checked (no follow-up)",IF($M41&lt;TODAY(),"OVERDUE: follow-up check",IF($M41-TODAY()&lt;=60,"Follow-up due "&amp;TEXT($M41,"dd/mm/yyyy"),"Checked"))))</f>
        <v/>
      </c>
      <c r="O41" s="52"/>
      <c r="P41" s="52"/>
      <c r="Q41" s="122">
        <f>IF($A41="","",IF(NOT(ISNUMBER($D41)),"Enter start date",IF($D41&gt;=DATE(2026,5,1),IF(ISNUMBER($O41),"Complete","Missing: written terms"),IF(OR(ISNUMBER($P41),ISNUMBER($O41)),"Complete","Missing: Information Sheet (was due 31/05/2026)"))))</f>
        <v/>
      </c>
      <c r="R41" s="52"/>
      <c r="S41" s="82">
        <f>IF(ISNUMBER($R41),$R41+364,IF(ISNUMBER($D41),$D41+364,""))</f>
        <v/>
      </c>
      <c r="T41" s="52"/>
      <c r="U41" s="82">
        <f>IF(ISNUMBER($T41),IF(ISNUMBER($S41),MAX(EDATE($T41,2),$S41),EDATE($T41,2)),"")</f>
        <v/>
      </c>
      <c r="V41" s="52"/>
      <c r="W41" s="52"/>
      <c r="X41" s="121">
        <f>IF(NOT(ISNUMBER($V41)),"",IF(ISNUMBER($W41),IF($W41-$V41&lt;=28,"Answered in time","LATE: answered after day 28"),IF(TODAY()-$V41&gt;28,"OVERDUE: no reply yet","Reply due by "&amp;TEXT($V41+28,"dd/mm/yyyy"))))</f>
        <v/>
      </c>
      <c r="Y41" s="54"/>
    </row>
    <row r="42" spans="1:25">
      <c r="A42" s="54"/>
      <c r="B42" s="54"/>
      <c r="C42" s="51"/>
      <c r="D42" s="52"/>
      <c r="E42" s="120"/>
      <c r="F42" s="120"/>
      <c r="G42" s="52"/>
      <c r="H42" s="52"/>
      <c r="I42" s="52"/>
      <c r="J42" s="121">
        <f>IF(OR($A42="",NOT(ISNUMBER($F42))),"",IF($F42&lt;=0,"No deposit",IF(NOT(ISNUMBER($G42)),"Enter date received",IF(AND(ISNUMBER($H42),ISNUMBER($I42)),IF(MAX($H42,$I42)-$G42&lt;=29,"OK","LATE: protected / info served after day 30"),IF(TODAY()-$G42&gt;29,"OVERDUE: not protected / info not served","Protect + serve info by "&amp;TEXT($G42+29,"dd/mm/yyyy"))))))</f>
        <v/>
      </c>
      <c r="K42" s="97">
        <f>IF(OR(NOT(ISNUMBER($E42)),NOT(ISNUMBER($F42))),"",IF($F42&lt;=$E42*12/52*5,"OK","Over 5 weeks"))</f>
        <v/>
      </c>
      <c r="L42" s="52"/>
      <c r="M42" s="52"/>
      <c r="N42" s="122">
        <f>IF(OR($A42="",NOT(ISNUMBER($L42))),IF($A42="","","Not recorded"),IF(NOT(ISNUMBER($M42)),"Checked (no follow-up)",IF($M42&lt;TODAY(),"OVERDUE: follow-up check",IF($M42-TODAY()&lt;=60,"Follow-up due "&amp;TEXT($M42,"dd/mm/yyyy"),"Checked"))))</f>
        <v/>
      </c>
      <c r="O42" s="52"/>
      <c r="P42" s="52"/>
      <c r="Q42" s="122">
        <f>IF($A42="","",IF(NOT(ISNUMBER($D42)),"Enter start date",IF($D42&gt;=DATE(2026,5,1),IF(ISNUMBER($O42),"Complete","Missing: written terms"),IF(OR(ISNUMBER($P42),ISNUMBER($O42)),"Complete","Missing: Information Sheet (was due 31/05/2026)"))))</f>
        <v/>
      </c>
      <c r="R42" s="52"/>
      <c r="S42" s="82">
        <f>IF(ISNUMBER($R42),$R42+364,IF(ISNUMBER($D42),$D42+364,""))</f>
        <v/>
      </c>
      <c r="T42" s="52"/>
      <c r="U42" s="82">
        <f>IF(ISNUMBER($T42),IF(ISNUMBER($S42),MAX(EDATE($T42,2),$S42),EDATE($T42,2)),"")</f>
        <v/>
      </c>
      <c r="V42" s="52"/>
      <c r="W42" s="52"/>
      <c r="X42" s="121">
        <f>IF(NOT(ISNUMBER($V42)),"",IF(ISNUMBER($W42),IF($W42-$V42&lt;=28,"Answered in time","LATE: answered after day 28"),IF(TODAY()-$V42&gt;28,"OVERDUE: no reply yet","Reply due by "&amp;TEXT($V42+28,"dd/mm/yyyy"))))</f>
        <v/>
      </c>
      <c r="Y42" s="54"/>
    </row>
    <row r="43" spans="1:25">
      <c r="A43" s="54"/>
      <c r="B43" s="54"/>
      <c r="C43" s="51"/>
      <c r="D43" s="52"/>
      <c r="E43" s="120"/>
      <c r="F43" s="120"/>
      <c r="G43" s="52"/>
      <c r="H43" s="52"/>
      <c r="I43" s="52"/>
      <c r="J43" s="121">
        <f>IF(OR($A43="",NOT(ISNUMBER($F43))),"",IF($F43&lt;=0,"No deposit",IF(NOT(ISNUMBER($G43)),"Enter date received",IF(AND(ISNUMBER($H43),ISNUMBER($I43)),IF(MAX($H43,$I43)-$G43&lt;=29,"OK","LATE: protected / info served after day 30"),IF(TODAY()-$G43&gt;29,"OVERDUE: not protected / info not served","Protect + serve info by "&amp;TEXT($G43+29,"dd/mm/yyyy"))))))</f>
        <v/>
      </c>
      <c r="K43" s="97">
        <f>IF(OR(NOT(ISNUMBER($E43)),NOT(ISNUMBER($F43))),"",IF($F43&lt;=$E43*12/52*5,"OK","Over 5 weeks"))</f>
        <v/>
      </c>
      <c r="L43" s="52"/>
      <c r="M43" s="52"/>
      <c r="N43" s="122">
        <f>IF(OR($A43="",NOT(ISNUMBER($L43))),IF($A43="","","Not recorded"),IF(NOT(ISNUMBER($M43)),"Checked (no follow-up)",IF($M43&lt;TODAY(),"OVERDUE: follow-up check",IF($M43-TODAY()&lt;=60,"Follow-up due "&amp;TEXT($M43,"dd/mm/yyyy"),"Checked"))))</f>
        <v/>
      </c>
      <c r="O43" s="52"/>
      <c r="P43" s="52"/>
      <c r="Q43" s="122">
        <f>IF($A43="","",IF(NOT(ISNUMBER($D43)),"Enter start date",IF($D43&gt;=DATE(2026,5,1),IF(ISNUMBER($O43),"Complete","Missing: written terms"),IF(OR(ISNUMBER($P43),ISNUMBER($O43)),"Complete","Missing: Information Sheet (was due 31/05/2026)"))))</f>
        <v/>
      </c>
      <c r="R43" s="52"/>
      <c r="S43" s="82">
        <f>IF(ISNUMBER($R43),$R43+364,IF(ISNUMBER($D43),$D43+364,""))</f>
        <v/>
      </c>
      <c r="T43" s="52"/>
      <c r="U43" s="82">
        <f>IF(ISNUMBER($T43),IF(ISNUMBER($S43),MAX(EDATE($T43,2),$S43),EDATE($T43,2)),"")</f>
        <v/>
      </c>
      <c r="V43" s="52"/>
      <c r="W43" s="52"/>
      <c r="X43" s="121">
        <f>IF(NOT(ISNUMBER($V43)),"",IF(ISNUMBER($W43),IF($W43-$V43&lt;=28,"Answered in time","LATE: answered after day 28"),IF(TODAY()-$V43&gt;28,"OVERDUE: no reply yet","Reply due by "&amp;TEXT($V43+28,"dd/mm/yyyy"))))</f>
        <v/>
      </c>
      <c r="Y43" s="54"/>
    </row>
    <row r="44" spans="1:25">
      <c r="A44" s="54"/>
      <c r="B44" s="54"/>
      <c r="C44" s="51"/>
      <c r="D44" s="52"/>
      <c r="E44" s="120"/>
      <c r="F44" s="120"/>
      <c r="G44" s="52"/>
      <c r="H44" s="52"/>
      <c r="I44" s="52"/>
      <c r="J44" s="121">
        <f>IF(OR($A44="",NOT(ISNUMBER($F44))),"",IF($F44&lt;=0,"No deposit",IF(NOT(ISNUMBER($G44)),"Enter date received",IF(AND(ISNUMBER($H44),ISNUMBER($I44)),IF(MAX($H44,$I44)-$G44&lt;=29,"OK","LATE: protected / info served after day 30"),IF(TODAY()-$G44&gt;29,"OVERDUE: not protected / info not served","Protect + serve info by "&amp;TEXT($G44+29,"dd/mm/yyyy"))))))</f>
        <v/>
      </c>
      <c r="K44" s="97">
        <f>IF(OR(NOT(ISNUMBER($E44)),NOT(ISNUMBER($F44))),"",IF($F44&lt;=$E44*12/52*5,"OK","Over 5 weeks"))</f>
        <v/>
      </c>
      <c r="L44" s="52"/>
      <c r="M44" s="52"/>
      <c r="N44" s="122">
        <f>IF(OR($A44="",NOT(ISNUMBER($L44))),IF($A44="","","Not recorded"),IF(NOT(ISNUMBER($M44)),"Checked (no follow-up)",IF($M44&lt;TODAY(),"OVERDUE: follow-up check",IF($M44-TODAY()&lt;=60,"Follow-up due "&amp;TEXT($M44,"dd/mm/yyyy"),"Checked"))))</f>
        <v/>
      </c>
      <c r="O44" s="52"/>
      <c r="P44" s="52"/>
      <c r="Q44" s="122">
        <f>IF($A44="","",IF(NOT(ISNUMBER($D44)),"Enter start date",IF($D44&gt;=DATE(2026,5,1),IF(ISNUMBER($O44),"Complete","Missing: written terms"),IF(OR(ISNUMBER($P44),ISNUMBER($O44)),"Complete","Missing: Information Sheet (was due 31/05/2026)"))))</f>
        <v/>
      </c>
      <c r="R44" s="52"/>
      <c r="S44" s="82">
        <f>IF(ISNUMBER($R44),$R44+364,IF(ISNUMBER($D44),$D44+364,""))</f>
        <v/>
      </c>
      <c r="T44" s="52"/>
      <c r="U44" s="82">
        <f>IF(ISNUMBER($T44),IF(ISNUMBER($S44),MAX(EDATE($T44,2),$S44),EDATE($T44,2)),"")</f>
        <v/>
      </c>
      <c r="V44" s="52"/>
      <c r="W44" s="52"/>
      <c r="X44" s="121">
        <f>IF(NOT(ISNUMBER($V44)),"",IF(ISNUMBER($W44),IF($W44-$V44&lt;=28,"Answered in time","LATE: answered after day 28"),IF(TODAY()-$V44&gt;28,"OVERDUE: no reply yet","Reply due by "&amp;TEXT($V44+28,"dd/mm/yyyy"))))</f>
        <v/>
      </c>
      <c r="Y44" s="54"/>
    </row>
    <row r="45" spans="1:25">
      <c r="A45" s="54"/>
      <c r="B45" s="54"/>
      <c r="C45" s="51"/>
      <c r="D45" s="52"/>
      <c r="E45" s="120"/>
      <c r="F45" s="120"/>
      <c r="G45" s="52"/>
      <c r="H45" s="52"/>
      <c r="I45" s="52"/>
      <c r="J45" s="121">
        <f>IF(OR($A45="",NOT(ISNUMBER($F45))),"",IF($F45&lt;=0,"No deposit",IF(NOT(ISNUMBER($G45)),"Enter date received",IF(AND(ISNUMBER($H45),ISNUMBER($I45)),IF(MAX($H45,$I45)-$G45&lt;=29,"OK","LATE: protected / info served after day 30"),IF(TODAY()-$G45&gt;29,"OVERDUE: not protected / info not served","Protect + serve info by "&amp;TEXT($G45+29,"dd/mm/yyyy"))))))</f>
        <v/>
      </c>
      <c r="K45" s="97">
        <f>IF(OR(NOT(ISNUMBER($E45)),NOT(ISNUMBER($F45))),"",IF($F45&lt;=$E45*12/52*5,"OK","Over 5 weeks"))</f>
        <v/>
      </c>
      <c r="L45" s="52"/>
      <c r="M45" s="52"/>
      <c r="N45" s="122">
        <f>IF(OR($A45="",NOT(ISNUMBER($L45))),IF($A45="","","Not recorded"),IF(NOT(ISNUMBER($M45)),"Checked (no follow-up)",IF($M45&lt;TODAY(),"OVERDUE: follow-up check",IF($M45-TODAY()&lt;=60,"Follow-up due "&amp;TEXT($M45,"dd/mm/yyyy"),"Checked"))))</f>
        <v/>
      </c>
      <c r="O45" s="52"/>
      <c r="P45" s="52"/>
      <c r="Q45" s="122">
        <f>IF($A45="","",IF(NOT(ISNUMBER($D45)),"Enter start date",IF($D45&gt;=DATE(2026,5,1),IF(ISNUMBER($O45),"Complete","Missing: written terms"),IF(OR(ISNUMBER($P45),ISNUMBER($O45)),"Complete","Missing: Information Sheet (was due 31/05/2026)"))))</f>
        <v/>
      </c>
      <c r="R45" s="52"/>
      <c r="S45" s="82">
        <f>IF(ISNUMBER($R45),$R45+364,IF(ISNUMBER($D45),$D45+364,""))</f>
        <v/>
      </c>
      <c r="T45" s="52"/>
      <c r="U45" s="82">
        <f>IF(ISNUMBER($T45),IF(ISNUMBER($S45),MAX(EDATE($T45,2),$S45),EDATE($T45,2)),"")</f>
        <v/>
      </c>
      <c r="V45" s="52"/>
      <c r="W45" s="52"/>
      <c r="X45" s="121">
        <f>IF(NOT(ISNUMBER($V45)),"",IF(ISNUMBER($W45),IF($W45-$V45&lt;=28,"Answered in time","LATE: answered after day 28"),IF(TODAY()-$V45&gt;28,"OVERDUE: no reply yet","Reply due by "&amp;TEXT($V45+28,"dd/mm/yyyy"))))</f>
        <v/>
      </c>
      <c r="Y45" s="54"/>
    </row>
    <row r="46" spans="1:25">
      <c r="A46" s="54"/>
      <c r="B46" s="54"/>
      <c r="C46" s="51"/>
      <c r="D46" s="52"/>
      <c r="E46" s="120"/>
      <c r="F46" s="120"/>
      <c r="G46" s="52"/>
      <c r="H46" s="52"/>
      <c r="I46" s="52"/>
      <c r="J46" s="121">
        <f>IF(OR($A46="",NOT(ISNUMBER($F46))),"",IF($F46&lt;=0,"No deposit",IF(NOT(ISNUMBER($G46)),"Enter date received",IF(AND(ISNUMBER($H46),ISNUMBER($I46)),IF(MAX($H46,$I46)-$G46&lt;=29,"OK","LATE: protected / info served after day 30"),IF(TODAY()-$G46&gt;29,"OVERDUE: not protected / info not served","Protect + serve info by "&amp;TEXT($G46+29,"dd/mm/yyyy"))))))</f>
        <v/>
      </c>
      <c r="K46" s="97">
        <f>IF(OR(NOT(ISNUMBER($E46)),NOT(ISNUMBER($F46))),"",IF($F46&lt;=$E46*12/52*5,"OK","Over 5 weeks"))</f>
        <v/>
      </c>
      <c r="L46" s="52"/>
      <c r="M46" s="52"/>
      <c r="N46" s="122">
        <f>IF(OR($A46="",NOT(ISNUMBER($L46))),IF($A46="","","Not recorded"),IF(NOT(ISNUMBER($M46)),"Checked (no follow-up)",IF($M46&lt;TODAY(),"OVERDUE: follow-up check",IF($M46-TODAY()&lt;=60,"Follow-up due "&amp;TEXT($M46,"dd/mm/yyyy"),"Checked"))))</f>
        <v/>
      </c>
      <c r="O46" s="52"/>
      <c r="P46" s="52"/>
      <c r="Q46" s="122">
        <f>IF($A46="","",IF(NOT(ISNUMBER($D46)),"Enter start date",IF($D46&gt;=DATE(2026,5,1),IF(ISNUMBER($O46),"Complete","Missing: written terms"),IF(OR(ISNUMBER($P46),ISNUMBER($O46)),"Complete","Missing: Information Sheet (was due 31/05/2026)"))))</f>
        <v/>
      </c>
      <c r="R46" s="52"/>
      <c r="S46" s="82">
        <f>IF(ISNUMBER($R46),$R46+364,IF(ISNUMBER($D46),$D46+364,""))</f>
        <v/>
      </c>
      <c r="T46" s="52"/>
      <c r="U46" s="82">
        <f>IF(ISNUMBER($T46),IF(ISNUMBER($S46),MAX(EDATE($T46,2),$S46),EDATE($T46,2)),"")</f>
        <v/>
      </c>
      <c r="V46" s="52"/>
      <c r="W46" s="52"/>
      <c r="X46" s="121">
        <f>IF(NOT(ISNUMBER($V46)),"",IF(ISNUMBER($W46),IF($W46-$V46&lt;=28,"Answered in time","LATE: answered after day 28"),IF(TODAY()-$V46&gt;28,"OVERDUE: no reply yet","Reply due by "&amp;TEXT($V46+28,"dd/mm/yyyy"))))</f>
        <v/>
      </c>
      <c r="Y46" s="54"/>
    </row>
    <row r="47" spans="1:25">
      <c r="A47" s="54"/>
      <c r="B47" s="54"/>
      <c r="C47" s="51"/>
      <c r="D47" s="52"/>
      <c r="E47" s="120"/>
      <c r="F47" s="120"/>
      <c r="G47" s="52"/>
      <c r="H47" s="52"/>
      <c r="I47" s="52"/>
      <c r="J47" s="121">
        <f>IF(OR($A47="",NOT(ISNUMBER($F47))),"",IF($F47&lt;=0,"No deposit",IF(NOT(ISNUMBER($G47)),"Enter date received",IF(AND(ISNUMBER($H47),ISNUMBER($I47)),IF(MAX($H47,$I47)-$G47&lt;=29,"OK","LATE: protected / info served after day 30"),IF(TODAY()-$G47&gt;29,"OVERDUE: not protected / info not served","Protect + serve info by "&amp;TEXT($G47+29,"dd/mm/yyyy"))))))</f>
        <v/>
      </c>
      <c r="K47" s="97">
        <f>IF(OR(NOT(ISNUMBER($E47)),NOT(ISNUMBER($F47))),"",IF($F47&lt;=$E47*12/52*5,"OK","Over 5 weeks"))</f>
        <v/>
      </c>
      <c r="L47" s="52"/>
      <c r="M47" s="52"/>
      <c r="N47" s="122">
        <f>IF(OR($A47="",NOT(ISNUMBER($L47))),IF($A47="","","Not recorded"),IF(NOT(ISNUMBER($M47)),"Checked (no follow-up)",IF($M47&lt;TODAY(),"OVERDUE: follow-up check",IF($M47-TODAY()&lt;=60,"Follow-up due "&amp;TEXT($M47,"dd/mm/yyyy"),"Checked"))))</f>
        <v/>
      </c>
      <c r="O47" s="52"/>
      <c r="P47" s="52"/>
      <c r="Q47" s="122">
        <f>IF($A47="","",IF(NOT(ISNUMBER($D47)),"Enter start date",IF($D47&gt;=DATE(2026,5,1),IF(ISNUMBER($O47),"Complete","Missing: written terms"),IF(OR(ISNUMBER($P47),ISNUMBER($O47)),"Complete","Missing: Information Sheet (was due 31/05/2026)"))))</f>
        <v/>
      </c>
      <c r="R47" s="52"/>
      <c r="S47" s="82">
        <f>IF(ISNUMBER($R47),$R47+364,IF(ISNUMBER($D47),$D47+364,""))</f>
        <v/>
      </c>
      <c r="T47" s="52"/>
      <c r="U47" s="82">
        <f>IF(ISNUMBER($T47),IF(ISNUMBER($S47),MAX(EDATE($T47,2),$S47),EDATE($T47,2)),"")</f>
        <v/>
      </c>
      <c r="V47" s="52"/>
      <c r="W47" s="52"/>
      <c r="X47" s="121">
        <f>IF(NOT(ISNUMBER($V47)),"",IF(ISNUMBER($W47),IF($W47-$V47&lt;=28,"Answered in time","LATE: answered after day 28"),IF(TODAY()-$V47&gt;28,"OVERDUE: no reply yet","Reply due by "&amp;TEXT($V47+28,"dd/mm/yyyy"))))</f>
        <v/>
      </c>
      <c r="Y47" s="54"/>
    </row>
    <row r="48" spans="1:25">
      <c r="A48" s="54"/>
      <c r="B48" s="54"/>
      <c r="C48" s="51"/>
      <c r="D48" s="52"/>
      <c r="E48" s="120"/>
      <c r="F48" s="120"/>
      <c r="G48" s="52"/>
      <c r="H48" s="52"/>
      <c r="I48" s="52"/>
      <c r="J48" s="121">
        <f>IF(OR($A48="",NOT(ISNUMBER($F48))),"",IF($F48&lt;=0,"No deposit",IF(NOT(ISNUMBER($G48)),"Enter date received",IF(AND(ISNUMBER($H48),ISNUMBER($I48)),IF(MAX($H48,$I48)-$G48&lt;=29,"OK","LATE: protected / info served after day 30"),IF(TODAY()-$G48&gt;29,"OVERDUE: not protected / info not served","Protect + serve info by "&amp;TEXT($G48+29,"dd/mm/yyyy"))))))</f>
        <v/>
      </c>
      <c r="K48" s="97">
        <f>IF(OR(NOT(ISNUMBER($E48)),NOT(ISNUMBER($F48))),"",IF($F48&lt;=$E48*12/52*5,"OK","Over 5 weeks"))</f>
        <v/>
      </c>
      <c r="L48" s="52"/>
      <c r="M48" s="52"/>
      <c r="N48" s="122">
        <f>IF(OR($A48="",NOT(ISNUMBER($L48))),IF($A48="","","Not recorded"),IF(NOT(ISNUMBER($M48)),"Checked (no follow-up)",IF($M48&lt;TODAY(),"OVERDUE: follow-up check",IF($M48-TODAY()&lt;=60,"Follow-up due "&amp;TEXT($M48,"dd/mm/yyyy"),"Checked"))))</f>
        <v/>
      </c>
      <c r="O48" s="52"/>
      <c r="P48" s="52"/>
      <c r="Q48" s="122">
        <f>IF($A48="","",IF(NOT(ISNUMBER($D48)),"Enter start date",IF($D48&gt;=DATE(2026,5,1),IF(ISNUMBER($O48),"Complete","Missing: written terms"),IF(OR(ISNUMBER($P48),ISNUMBER($O48)),"Complete","Missing: Information Sheet (was due 31/05/2026)"))))</f>
        <v/>
      </c>
      <c r="R48" s="52"/>
      <c r="S48" s="82">
        <f>IF(ISNUMBER($R48),$R48+364,IF(ISNUMBER($D48),$D48+364,""))</f>
        <v/>
      </c>
      <c r="T48" s="52"/>
      <c r="U48" s="82">
        <f>IF(ISNUMBER($T48),IF(ISNUMBER($S48),MAX(EDATE($T48,2),$S48),EDATE($T48,2)),"")</f>
        <v/>
      </c>
      <c r="V48" s="52"/>
      <c r="W48" s="52"/>
      <c r="X48" s="121">
        <f>IF(NOT(ISNUMBER($V48)),"",IF(ISNUMBER($W48),IF($W48-$V48&lt;=28,"Answered in time","LATE: answered after day 28"),IF(TODAY()-$V48&gt;28,"OVERDUE: no reply yet","Reply due by "&amp;TEXT($V48+28,"dd/mm/yyyy"))))</f>
        <v/>
      </c>
      <c r="Y48" s="54"/>
    </row>
    <row r="49" spans="1:25">
      <c r="A49" s="54"/>
      <c r="B49" s="54"/>
      <c r="C49" s="51"/>
      <c r="D49" s="52"/>
      <c r="E49" s="120"/>
      <c r="F49" s="120"/>
      <c r="G49" s="52"/>
      <c r="H49" s="52"/>
      <c r="I49" s="52"/>
      <c r="J49" s="121">
        <f>IF(OR($A49="",NOT(ISNUMBER($F49))),"",IF($F49&lt;=0,"No deposit",IF(NOT(ISNUMBER($G49)),"Enter date received",IF(AND(ISNUMBER($H49),ISNUMBER($I49)),IF(MAX($H49,$I49)-$G49&lt;=29,"OK","LATE: protected / info served after day 30"),IF(TODAY()-$G49&gt;29,"OVERDUE: not protected / info not served","Protect + serve info by "&amp;TEXT($G49+29,"dd/mm/yyyy"))))))</f>
        <v/>
      </c>
      <c r="K49" s="97">
        <f>IF(OR(NOT(ISNUMBER($E49)),NOT(ISNUMBER($F49))),"",IF($F49&lt;=$E49*12/52*5,"OK","Over 5 weeks"))</f>
        <v/>
      </c>
      <c r="L49" s="52"/>
      <c r="M49" s="52"/>
      <c r="N49" s="122">
        <f>IF(OR($A49="",NOT(ISNUMBER($L49))),IF($A49="","","Not recorded"),IF(NOT(ISNUMBER($M49)),"Checked (no follow-up)",IF($M49&lt;TODAY(),"OVERDUE: follow-up check",IF($M49-TODAY()&lt;=60,"Follow-up due "&amp;TEXT($M49,"dd/mm/yyyy"),"Checked"))))</f>
        <v/>
      </c>
      <c r="O49" s="52"/>
      <c r="P49" s="52"/>
      <c r="Q49" s="122">
        <f>IF($A49="","",IF(NOT(ISNUMBER($D49)),"Enter start date",IF($D49&gt;=DATE(2026,5,1),IF(ISNUMBER($O49),"Complete","Missing: written terms"),IF(OR(ISNUMBER($P49),ISNUMBER($O49)),"Complete","Missing: Information Sheet (was due 31/05/2026)"))))</f>
        <v/>
      </c>
      <c r="R49" s="52"/>
      <c r="S49" s="82">
        <f>IF(ISNUMBER($R49),$R49+364,IF(ISNUMBER($D49),$D49+364,""))</f>
        <v/>
      </c>
      <c r="T49" s="52"/>
      <c r="U49" s="82">
        <f>IF(ISNUMBER($T49),IF(ISNUMBER($S49),MAX(EDATE($T49,2),$S49),EDATE($T49,2)),"")</f>
        <v/>
      </c>
      <c r="V49" s="52"/>
      <c r="W49" s="52"/>
      <c r="X49" s="121">
        <f>IF(NOT(ISNUMBER($V49)),"",IF(ISNUMBER($W49),IF($W49-$V49&lt;=28,"Answered in time","LATE: answered after day 28"),IF(TODAY()-$V49&gt;28,"OVERDUE: no reply yet","Reply due by "&amp;TEXT($V49+28,"dd/mm/yyyy"))))</f>
        <v/>
      </c>
      <c r="Y49" s="54"/>
    </row>
    <row r="50" spans="1:25">
      <c r="A50" s="54"/>
      <c r="B50" s="54"/>
      <c r="C50" s="51"/>
      <c r="D50" s="52"/>
      <c r="E50" s="120"/>
      <c r="F50" s="120"/>
      <c r="G50" s="52"/>
      <c r="H50" s="52"/>
      <c r="I50" s="52"/>
      <c r="J50" s="121">
        <f>IF(OR($A50="",NOT(ISNUMBER($F50))),"",IF($F50&lt;=0,"No deposit",IF(NOT(ISNUMBER($G50)),"Enter date received",IF(AND(ISNUMBER($H50),ISNUMBER($I50)),IF(MAX($H50,$I50)-$G50&lt;=29,"OK","LATE: protected / info served after day 30"),IF(TODAY()-$G50&gt;29,"OVERDUE: not protected / info not served","Protect + serve info by "&amp;TEXT($G50+29,"dd/mm/yyyy"))))))</f>
        <v/>
      </c>
      <c r="K50" s="97">
        <f>IF(OR(NOT(ISNUMBER($E50)),NOT(ISNUMBER($F50))),"",IF($F50&lt;=$E50*12/52*5,"OK","Over 5 weeks"))</f>
        <v/>
      </c>
      <c r="L50" s="52"/>
      <c r="M50" s="52"/>
      <c r="N50" s="122">
        <f>IF(OR($A50="",NOT(ISNUMBER($L50))),IF($A50="","","Not recorded"),IF(NOT(ISNUMBER($M50)),"Checked (no follow-up)",IF($M50&lt;TODAY(),"OVERDUE: follow-up check",IF($M50-TODAY()&lt;=60,"Follow-up due "&amp;TEXT($M50,"dd/mm/yyyy"),"Checked"))))</f>
        <v/>
      </c>
      <c r="O50" s="52"/>
      <c r="P50" s="52"/>
      <c r="Q50" s="122">
        <f>IF($A50="","",IF(NOT(ISNUMBER($D50)),"Enter start date",IF($D50&gt;=DATE(2026,5,1),IF(ISNUMBER($O50),"Complete","Missing: written terms"),IF(OR(ISNUMBER($P50),ISNUMBER($O50)),"Complete","Missing: Information Sheet (was due 31/05/2026)"))))</f>
        <v/>
      </c>
      <c r="R50" s="52"/>
      <c r="S50" s="82">
        <f>IF(ISNUMBER($R50),$R50+364,IF(ISNUMBER($D50),$D50+364,""))</f>
        <v/>
      </c>
      <c r="T50" s="52"/>
      <c r="U50" s="82">
        <f>IF(ISNUMBER($T50),IF(ISNUMBER($S50),MAX(EDATE($T50,2),$S50),EDATE($T50,2)),"")</f>
        <v/>
      </c>
      <c r="V50" s="52"/>
      <c r="W50" s="52"/>
      <c r="X50" s="121">
        <f>IF(NOT(ISNUMBER($V50)),"",IF(ISNUMBER($W50),IF($W50-$V50&lt;=28,"Answered in time","LATE: answered after day 28"),IF(TODAY()-$V50&gt;28,"OVERDUE: no reply yet","Reply due by "&amp;TEXT($V50+28,"dd/mm/yyyy"))))</f>
        <v/>
      </c>
      <c r="Y50" s="54"/>
    </row>
    <row r="51" spans="1:25">
      <c r="A51" s="54"/>
      <c r="B51" s="54"/>
      <c r="C51" s="51"/>
      <c r="D51" s="52"/>
      <c r="E51" s="120"/>
      <c r="F51" s="120"/>
      <c r="G51" s="52"/>
      <c r="H51" s="52"/>
      <c r="I51" s="52"/>
      <c r="J51" s="121">
        <f>IF(OR($A51="",NOT(ISNUMBER($F51))),"",IF($F51&lt;=0,"No deposit",IF(NOT(ISNUMBER($G51)),"Enter date received",IF(AND(ISNUMBER($H51),ISNUMBER($I51)),IF(MAX($H51,$I51)-$G51&lt;=29,"OK","LATE: protected / info served after day 30"),IF(TODAY()-$G51&gt;29,"OVERDUE: not protected / info not served","Protect + serve info by "&amp;TEXT($G51+29,"dd/mm/yyyy"))))))</f>
        <v/>
      </c>
      <c r="K51" s="97">
        <f>IF(OR(NOT(ISNUMBER($E51)),NOT(ISNUMBER($F51))),"",IF($F51&lt;=$E51*12/52*5,"OK","Over 5 weeks"))</f>
        <v/>
      </c>
      <c r="L51" s="52"/>
      <c r="M51" s="52"/>
      <c r="N51" s="122">
        <f>IF(OR($A51="",NOT(ISNUMBER($L51))),IF($A51="","","Not recorded"),IF(NOT(ISNUMBER($M51)),"Checked (no follow-up)",IF($M51&lt;TODAY(),"OVERDUE: follow-up check",IF($M51-TODAY()&lt;=60,"Follow-up due "&amp;TEXT($M51,"dd/mm/yyyy"),"Checked"))))</f>
        <v/>
      </c>
      <c r="O51" s="52"/>
      <c r="P51" s="52"/>
      <c r="Q51" s="122">
        <f>IF($A51="","",IF(NOT(ISNUMBER($D51)),"Enter start date",IF($D51&gt;=DATE(2026,5,1),IF(ISNUMBER($O51),"Complete","Missing: written terms"),IF(OR(ISNUMBER($P51),ISNUMBER($O51)),"Complete","Missing: Information Sheet (was due 31/05/2026)"))))</f>
        <v/>
      </c>
      <c r="R51" s="52"/>
      <c r="S51" s="82">
        <f>IF(ISNUMBER($R51),$R51+364,IF(ISNUMBER($D51),$D51+364,""))</f>
        <v/>
      </c>
      <c r="T51" s="52"/>
      <c r="U51" s="82">
        <f>IF(ISNUMBER($T51),IF(ISNUMBER($S51),MAX(EDATE($T51,2),$S51),EDATE($T51,2)),"")</f>
        <v/>
      </c>
      <c r="V51" s="52"/>
      <c r="W51" s="52"/>
      <c r="X51" s="121">
        <f>IF(NOT(ISNUMBER($V51)),"",IF(ISNUMBER($W51),IF($W51-$V51&lt;=28,"Answered in time","LATE: answered after day 28"),IF(TODAY()-$V51&gt;28,"OVERDUE: no reply yet","Reply due by "&amp;TEXT($V51+28,"dd/mm/yyyy"))))</f>
        <v/>
      </c>
      <c r="Y51" s="54"/>
    </row>
    <row r="52" spans="1:25">
      <c r="A52" s="54"/>
      <c r="B52" s="54"/>
      <c r="C52" s="51"/>
      <c r="D52" s="52"/>
      <c r="E52" s="120"/>
      <c r="F52" s="120"/>
      <c r="G52" s="52"/>
      <c r="H52" s="52"/>
      <c r="I52" s="52"/>
      <c r="J52" s="121">
        <f>IF(OR($A52="",NOT(ISNUMBER($F52))),"",IF($F52&lt;=0,"No deposit",IF(NOT(ISNUMBER($G52)),"Enter date received",IF(AND(ISNUMBER($H52),ISNUMBER($I52)),IF(MAX($H52,$I52)-$G52&lt;=29,"OK","LATE: protected / info served after day 30"),IF(TODAY()-$G52&gt;29,"OVERDUE: not protected / info not served","Protect + serve info by "&amp;TEXT($G52+29,"dd/mm/yyyy"))))))</f>
        <v/>
      </c>
      <c r="K52" s="97">
        <f>IF(OR(NOT(ISNUMBER($E52)),NOT(ISNUMBER($F52))),"",IF($F52&lt;=$E52*12/52*5,"OK","Over 5 weeks"))</f>
        <v/>
      </c>
      <c r="L52" s="52"/>
      <c r="M52" s="52"/>
      <c r="N52" s="122">
        <f>IF(OR($A52="",NOT(ISNUMBER($L52))),IF($A52="","","Not recorded"),IF(NOT(ISNUMBER($M52)),"Checked (no follow-up)",IF($M52&lt;TODAY(),"OVERDUE: follow-up check",IF($M52-TODAY()&lt;=60,"Follow-up due "&amp;TEXT($M52,"dd/mm/yyyy"),"Checked"))))</f>
        <v/>
      </c>
      <c r="O52" s="52"/>
      <c r="P52" s="52"/>
      <c r="Q52" s="122">
        <f>IF($A52="","",IF(NOT(ISNUMBER($D52)),"Enter start date",IF($D52&gt;=DATE(2026,5,1),IF(ISNUMBER($O52),"Complete","Missing: written terms"),IF(OR(ISNUMBER($P52),ISNUMBER($O52)),"Complete","Missing: Information Sheet (was due 31/05/2026)"))))</f>
        <v/>
      </c>
      <c r="R52" s="52"/>
      <c r="S52" s="82">
        <f>IF(ISNUMBER($R52),$R52+364,IF(ISNUMBER($D52),$D52+364,""))</f>
        <v/>
      </c>
      <c r="T52" s="52"/>
      <c r="U52" s="82">
        <f>IF(ISNUMBER($T52),IF(ISNUMBER($S52),MAX(EDATE($T52,2),$S52),EDATE($T52,2)),"")</f>
        <v/>
      </c>
      <c r="V52" s="52"/>
      <c r="W52" s="52"/>
      <c r="X52" s="121">
        <f>IF(NOT(ISNUMBER($V52)),"",IF(ISNUMBER($W52),IF($W52-$V52&lt;=28,"Answered in time","LATE: answered after day 28"),IF(TODAY()-$V52&gt;28,"OVERDUE: no reply yet","Reply due by "&amp;TEXT($V52+28,"dd/mm/yyyy"))))</f>
        <v/>
      </c>
      <c r="Y52" s="54"/>
    </row>
    <row r="53" spans="1:25">
      <c r="A53" s="54"/>
      <c r="B53" s="54"/>
      <c r="C53" s="51"/>
      <c r="D53" s="52"/>
      <c r="E53" s="120"/>
      <c r="F53" s="120"/>
      <c r="G53" s="52"/>
      <c r="H53" s="52"/>
      <c r="I53" s="52"/>
      <c r="J53" s="121">
        <f>IF(OR($A53="",NOT(ISNUMBER($F53))),"",IF($F53&lt;=0,"No deposit",IF(NOT(ISNUMBER($G53)),"Enter date received",IF(AND(ISNUMBER($H53),ISNUMBER($I53)),IF(MAX($H53,$I53)-$G53&lt;=29,"OK","LATE: protected / info served after day 30"),IF(TODAY()-$G53&gt;29,"OVERDUE: not protected / info not served","Protect + serve info by "&amp;TEXT($G53+29,"dd/mm/yyyy"))))))</f>
        <v/>
      </c>
      <c r="K53" s="97">
        <f>IF(OR(NOT(ISNUMBER($E53)),NOT(ISNUMBER($F53))),"",IF($F53&lt;=$E53*12/52*5,"OK","Over 5 weeks"))</f>
        <v/>
      </c>
      <c r="L53" s="52"/>
      <c r="M53" s="52"/>
      <c r="N53" s="122">
        <f>IF(OR($A53="",NOT(ISNUMBER($L53))),IF($A53="","","Not recorded"),IF(NOT(ISNUMBER($M53)),"Checked (no follow-up)",IF($M53&lt;TODAY(),"OVERDUE: follow-up check",IF($M53-TODAY()&lt;=60,"Follow-up due "&amp;TEXT($M53,"dd/mm/yyyy"),"Checked"))))</f>
        <v/>
      </c>
      <c r="O53" s="52"/>
      <c r="P53" s="52"/>
      <c r="Q53" s="122">
        <f>IF($A53="","",IF(NOT(ISNUMBER($D53)),"Enter start date",IF($D53&gt;=DATE(2026,5,1),IF(ISNUMBER($O53),"Complete","Missing: written terms"),IF(OR(ISNUMBER($P53),ISNUMBER($O53)),"Complete","Missing: Information Sheet (was due 31/05/2026)"))))</f>
        <v/>
      </c>
      <c r="R53" s="52"/>
      <c r="S53" s="82">
        <f>IF(ISNUMBER($R53),$R53+364,IF(ISNUMBER($D53),$D53+364,""))</f>
        <v/>
      </c>
      <c r="T53" s="52"/>
      <c r="U53" s="82">
        <f>IF(ISNUMBER($T53),IF(ISNUMBER($S53),MAX(EDATE($T53,2),$S53),EDATE($T53,2)),"")</f>
        <v/>
      </c>
      <c r="V53" s="52"/>
      <c r="W53" s="52"/>
      <c r="X53" s="121">
        <f>IF(NOT(ISNUMBER($V53)),"",IF(ISNUMBER($W53),IF($W53-$V53&lt;=28,"Answered in time","LATE: answered after day 28"),IF(TODAY()-$V53&gt;28,"OVERDUE: no reply yet","Reply due by "&amp;TEXT($V53+28,"dd/mm/yyyy"))))</f>
        <v/>
      </c>
      <c r="Y53" s="54"/>
    </row>
    <row r="54" spans="1:25">
      <c r="A54" s="54"/>
      <c r="B54" s="54"/>
      <c r="C54" s="51"/>
      <c r="D54" s="52"/>
      <c r="E54" s="120"/>
      <c r="F54" s="120"/>
      <c r="G54" s="52"/>
      <c r="H54" s="52"/>
      <c r="I54" s="52"/>
      <c r="J54" s="121">
        <f>IF(OR($A54="",NOT(ISNUMBER($F54))),"",IF($F54&lt;=0,"No deposit",IF(NOT(ISNUMBER($G54)),"Enter date received",IF(AND(ISNUMBER($H54),ISNUMBER($I54)),IF(MAX($H54,$I54)-$G54&lt;=29,"OK","LATE: protected / info served after day 30"),IF(TODAY()-$G54&gt;29,"OVERDUE: not protected / info not served","Protect + serve info by "&amp;TEXT($G54+29,"dd/mm/yyyy"))))))</f>
        <v/>
      </c>
      <c r="K54" s="97">
        <f>IF(OR(NOT(ISNUMBER($E54)),NOT(ISNUMBER($F54))),"",IF($F54&lt;=$E54*12/52*5,"OK","Over 5 weeks"))</f>
        <v/>
      </c>
      <c r="L54" s="52"/>
      <c r="M54" s="52"/>
      <c r="N54" s="122">
        <f>IF(OR($A54="",NOT(ISNUMBER($L54))),IF($A54="","","Not recorded"),IF(NOT(ISNUMBER($M54)),"Checked (no follow-up)",IF($M54&lt;TODAY(),"OVERDUE: follow-up check",IF($M54-TODAY()&lt;=60,"Follow-up due "&amp;TEXT($M54,"dd/mm/yyyy"),"Checked"))))</f>
        <v/>
      </c>
      <c r="O54" s="52"/>
      <c r="P54" s="52"/>
      <c r="Q54" s="122">
        <f>IF($A54="","",IF(NOT(ISNUMBER($D54)),"Enter start date",IF($D54&gt;=DATE(2026,5,1),IF(ISNUMBER($O54),"Complete","Missing: written terms"),IF(OR(ISNUMBER($P54),ISNUMBER($O54)),"Complete","Missing: Information Sheet (was due 31/05/2026)"))))</f>
        <v/>
      </c>
      <c r="R54" s="52"/>
      <c r="S54" s="82">
        <f>IF(ISNUMBER($R54),$R54+364,IF(ISNUMBER($D54),$D54+364,""))</f>
        <v/>
      </c>
      <c r="T54" s="52"/>
      <c r="U54" s="82">
        <f>IF(ISNUMBER($T54),IF(ISNUMBER($S54),MAX(EDATE($T54,2),$S54),EDATE($T54,2)),"")</f>
        <v/>
      </c>
      <c r="V54" s="52"/>
      <c r="W54" s="52"/>
      <c r="X54" s="121">
        <f>IF(NOT(ISNUMBER($V54)),"",IF(ISNUMBER($W54),IF($W54-$V54&lt;=28,"Answered in time","LATE: answered after day 28"),IF(TODAY()-$V54&gt;28,"OVERDUE: no reply yet","Reply due by "&amp;TEXT($V54+28,"dd/mm/yyyy"))))</f>
        <v/>
      </c>
      <c r="Y54" s="54"/>
    </row>
    <row r="55" spans="1:25">
      <c r="A55" s="54"/>
      <c r="B55" s="54"/>
      <c r="C55" s="51"/>
      <c r="D55" s="52"/>
      <c r="E55" s="120"/>
      <c r="F55" s="120"/>
      <c r="G55" s="52"/>
      <c r="H55" s="52"/>
      <c r="I55" s="52"/>
      <c r="J55" s="121">
        <f>IF(OR($A55="",NOT(ISNUMBER($F55))),"",IF($F55&lt;=0,"No deposit",IF(NOT(ISNUMBER($G55)),"Enter date received",IF(AND(ISNUMBER($H55),ISNUMBER($I55)),IF(MAX($H55,$I55)-$G55&lt;=29,"OK","LATE: protected / info served after day 30"),IF(TODAY()-$G55&gt;29,"OVERDUE: not protected / info not served","Protect + serve info by "&amp;TEXT($G55+29,"dd/mm/yyyy"))))))</f>
        <v/>
      </c>
      <c r="K55" s="97">
        <f>IF(OR(NOT(ISNUMBER($E55)),NOT(ISNUMBER($F55))),"",IF($F55&lt;=$E55*12/52*5,"OK","Over 5 weeks"))</f>
        <v/>
      </c>
      <c r="L55" s="52"/>
      <c r="M55" s="52"/>
      <c r="N55" s="122">
        <f>IF(OR($A55="",NOT(ISNUMBER($L55))),IF($A55="","","Not recorded"),IF(NOT(ISNUMBER($M55)),"Checked (no follow-up)",IF($M55&lt;TODAY(),"OVERDUE: follow-up check",IF($M55-TODAY()&lt;=60,"Follow-up due "&amp;TEXT($M55,"dd/mm/yyyy"),"Checked"))))</f>
        <v/>
      </c>
      <c r="O55" s="52"/>
      <c r="P55" s="52"/>
      <c r="Q55" s="122">
        <f>IF($A55="","",IF(NOT(ISNUMBER($D55)),"Enter start date",IF($D55&gt;=DATE(2026,5,1),IF(ISNUMBER($O55),"Complete","Missing: written terms"),IF(OR(ISNUMBER($P55),ISNUMBER($O55)),"Complete","Missing: Information Sheet (was due 31/05/2026)"))))</f>
        <v/>
      </c>
      <c r="R55" s="52"/>
      <c r="S55" s="82">
        <f>IF(ISNUMBER($R55),$R55+364,IF(ISNUMBER($D55),$D55+364,""))</f>
        <v/>
      </c>
      <c r="T55" s="52"/>
      <c r="U55" s="82">
        <f>IF(ISNUMBER($T55),IF(ISNUMBER($S55),MAX(EDATE($T55,2),$S55),EDATE($T55,2)),"")</f>
        <v/>
      </c>
      <c r="V55" s="52"/>
      <c r="W55" s="52"/>
      <c r="X55" s="121">
        <f>IF(NOT(ISNUMBER($V55)),"",IF(ISNUMBER($W55),IF($W55-$V55&lt;=28,"Answered in time","LATE: answered after day 28"),IF(TODAY()-$V55&gt;28,"OVERDUE: no reply yet","Reply due by "&amp;TEXT($V55+28,"dd/mm/yyyy"))))</f>
        <v/>
      </c>
      <c r="Y55" s="54"/>
    </row>
    <row r="56" spans="1:25">
      <c r="A56" s="54"/>
      <c r="B56" s="54"/>
      <c r="C56" s="51"/>
      <c r="D56" s="52"/>
      <c r="E56" s="120"/>
      <c r="F56" s="120"/>
      <c r="G56" s="52"/>
      <c r="H56" s="52"/>
      <c r="I56" s="52"/>
      <c r="J56" s="121">
        <f>IF(OR($A56="",NOT(ISNUMBER($F56))),"",IF($F56&lt;=0,"No deposit",IF(NOT(ISNUMBER($G56)),"Enter date received",IF(AND(ISNUMBER($H56),ISNUMBER($I56)),IF(MAX($H56,$I56)-$G56&lt;=29,"OK","LATE: protected / info served after day 30"),IF(TODAY()-$G56&gt;29,"OVERDUE: not protected / info not served","Protect + serve info by "&amp;TEXT($G56+29,"dd/mm/yyyy"))))))</f>
        <v/>
      </c>
      <c r="K56" s="97">
        <f>IF(OR(NOT(ISNUMBER($E56)),NOT(ISNUMBER($F56))),"",IF($F56&lt;=$E56*12/52*5,"OK","Over 5 weeks"))</f>
        <v/>
      </c>
      <c r="L56" s="52"/>
      <c r="M56" s="52"/>
      <c r="N56" s="122">
        <f>IF(OR($A56="",NOT(ISNUMBER($L56))),IF($A56="","","Not recorded"),IF(NOT(ISNUMBER($M56)),"Checked (no follow-up)",IF($M56&lt;TODAY(),"OVERDUE: follow-up check",IF($M56-TODAY()&lt;=60,"Follow-up due "&amp;TEXT($M56,"dd/mm/yyyy"),"Checked"))))</f>
        <v/>
      </c>
      <c r="O56" s="52"/>
      <c r="P56" s="52"/>
      <c r="Q56" s="122">
        <f>IF($A56="","",IF(NOT(ISNUMBER($D56)),"Enter start date",IF($D56&gt;=DATE(2026,5,1),IF(ISNUMBER($O56),"Complete","Missing: written terms"),IF(OR(ISNUMBER($P56),ISNUMBER($O56)),"Complete","Missing: Information Sheet (was due 31/05/2026)"))))</f>
        <v/>
      </c>
      <c r="R56" s="52"/>
      <c r="S56" s="82">
        <f>IF(ISNUMBER($R56),$R56+364,IF(ISNUMBER($D56),$D56+364,""))</f>
        <v/>
      </c>
      <c r="T56" s="52"/>
      <c r="U56" s="82">
        <f>IF(ISNUMBER($T56),IF(ISNUMBER($S56),MAX(EDATE($T56,2),$S56),EDATE($T56,2)),"")</f>
        <v/>
      </c>
      <c r="V56" s="52"/>
      <c r="W56" s="52"/>
      <c r="X56" s="121">
        <f>IF(NOT(ISNUMBER($V56)),"",IF(ISNUMBER($W56),IF($W56-$V56&lt;=28,"Answered in time","LATE: answered after day 28"),IF(TODAY()-$V56&gt;28,"OVERDUE: no reply yet","Reply due by "&amp;TEXT($V56+28,"dd/mm/yyyy"))))</f>
        <v/>
      </c>
      <c r="Y56" s="54"/>
    </row>
    <row r="57" spans="1:25">
      <c r="A57" s="54"/>
      <c r="B57" s="54"/>
      <c r="C57" s="51"/>
      <c r="D57" s="52"/>
      <c r="E57" s="120"/>
      <c r="F57" s="120"/>
      <c r="G57" s="52"/>
      <c r="H57" s="52"/>
      <c r="I57" s="52"/>
      <c r="J57" s="121">
        <f>IF(OR($A57="",NOT(ISNUMBER($F57))),"",IF($F57&lt;=0,"No deposit",IF(NOT(ISNUMBER($G57)),"Enter date received",IF(AND(ISNUMBER($H57),ISNUMBER($I57)),IF(MAX($H57,$I57)-$G57&lt;=29,"OK","LATE: protected / info served after day 30"),IF(TODAY()-$G57&gt;29,"OVERDUE: not protected / info not served","Protect + serve info by "&amp;TEXT($G57+29,"dd/mm/yyyy"))))))</f>
        <v/>
      </c>
      <c r="K57" s="97">
        <f>IF(OR(NOT(ISNUMBER($E57)),NOT(ISNUMBER($F57))),"",IF($F57&lt;=$E57*12/52*5,"OK","Over 5 weeks"))</f>
        <v/>
      </c>
      <c r="L57" s="52"/>
      <c r="M57" s="52"/>
      <c r="N57" s="122">
        <f>IF(OR($A57="",NOT(ISNUMBER($L57))),IF($A57="","","Not recorded"),IF(NOT(ISNUMBER($M57)),"Checked (no follow-up)",IF($M57&lt;TODAY(),"OVERDUE: follow-up check",IF($M57-TODAY()&lt;=60,"Follow-up due "&amp;TEXT($M57,"dd/mm/yyyy"),"Checked"))))</f>
        <v/>
      </c>
      <c r="O57" s="52"/>
      <c r="P57" s="52"/>
      <c r="Q57" s="122">
        <f>IF($A57="","",IF(NOT(ISNUMBER($D57)),"Enter start date",IF($D57&gt;=DATE(2026,5,1),IF(ISNUMBER($O57),"Complete","Missing: written terms"),IF(OR(ISNUMBER($P57),ISNUMBER($O57)),"Complete","Missing: Information Sheet (was due 31/05/2026)"))))</f>
        <v/>
      </c>
      <c r="R57" s="52"/>
      <c r="S57" s="82">
        <f>IF(ISNUMBER($R57),$R57+364,IF(ISNUMBER($D57),$D57+364,""))</f>
        <v/>
      </c>
      <c r="T57" s="52"/>
      <c r="U57" s="82">
        <f>IF(ISNUMBER($T57),IF(ISNUMBER($S57),MAX(EDATE($T57,2),$S57),EDATE($T57,2)),"")</f>
        <v/>
      </c>
      <c r="V57" s="52"/>
      <c r="W57" s="52"/>
      <c r="X57" s="121">
        <f>IF(NOT(ISNUMBER($V57)),"",IF(ISNUMBER($W57),IF($W57-$V57&lt;=28,"Answered in time","LATE: answered after day 28"),IF(TODAY()-$V57&gt;28,"OVERDUE: no reply yet","Reply due by "&amp;TEXT($V57+28,"dd/mm/yyyy"))))</f>
        <v/>
      </c>
      <c r="Y57" s="54"/>
    </row>
    <row r="58" spans="1:25">
      <c r="A58" s="54"/>
      <c r="B58" s="54"/>
      <c r="C58" s="51"/>
      <c r="D58" s="52"/>
      <c r="E58" s="120"/>
      <c r="F58" s="120"/>
      <c r="G58" s="52"/>
      <c r="H58" s="52"/>
      <c r="I58" s="52"/>
      <c r="J58" s="121">
        <f>IF(OR($A58="",NOT(ISNUMBER($F58))),"",IF($F58&lt;=0,"No deposit",IF(NOT(ISNUMBER($G58)),"Enter date received",IF(AND(ISNUMBER($H58),ISNUMBER($I58)),IF(MAX($H58,$I58)-$G58&lt;=29,"OK","LATE: protected / info served after day 30"),IF(TODAY()-$G58&gt;29,"OVERDUE: not protected / info not served","Protect + serve info by "&amp;TEXT($G58+29,"dd/mm/yyyy"))))))</f>
        <v/>
      </c>
      <c r="K58" s="97">
        <f>IF(OR(NOT(ISNUMBER($E58)),NOT(ISNUMBER($F58))),"",IF($F58&lt;=$E58*12/52*5,"OK","Over 5 weeks"))</f>
        <v/>
      </c>
      <c r="L58" s="52"/>
      <c r="M58" s="52"/>
      <c r="N58" s="122">
        <f>IF(OR($A58="",NOT(ISNUMBER($L58))),IF($A58="","","Not recorded"),IF(NOT(ISNUMBER($M58)),"Checked (no follow-up)",IF($M58&lt;TODAY(),"OVERDUE: follow-up check",IF($M58-TODAY()&lt;=60,"Follow-up due "&amp;TEXT($M58,"dd/mm/yyyy"),"Checked"))))</f>
        <v/>
      </c>
      <c r="O58" s="52"/>
      <c r="P58" s="52"/>
      <c r="Q58" s="122">
        <f>IF($A58="","",IF(NOT(ISNUMBER($D58)),"Enter start date",IF($D58&gt;=DATE(2026,5,1),IF(ISNUMBER($O58),"Complete","Missing: written terms"),IF(OR(ISNUMBER($P58),ISNUMBER($O58)),"Complete","Missing: Information Sheet (was due 31/05/2026)"))))</f>
        <v/>
      </c>
      <c r="R58" s="52"/>
      <c r="S58" s="82">
        <f>IF(ISNUMBER($R58),$R58+364,IF(ISNUMBER($D58),$D58+364,""))</f>
        <v/>
      </c>
      <c r="T58" s="52"/>
      <c r="U58" s="82">
        <f>IF(ISNUMBER($T58),IF(ISNUMBER($S58),MAX(EDATE($T58,2),$S58),EDATE($T58,2)),"")</f>
        <v/>
      </c>
      <c r="V58" s="52"/>
      <c r="W58" s="52"/>
      <c r="X58" s="121">
        <f>IF(NOT(ISNUMBER($V58)),"",IF(ISNUMBER($W58),IF($W58-$V58&lt;=28,"Answered in time","LATE: answered after day 28"),IF(TODAY()-$V58&gt;28,"OVERDUE: no reply yet","Reply due by "&amp;TEXT($V58+28,"dd/mm/yyyy"))))</f>
        <v/>
      </c>
      <c r="Y58" s="54"/>
    </row>
    <row r="59" spans="1:25">
      <c r="A59" s="54"/>
      <c r="B59" s="54"/>
      <c r="C59" s="51"/>
      <c r="D59" s="52"/>
      <c r="E59" s="120"/>
      <c r="F59" s="120"/>
      <c r="G59" s="52"/>
      <c r="H59" s="52"/>
      <c r="I59" s="52"/>
      <c r="J59" s="121">
        <f>IF(OR($A59="",NOT(ISNUMBER($F59))),"",IF($F59&lt;=0,"No deposit",IF(NOT(ISNUMBER($G59)),"Enter date received",IF(AND(ISNUMBER($H59),ISNUMBER($I59)),IF(MAX($H59,$I59)-$G59&lt;=29,"OK","LATE: protected / info served after day 30"),IF(TODAY()-$G59&gt;29,"OVERDUE: not protected / info not served","Protect + serve info by "&amp;TEXT($G59+29,"dd/mm/yyyy"))))))</f>
        <v/>
      </c>
      <c r="K59" s="97">
        <f>IF(OR(NOT(ISNUMBER($E59)),NOT(ISNUMBER($F59))),"",IF($F59&lt;=$E59*12/52*5,"OK","Over 5 weeks"))</f>
        <v/>
      </c>
      <c r="L59" s="52"/>
      <c r="M59" s="52"/>
      <c r="N59" s="122">
        <f>IF(OR($A59="",NOT(ISNUMBER($L59))),IF($A59="","","Not recorded"),IF(NOT(ISNUMBER($M59)),"Checked (no follow-up)",IF($M59&lt;TODAY(),"OVERDUE: follow-up check",IF($M59-TODAY()&lt;=60,"Follow-up due "&amp;TEXT($M59,"dd/mm/yyyy"),"Checked"))))</f>
        <v/>
      </c>
      <c r="O59" s="52"/>
      <c r="P59" s="52"/>
      <c r="Q59" s="122">
        <f>IF($A59="","",IF(NOT(ISNUMBER($D59)),"Enter start date",IF($D59&gt;=DATE(2026,5,1),IF(ISNUMBER($O59),"Complete","Missing: written terms"),IF(OR(ISNUMBER($P59),ISNUMBER($O59)),"Complete","Missing: Information Sheet (was due 31/05/2026)"))))</f>
        <v/>
      </c>
      <c r="R59" s="52"/>
      <c r="S59" s="82">
        <f>IF(ISNUMBER($R59),$R59+364,IF(ISNUMBER($D59),$D59+364,""))</f>
        <v/>
      </c>
      <c r="T59" s="52"/>
      <c r="U59" s="82">
        <f>IF(ISNUMBER($T59),IF(ISNUMBER($S59),MAX(EDATE($T59,2),$S59),EDATE($T59,2)),"")</f>
        <v/>
      </c>
      <c r="V59" s="52"/>
      <c r="W59" s="52"/>
      <c r="X59" s="121">
        <f>IF(NOT(ISNUMBER($V59)),"",IF(ISNUMBER($W59),IF($W59-$V59&lt;=28,"Answered in time","LATE: answered after day 28"),IF(TODAY()-$V59&gt;28,"OVERDUE: no reply yet","Reply due by "&amp;TEXT($V59+28,"dd/mm/yyyy"))))</f>
        <v/>
      </c>
      <c r="Y59" s="54"/>
    </row>
    <row r="60" spans="1:25">
      <c r="A60" s="54"/>
      <c r="B60" s="54"/>
      <c r="C60" s="51"/>
      <c r="D60" s="52"/>
      <c r="E60" s="120"/>
      <c r="F60" s="120"/>
      <c r="G60" s="52"/>
      <c r="H60" s="52"/>
      <c r="I60" s="52"/>
      <c r="J60" s="121">
        <f>IF(OR($A60="",NOT(ISNUMBER($F60))),"",IF($F60&lt;=0,"No deposit",IF(NOT(ISNUMBER($G60)),"Enter date received",IF(AND(ISNUMBER($H60),ISNUMBER($I60)),IF(MAX($H60,$I60)-$G60&lt;=29,"OK","LATE: protected / info served after day 30"),IF(TODAY()-$G60&gt;29,"OVERDUE: not protected / info not served","Protect + serve info by "&amp;TEXT($G60+29,"dd/mm/yyyy"))))))</f>
        <v/>
      </c>
      <c r="K60" s="97">
        <f>IF(OR(NOT(ISNUMBER($E60)),NOT(ISNUMBER($F60))),"",IF($F60&lt;=$E60*12/52*5,"OK","Over 5 weeks"))</f>
        <v/>
      </c>
      <c r="L60" s="52"/>
      <c r="M60" s="52"/>
      <c r="N60" s="122">
        <f>IF(OR($A60="",NOT(ISNUMBER($L60))),IF($A60="","","Not recorded"),IF(NOT(ISNUMBER($M60)),"Checked (no follow-up)",IF($M60&lt;TODAY(),"OVERDUE: follow-up check",IF($M60-TODAY()&lt;=60,"Follow-up due "&amp;TEXT($M60,"dd/mm/yyyy"),"Checked"))))</f>
        <v/>
      </c>
      <c r="O60" s="52"/>
      <c r="P60" s="52"/>
      <c r="Q60" s="122">
        <f>IF($A60="","",IF(NOT(ISNUMBER($D60)),"Enter start date",IF($D60&gt;=DATE(2026,5,1),IF(ISNUMBER($O60),"Complete","Missing: written terms"),IF(OR(ISNUMBER($P60),ISNUMBER($O60)),"Complete","Missing: Information Sheet (was due 31/05/2026)"))))</f>
        <v/>
      </c>
      <c r="R60" s="52"/>
      <c r="S60" s="82">
        <f>IF(ISNUMBER($R60),$R60+364,IF(ISNUMBER($D60),$D60+364,""))</f>
        <v/>
      </c>
      <c r="T60" s="52"/>
      <c r="U60" s="82">
        <f>IF(ISNUMBER($T60),IF(ISNUMBER($S60),MAX(EDATE($T60,2),$S60),EDATE($T60,2)),"")</f>
        <v/>
      </c>
      <c r="V60" s="52"/>
      <c r="W60" s="52"/>
      <c r="X60" s="121">
        <f>IF(NOT(ISNUMBER($V60)),"",IF(ISNUMBER($W60),IF($W60-$V60&lt;=28,"Answered in time","LATE: answered after day 28"),IF(TODAY()-$V60&gt;28,"OVERDUE: no reply yet","Reply due by "&amp;TEXT($V60+28,"dd/mm/yyyy"))))</f>
        <v/>
      </c>
      <c r="Y60" s="54"/>
    </row>
    <row r="61" spans="1:25">
      <c r="A61" s="54"/>
      <c r="B61" s="54"/>
      <c r="C61" s="51"/>
      <c r="D61" s="52"/>
      <c r="E61" s="120"/>
      <c r="F61" s="120"/>
      <c r="G61" s="52"/>
      <c r="H61" s="52"/>
      <c r="I61" s="52"/>
      <c r="J61" s="121">
        <f>IF(OR($A61="",NOT(ISNUMBER($F61))),"",IF($F61&lt;=0,"No deposit",IF(NOT(ISNUMBER($G61)),"Enter date received",IF(AND(ISNUMBER($H61),ISNUMBER($I61)),IF(MAX($H61,$I61)-$G61&lt;=29,"OK","LATE: protected / info served after day 30"),IF(TODAY()-$G61&gt;29,"OVERDUE: not protected / info not served","Protect + serve info by "&amp;TEXT($G61+29,"dd/mm/yyyy"))))))</f>
        <v/>
      </c>
      <c r="K61" s="97">
        <f>IF(OR(NOT(ISNUMBER($E61)),NOT(ISNUMBER($F61))),"",IF($F61&lt;=$E61*12/52*5,"OK","Over 5 weeks"))</f>
        <v/>
      </c>
      <c r="L61" s="52"/>
      <c r="M61" s="52"/>
      <c r="N61" s="122">
        <f>IF(OR($A61="",NOT(ISNUMBER($L61))),IF($A61="","","Not recorded"),IF(NOT(ISNUMBER($M61)),"Checked (no follow-up)",IF($M61&lt;TODAY(),"OVERDUE: follow-up check",IF($M61-TODAY()&lt;=60,"Follow-up due "&amp;TEXT($M61,"dd/mm/yyyy"),"Checked"))))</f>
        <v/>
      </c>
      <c r="O61" s="52"/>
      <c r="P61" s="52"/>
      <c r="Q61" s="122">
        <f>IF($A61="","",IF(NOT(ISNUMBER($D61)),"Enter start date",IF($D61&gt;=DATE(2026,5,1),IF(ISNUMBER($O61),"Complete","Missing: written terms"),IF(OR(ISNUMBER($P61),ISNUMBER($O61)),"Complete","Missing: Information Sheet (was due 31/05/2026)"))))</f>
        <v/>
      </c>
      <c r="R61" s="52"/>
      <c r="S61" s="82">
        <f>IF(ISNUMBER($R61),$R61+364,IF(ISNUMBER($D61),$D61+364,""))</f>
        <v/>
      </c>
      <c r="T61" s="52"/>
      <c r="U61" s="82">
        <f>IF(ISNUMBER($T61),IF(ISNUMBER($S61),MAX(EDATE($T61,2),$S61),EDATE($T61,2)),"")</f>
        <v/>
      </c>
      <c r="V61" s="52"/>
      <c r="W61" s="52"/>
      <c r="X61" s="121">
        <f>IF(NOT(ISNUMBER($V61)),"",IF(ISNUMBER($W61),IF($W61-$V61&lt;=28,"Answered in time","LATE: answered after day 28"),IF(TODAY()-$V61&gt;28,"OVERDUE: no reply yet","Reply due by "&amp;TEXT($V61+28,"dd/mm/yyyy"))))</f>
        <v/>
      </c>
      <c r="Y61" s="54"/>
    </row>
    <row r="62" spans="1:25">
      <c r="A62" s="54"/>
      <c r="B62" s="54"/>
      <c r="C62" s="51"/>
      <c r="D62" s="52"/>
      <c r="E62" s="120"/>
      <c r="F62" s="120"/>
      <c r="G62" s="52"/>
      <c r="H62" s="52"/>
      <c r="I62" s="52"/>
      <c r="J62" s="121">
        <f>IF(OR($A62="",NOT(ISNUMBER($F62))),"",IF($F62&lt;=0,"No deposit",IF(NOT(ISNUMBER($G62)),"Enter date received",IF(AND(ISNUMBER($H62),ISNUMBER($I62)),IF(MAX($H62,$I62)-$G62&lt;=29,"OK","LATE: protected / info served after day 30"),IF(TODAY()-$G62&gt;29,"OVERDUE: not protected / info not served","Protect + serve info by "&amp;TEXT($G62+29,"dd/mm/yyyy"))))))</f>
        <v/>
      </c>
      <c r="K62" s="97">
        <f>IF(OR(NOT(ISNUMBER($E62)),NOT(ISNUMBER($F62))),"",IF($F62&lt;=$E62*12/52*5,"OK","Over 5 weeks"))</f>
        <v/>
      </c>
      <c r="L62" s="52"/>
      <c r="M62" s="52"/>
      <c r="N62" s="122">
        <f>IF(OR($A62="",NOT(ISNUMBER($L62))),IF($A62="","","Not recorded"),IF(NOT(ISNUMBER($M62)),"Checked (no follow-up)",IF($M62&lt;TODAY(),"OVERDUE: follow-up check",IF($M62-TODAY()&lt;=60,"Follow-up due "&amp;TEXT($M62,"dd/mm/yyyy"),"Checked"))))</f>
        <v/>
      </c>
      <c r="O62" s="52"/>
      <c r="P62" s="52"/>
      <c r="Q62" s="122">
        <f>IF($A62="","",IF(NOT(ISNUMBER($D62)),"Enter start date",IF($D62&gt;=DATE(2026,5,1),IF(ISNUMBER($O62),"Complete","Missing: written terms"),IF(OR(ISNUMBER($P62),ISNUMBER($O62)),"Complete","Missing: Information Sheet (was due 31/05/2026)"))))</f>
        <v/>
      </c>
      <c r="R62" s="52"/>
      <c r="S62" s="82">
        <f>IF(ISNUMBER($R62),$R62+364,IF(ISNUMBER($D62),$D62+364,""))</f>
        <v/>
      </c>
      <c r="T62" s="52"/>
      <c r="U62" s="82">
        <f>IF(ISNUMBER($T62),IF(ISNUMBER($S62),MAX(EDATE($T62,2),$S62),EDATE($T62,2)),"")</f>
        <v/>
      </c>
      <c r="V62" s="52"/>
      <c r="W62" s="52"/>
      <c r="X62" s="121">
        <f>IF(NOT(ISNUMBER($V62)),"",IF(ISNUMBER($W62),IF($W62-$V62&lt;=28,"Answered in time","LATE: answered after day 28"),IF(TODAY()-$V62&gt;28,"OVERDUE: no reply yet","Reply due by "&amp;TEXT($V62+28,"dd/mm/yyyy"))))</f>
        <v/>
      </c>
      <c r="Y62" s="54"/>
    </row>
    <row r="63" spans="1:25">
      <c r="A63" s="54"/>
      <c r="B63" s="54"/>
      <c r="C63" s="51"/>
      <c r="D63" s="52"/>
      <c r="E63" s="120"/>
      <c r="F63" s="120"/>
      <c r="G63" s="52"/>
      <c r="H63" s="52"/>
      <c r="I63" s="52"/>
      <c r="J63" s="121">
        <f>IF(OR($A63="",NOT(ISNUMBER($F63))),"",IF($F63&lt;=0,"No deposit",IF(NOT(ISNUMBER($G63)),"Enter date received",IF(AND(ISNUMBER($H63),ISNUMBER($I63)),IF(MAX($H63,$I63)-$G63&lt;=29,"OK","LATE: protected / info served after day 30"),IF(TODAY()-$G63&gt;29,"OVERDUE: not protected / info not served","Protect + serve info by "&amp;TEXT($G63+29,"dd/mm/yyyy"))))))</f>
        <v/>
      </c>
      <c r="K63" s="97">
        <f>IF(OR(NOT(ISNUMBER($E63)),NOT(ISNUMBER($F63))),"",IF($F63&lt;=$E63*12/52*5,"OK","Over 5 weeks"))</f>
        <v/>
      </c>
      <c r="L63" s="52"/>
      <c r="M63" s="52"/>
      <c r="N63" s="122">
        <f>IF(OR($A63="",NOT(ISNUMBER($L63))),IF($A63="","","Not recorded"),IF(NOT(ISNUMBER($M63)),"Checked (no follow-up)",IF($M63&lt;TODAY(),"OVERDUE: follow-up check",IF($M63-TODAY()&lt;=60,"Follow-up due "&amp;TEXT($M63,"dd/mm/yyyy"),"Checked"))))</f>
        <v/>
      </c>
      <c r="O63" s="52"/>
      <c r="P63" s="52"/>
      <c r="Q63" s="122">
        <f>IF($A63="","",IF(NOT(ISNUMBER($D63)),"Enter start date",IF($D63&gt;=DATE(2026,5,1),IF(ISNUMBER($O63),"Complete","Missing: written terms"),IF(OR(ISNUMBER($P63),ISNUMBER($O63)),"Complete","Missing: Information Sheet (was due 31/05/2026)"))))</f>
        <v/>
      </c>
      <c r="R63" s="52"/>
      <c r="S63" s="82">
        <f>IF(ISNUMBER($R63),$R63+364,IF(ISNUMBER($D63),$D63+364,""))</f>
        <v/>
      </c>
      <c r="T63" s="52"/>
      <c r="U63" s="82">
        <f>IF(ISNUMBER($T63),IF(ISNUMBER($S63),MAX(EDATE($T63,2),$S63),EDATE($T63,2)),"")</f>
        <v/>
      </c>
      <c r="V63" s="52"/>
      <c r="W63" s="52"/>
      <c r="X63" s="121">
        <f>IF(NOT(ISNUMBER($V63)),"",IF(ISNUMBER($W63),IF($W63-$V63&lt;=28,"Answered in time","LATE: answered after day 28"),IF(TODAY()-$V63&gt;28,"OVERDUE: no reply yet","Reply due by "&amp;TEXT($V63+28,"dd/mm/yyyy"))))</f>
        <v/>
      </c>
      <c r="Y63" s="54"/>
    </row>
    <row r="64" spans="1:25">
      <c r="A64" s="54"/>
      <c r="B64" s="54"/>
      <c r="C64" s="51"/>
      <c r="D64" s="52"/>
      <c r="E64" s="120"/>
      <c r="F64" s="120"/>
      <c r="G64" s="52"/>
      <c r="H64" s="52"/>
      <c r="I64" s="52"/>
      <c r="J64" s="121">
        <f>IF(OR($A64="",NOT(ISNUMBER($F64))),"",IF($F64&lt;=0,"No deposit",IF(NOT(ISNUMBER($G64)),"Enter date received",IF(AND(ISNUMBER($H64),ISNUMBER($I64)),IF(MAX($H64,$I64)-$G64&lt;=29,"OK","LATE: protected / info served after day 30"),IF(TODAY()-$G64&gt;29,"OVERDUE: not protected / info not served","Protect + serve info by "&amp;TEXT($G64+29,"dd/mm/yyyy"))))))</f>
        <v/>
      </c>
      <c r="K64" s="97">
        <f>IF(OR(NOT(ISNUMBER($E64)),NOT(ISNUMBER($F64))),"",IF($F64&lt;=$E64*12/52*5,"OK","Over 5 weeks"))</f>
        <v/>
      </c>
      <c r="L64" s="52"/>
      <c r="M64" s="52"/>
      <c r="N64" s="122">
        <f>IF(OR($A64="",NOT(ISNUMBER($L64))),IF($A64="","","Not recorded"),IF(NOT(ISNUMBER($M64)),"Checked (no follow-up)",IF($M64&lt;TODAY(),"OVERDUE: follow-up check",IF($M64-TODAY()&lt;=60,"Follow-up due "&amp;TEXT($M64,"dd/mm/yyyy"),"Checked"))))</f>
        <v/>
      </c>
      <c r="O64" s="52"/>
      <c r="P64" s="52"/>
      <c r="Q64" s="122">
        <f>IF($A64="","",IF(NOT(ISNUMBER($D64)),"Enter start date",IF($D64&gt;=DATE(2026,5,1),IF(ISNUMBER($O64),"Complete","Missing: written terms"),IF(OR(ISNUMBER($P64),ISNUMBER($O64)),"Complete","Missing: Information Sheet (was due 31/05/2026)"))))</f>
        <v/>
      </c>
      <c r="R64" s="52"/>
      <c r="S64" s="82">
        <f>IF(ISNUMBER($R64),$R64+364,IF(ISNUMBER($D64),$D64+364,""))</f>
        <v/>
      </c>
      <c r="T64" s="52"/>
      <c r="U64" s="82">
        <f>IF(ISNUMBER($T64),IF(ISNUMBER($S64),MAX(EDATE($T64,2),$S64),EDATE($T64,2)),"")</f>
        <v/>
      </c>
      <c r="V64" s="52"/>
      <c r="W64" s="52"/>
      <c r="X64" s="121">
        <f>IF(NOT(ISNUMBER($V64)),"",IF(ISNUMBER($W64),IF($W64-$V64&lt;=28,"Answered in time","LATE: answered after day 28"),IF(TODAY()-$V64&gt;28,"OVERDUE: no reply yet","Reply due by "&amp;TEXT($V64+28,"dd/mm/yyyy"))))</f>
        <v/>
      </c>
      <c r="Y64" s="54"/>
    </row>
    <row r="65" spans="1:25">
      <c r="A65" s="54"/>
      <c r="B65" s="54"/>
      <c r="C65" s="51"/>
      <c r="D65" s="52"/>
      <c r="E65" s="120"/>
      <c r="F65" s="120"/>
      <c r="G65" s="52"/>
      <c r="H65" s="52"/>
      <c r="I65" s="52"/>
      <c r="J65" s="121">
        <f>IF(OR($A65="",NOT(ISNUMBER($F65))),"",IF($F65&lt;=0,"No deposit",IF(NOT(ISNUMBER($G65)),"Enter date received",IF(AND(ISNUMBER($H65),ISNUMBER($I65)),IF(MAX($H65,$I65)-$G65&lt;=29,"OK","LATE: protected / info served after day 30"),IF(TODAY()-$G65&gt;29,"OVERDUE: not protected / info not served","Protect + serve info by "&amp;TEXT($G65+29,"dd/mm/yyyy"))))))</f>
        <v/>
      </c>
      <c r="K65" s="97">
        <f>IF(OR(NOT(ISNUMBER($E65)),NOT(ISNUMBER($F65))),"",IF($F65&lt;=$E65*12/52*5,"OK","Over 5 weeks"))</f>
        <v/>
      </c>
      <c r="L65" s="52"/>
      <c r="M65" s="52"/>
      <c r="N65" s="122">
        <f>IF(OR($A65="",NOT(ISNUMBER($L65))),IF($A65="","","Not recorded"),IF(NOT(ISNUMBER($M65)),"Checked (no follow-up)",IF($M65&lt;TODAY(),"OVERDUE: follow-up check",IF($M65-TODAY()&lt;=60,"Follow-up due "&amp;TEXT($M65,"dd/mm/yyyy"),"Checked"))))</f>
        <v/>
      </c>
      <c r="O65" s="52"/>
      <c r="P65" s="52"/>
      <c r="Q65" s="122">
        <f>IF($A65="","",IF(NOT(ISNUMBER($D65)),"Enter start date",IF($D65&gt;=DATE(2026,5,1),IF(ISNUMBER($O65),"Complete","Missing: written terms"),IF(OR(ISNUMBER($P65),ISNUMBER($O65)),"Complete","Missing: Information Sheet (was due 31/05/2026)"))))</f>
        <v/>
      </c>
      <c r="R65" s="52"/>
      <c r="S65" s="82">
        <f>IF(ISNUMBER($R65),$R65+364,IF(ISNUMBER($D65),$D65+364,""))</f>
        <v/>
      </c>
      <c r="T65" s="52"/>
      <c r="U65" s="82">
        <f>IF(ISNUMBER($T65),IF(ISNUMBER($S65),MAX(EDATE($T65,2),$S65),EDATE($T65,2)),"")</f>
        <v/>
      </c>
      <c r="V65" s="52"/>
      <c r="W65" s="52"/>
      <c r="X65" s="121">
        <f>IF(NOT(ISNUMBER($V65)),"",IF(ISNUMBER($W65),IF($W65-$V65&lt;=28,"Answered in time","LATE: answered after day 28"),IF(TODAY()-$V65&gt;28,"OVERDUE: no reply yet","Reply due by "&amp;TEXT($V65+28,"dd/mm/yyyy"))))</f>
        <v/>
      </c>
      <c r="Y65" s="54"/>
    </row>
    <row r="66" spans="1:25">
      <c r="A66" s="54"/>
      <c r="B66" s="54"/>
      <c r="C66" s="51"/>
      <c r="D66" s="52"/>
      <c r="E66" s="120"/>
      <c r="F66" s="120"/>
      <c r="G66" s="52"/>
      <c r="H66" s="52"/>
      <c r="I66" s="52"/>
      <c r="J66" s="121">
        <f>IF(OR($A66="",NOT(ISNUMBER($F66))),"",IF($F66&lt;=0,"No deposit",IF(NOT(ISNUMBER($G66)),"Enter date received",IF(AND(ISNUMBER($H66),ISNUMBER($I66)),IF(MAX($H66,$I66)-$G66&lt;=29,"OK","LATE: protected / info served after day 30"),IF(TODAY()-$G66&gt;29,"OVERDUE: not protected / info not served","Protect + serve info by "&amp;TEXT($G66+29,"dd/mm/yyyy"))))))</f>
        <v/>
      </c>
      <c r="K66" s="97">
        <f>IF(OR(NOT(ISNUMBER($E66)),NOT(ISNUMBER($F66))),"",IF($F66&lt;=$E66*12/52*5,"OK","Over 5 weeks"))</f>
        <v/>
      </c>
      <c r="L66" s="52"/>
      <c r="M66" s="52"/>
      <c r="N66" s="122">
        <f>IF(OR($A66="",NOT(ISNUMBER($L66))),IF($A66="","","Not recorded"),IF(NOT(ISNUMBER($M66)),"Checked (no follow-up)",IF($M66&lt;TODAY(),"OVERDUE: follow-up check",IF($M66-TODAY()&lt;=60,"Follow-up due "&amp;TEXT($M66,"dd/mm/yyyy"),"Checked"))))</f>
        <v/>
      </c>
      <c r="O66" s="52"/>
      <c r="P66" s="52"/>
      <c r="Q66" s="122">
        <f>IF($A66="","",IF(NOT(ISNUMBER($D66)),"Enter start date",IF($D66&gt;=DATE(2026,5,1),IF(ISNUMBER($O66),"Complete","Missing: written terms"),IF(OR(ISNUMBER($P66),ISNUMBER($O66)),"Complete","Missing: Information Sheet (was due 31/05/2026)"))))</f>
        <v/>
      </c>
      <c r="R66" s="52"/>
      <c r="S66" s="82">
        <f>IF(ISNUMBER($R66),$R66+364,IF(ISNUMBER($D66),$D66+364,""))</f>
        <v/>
      </c>
      <c r="T66" s="52"/>
      <c r="U66" s="82">
        <f>IF(ISNUMBER($T66),IF(ISNUMBER($S66),MAX(EDATE($T66,2),$S66),EDATE($T66,2)),"")</f>
        <v/>
      </c>
      <c r="V66" s="52"/>
      <c r="W66" s="52"/>
      <c r="X66" s="121">
        <f>IF(NOT(ISNUMBER($V66)),"",IF(ISNUMBER($W66),IF($W66-$V66&lt;=28,"Answered in time","LATE: answered after day 28"),IF(TODAY()-$V66&gt;28,"OVERDUE: no reply yet","Reply due by "&amp;TEXT($V66+28,"dd/mm/yyyy"))))</f>
        <v/>
      </c>
      <c r="Y66" s="54"/>
    </row>
    <row r="67" spans="1:25">
      <c r="A67" s="54"/>
      <c r="B67" s="54"/>
      <c r="C67" s="51"/>
      <c r="D67" s="52"/>
      <c r="E67" s="120"/>
      <c r="F67" s="120"/>
      <c r="G67" s="52"/>
      <c r="H67" s="52"/>
      <c r="I67" s="52"/>
      <c r="J67" s="121">
        <f>IF(OR($A67="",NOT(ISNUMBER($F67))),"",IF($F67&lt;=0,"No deposit",IF(NOT(ISNUMBER($G67)),"Enter date received",IF(AND(ISNUMBER($H67),ISNUMBER($I67)),IF(MAX($H67,$I67)-$G67&lt;=29,"OK","LATE: protected / info served after day 30"),IF(TODAY()-$G67&gt;29,"OVERDUE: not protected / info not served","Protect + serve info by "&amp;TEXT($G67+29,"dd/mm/yyyy"))))))</f>
        <v/>
      </c>
      <c r="K67" s="97">
        <f>IF(OR(NOT(ISNUMBER($E67)),NOT(ISNUMBER($F67))),"",IF($F67&lt;=$E67*12/52*5,"OK","Over 5 weeks"))</f>
        <v/>
      </c>
      <c r="L67" s="52"/>
      <c r="M67" s="52"/>
      <c r="N67" s="122">
        <f>IF(OR($A67="",NOT(ISNUMBER($L67))),IF($A67="","","Not recorded"),IF(NOT(ISNUMBER($M67)),"Checked (no follow-up)",IF($M67&lt;TODAY(),"OVERDUE: follow-up check",IF($M67-TODAY()&lt;=60,"Follow-up due "&amp;TEXT($M67,"dd/mm/yyyy"),"Checked"))))</f>
        <v/>
      </c>
      <c r="O67" s="52"/>
      <c r="P67" s="52"/>
      <c r="Q67" s="122">
        <f>IF($A67="","",IF(NOT(ISNUMBER($D67)),"Enter start date",IF($D67&gt;=DATE(2026,5,1),IF(ISNUMBER($O67),"Complete","Missing: written terms"),IF(OR(ISNUMBER($P67),ISNUMBER($O67)),"Complete","Missing: Information Sheet (was due 31/05/2026)"))))</f>
        <v/>
      </c>
      <c r="R67" s="52"/>
      <c r="S67" s="82">
        <f>IF(ISNUMBER($R67),$R67+364,IF(ISNUMBER($D67),$D67+364,""))</f>
        <v/>
      </c>
      <c r="T67" s="52"/>
      <c r="U67" s="82">
        <f>IF(ISNUMBER($T67),IF(ISNUMBER($S67),MAX(EDATE($T67,2),$S67),EDATE($T67,2)),"")</f>
        <v/>
      </c>
      <c r="V67" s="52"/>
      <c r="W67" s="52"/>
      <c r="X67" s="121">
        <f>IF(NOT(ISNUMBER($V67)),"",IF(ISNUMBER($W67),IF($W67-$V67&lt;=28,"Answered in time","LATE: answered after day 28"),IF(TODAY()-$V67&gt;28,"OVERDUE: no reply yet","Reply due by "&amp;TEXT($V67+28,"dd/mm/yyyy"))))</f>
        <v/>
      </c>
      <c r="Y67" s="54"/>
    </row>
    <row r="68" spans="1:25">
      <c r="A68" s="54"/>
      <c r="B68" s="54"/>
      <c r="C68" s="51"/>
      <c r="D68" s="52"/>
      <c r="E68" s="120"/>
      <c r="F68" s="120"/>
      <c r="G68" s="52"/>
      <c r="H68" s="52"/>
      <c r="I68" s="52"/>
      <c r="J68" s="121">
        <f>IF(OR($A68="",NOT(ISNUMBER($F68))),"",IF($F68&lt;=0,"No deposit",IF(NOT(ISNUMBER($G68)),"Enter date received",IF(AND(ISNUMBER($H68),ISNUMBER($I68)),IF(MAX($H68,$I68)-$G68&lt;=29,"OK","LATE: protected / info served after day 30"),IF(TODAY()-$G68&gt;29,"OVERDUE: not protected / info not served","Protect + serve info by "&amp;TEXT($G68+29,"dd/mm/yyyy"))))))</f>
        <v/>
      </c>
      <c r="K68" s="97">
        <f>IF(OR(NOT(ISNUMBER($E68)),NOT(ISNUMBER($F68))),"",IF($F68&lt;=$E68*12/52*5,"OK","Over 5 weeks"))</f>
        <v/>
      </c>
      <c r="L68" s="52"/>
      <c r="M68" s="52"/>
      <c r="N68" s="122">
        <f>IF(OR($A68="",NOT(ISNUMBER($L68))),IF($A68="","","Not recorded"),IF(NOT(ISNUMBER($M68)),"Checked (no follow-up)",IF($M68&lt;TODAY(),"OVERDUE: follow-up check",IF($M68-TODAY()&lt;=60,"Follow-up due "&amp;TEXT($M68,"dd/mm/yyyy"),"Checked"))))</f>
        <v/>
      </c>
      <c r="O68" s="52"/>
      <c r="P68" s="52"/>
      <c r="Q68" s="122">
        <f>IF($A68="","",IF(NOT(ISNUMBER($D68)),"Enter start date",IF($D68&gt;=DATE(2026,5,1),IF(ISNUMBER($O68),"Complete","Missing: written terms"),IF(OR(ISNUMBER($P68),ISNUMBER($O68)),"Complete","Missing: Information Sheet (was due 31/05/2026)"))))</f>
        <v/>
      </c>
      <c r="R68" s="52"/>
      <c r="S68" s="82">
        <f>IF(ISNUMBER($R68),$R68+364,IF(ISNUMBER($D68),$D68+364,""))</f>
        <v/>
      </c>
      <c r="T68" s="52"/>
      <c r="U68" s="82">
        <f>IF(ISNUMBER($T68),IF(ISNUMBER($S68),MAX(EDATE($T68,2),$S68),EDATE($T68,2)),"")</f>
        <v/>
      </c>
      <c r="V68" s="52"/>
      <c r="W68" s="52"/>
      <c r="X68" s="121">
        <f>IF(NOT(ISNUMBER($V68)),"",IF(ISNUMBER($W68),IF($W68-$V68&lt;=28,"Answered in time","LATE: answered after day 28"),IF(TODAY()-$V68&gt;28,"OVERDUE: no reply yet","Reply due by "&amp;TEXT($V68+28,"dd/mm/yyyy"))))</f>
        <v/>
      </c>
      <c r="Y68" s="54"/>
    </row>
    <row r="69" spans="1:25">
      <c r="A69" s="54"/>
      <c r="B69" s="54"/>
      <c r="C69" s="51"/>
      <c r="D69" s="52"/>
      <c r="E69" s="120"/>
      <c r="F69" s="120"/>
      <c r="G69" s="52"/>
      <c r="H69" s="52"/>
      <c r="I69" s="52"/>
      <c r="J69" s="121">
        <f>IF(OR($A69="",NOT(ISNUMBER($F69))),"",IF($F69&lt;=0,"No deposit",IF(NOT(ISNUMBER($G69)),"Enter date received",IF(AND(ISNUMBER($H69),ISNUMBER($I69)),IF(MAX($H69,$I69)-$G69&lt;=29,"OK","LATE: protected / info served after day 30"),IF(TODAY()-$G69&gt;29,"OVERDUE: not protected / info not served","Protect + serve info by "&amp;TEXT($G69+29,"dd/mm/yyyy"))))))</f>
        <v/>
      </c>
      <c r="K69" s="97">
        <f>IF(OR(NOT(ISNUMBER($E69)),NOT(ISNUMBER($F69))),"",IF($F69&lt;=$E69*12/52*5,"OK","Over 5 weeks"))</f>
        <v/>
      </c>
      <c r="L69" s="52"/>
      <c r="M69" s="52"/>
      <c r="N69" s="122">
        <f>IF(OR($A69="",NOT(ISNUMBER($L69))),IF($A69="","","Not recorded"),IF(NOT(ISNUMBER($M69)),"Checked (no follow-up)",IF($M69&lt;TODAY(),"OVERDUE: follow-up check",IF($M69-TODAY()&lt;=60,"Follow-up due "&amp;TEXT($M69,"dd/mm/yyyy"),"Checked"))))</f>
        <v/>
      </c>
      <c r="O69" s="52"/>
      <c r="P69" s="52"/>
      <c r="Q69" s="122">
        <f>IF($A69="","",IF(NOT(ISNUMBER($D69)),"Enter start date",IF($D69&gt;=DATE(2026,5,1),IF(ISNUMBER($O69),"Complete","Missing: written terms"),IF(OR(ISNUMBER($P69),ISNUMBER($O69)),"Complete","Missing: Information Sheet (was due 31/05/2026)"))))</f>
        <v/>
      </c>
      <c r="R69" s="52"/>
      <c r="S69" s="82">
        <f>IF(ISNUMBER($R69),$R69+364,IF(ISNUMBER($D69),$D69+364,""))</f>
        <v/>
      </c>
      <c r="T69" s="52"/>
      <c r="U69" s="82">
        <f>IF(ISNUMBER($T69),IF(ISNUMBER($S69),MAX(EDATE($T69,2),$S69),EDATE($T69,2)),"")</f>
        <v/>
      </c>
      <c r="V69" s="52"/>
      <c r="W69" s="52"/>
      <c r="X69" s="121">
        <f>IF(NOT(ISNUMBER($V69)),"",IF(ISNUMBER($W69),IF($W69-$V69&lt;=28,"Answered in time","LATE: answered after day 28"),IF(TODAY()-$V69&gt;28,"OVERDUE: no reply yet","Reply due by "&amp;TEXT($V69+28,"dd/mm/yyyy"))))</f>
        <v/>
      </c>
      <c r="Y69" s="54"/>
    </row>
    <row r="70" spans="1:25">
      <c r="A70" s="54"/>
      <c r="B70" s="54"/>
      <c r="C70" s="51"/>
      <c r="D70" s="52"/>
      <c r="E70" s="120"/>
      <c r="F70" s="120"/>
      <c r="G70" s="52"/>
      <c r="H70" s="52"/>
      <c r="I70" s="52"/>
      <c r="J70" s="121">
        <f>IF(OR($A70="",NOT(ISNUMBER($F70))),"",IF($F70&lt;=0,"No deposit",IF(NOT(ISNUMBER($G70)),"Enter date received",IF(AND(ISNUMBER($H70),ISNUMBER($I70)),IF(MAX($H70,$I70)-$G70&lt;=29,"OK","LATE: protected / info served after day 30"),IF(TODAY()-$G70&gt;29,"OVERDUE: not protected / info not served","Protect + serve info by "&amp;TEXT($G70+29,"dd/mm/yyyy"))))))</f>
        <v/>
      </c>
      <c r="K70" s="97">
        <f>IF(OR(NOT(ISNUMBER($E70)),NOT(ISNUMBER($F70))),"",IF($F70&lt;=$E70*12/52*5,"OK","Over 5 weeks"))</f>
        <v/>
      </c>
      <c r="L70" s="52"/>
      <c r="M70" s="52"/>
      <c r="N70" s="122">
        <f>IF(OR($A70="",NOT(ISNUMBER($L70))),IF($A70="","","Not recorded"),IF(NOT(ISNUMBER($M70)),"Checked (no follow-up)",IF($M70&lt;TODAY(),"OVERDUE: follow-up check",IF($M70-TODAY()&lt;=60,"Follow-up due "&amp;TEXT($M70,"dd/mm/yyyy"),"Checked"))))</f>
        <v/>
      </c>
      <c r="O70" s="52"/>
      <c r="P70" s="52"/>
      <c r="Q70" s="122">
        <f>IF($A70="","",IF(NOT(ISNUMBER($D70)),"Enter start date",IF($D70&gt;=DATE(2026,5,1),IF(ISNUMBER($O70),"Complete","Missing: written terms"),IF(OR(ISNUMBER($P70),ISNUMBER($O70)),"Complete","Missing: Information Sheet (was due 31/05/2026)"))))</f>
        <v/>
      </c>
      <c r="R70" s="52"/>
      <c r="S70" s="82">
        <f>IF(ISNUMBER($R70),$R70+364,IF(ISNUMBER($D70),$D70+364,""))</f>
        <v/>
      </c>
      <c r="T70" s="52"/>
      <c r="U70" s="82">
        <f>IF(ISNUMBER($T70),IF(ISNUMBER($S70),MAX(EDATE($T70,2),$S70),EDATE($T70,2)),"")</f>
        <v/>
      </c>
      <c r="V70" s="52"/>
      <c r="W70" s="52"/>
      <c r="X70" s="121">
        <f>IF(NOT(ISNUMBER($V70)),"",IF(ISNUMBER($W70),IF($W70-$V70&lt;=28,"Answered in time","LATE: answered after day 28"),IF(TODAY()-$V70&gt;28,"OVERDUE: no reply yet","Reply due by "&amp;TEXT($V70+28,"dd/mm/yyyy"))))</f>
        <v/>
      </c>
      <c r="Y70" s="54"/>
    </row>
    <row r="71" spans="1:25">
      <c r="A71" s="54"/>
      <c r="B71" s="54"/>
      <c r="C71" s="51"/>
      <c r="D71" s="52"/>
      <c r="E71" s="120"/>
      <c r="F71" s="120"/>
      <c r="G71" s="52"/>
      <c r="H71" s="52"/>
      <c r="I71" s="52"/>
      <c r="J71" s="121">
        <f>IF(OR($A71="",NOT(ISNUMBER($F71))),"",IF($F71&lt;=0,"No deposit",IF(NOT(ISNUMBER($G71)),"Enter date received",IF(AND(ISNUMBER($H71),ISNUMBER($I71)),IF(MAX($H71,$I71)-$G71&lt;=29,"OK","LATE: protected / info served after day 30"),IF(TODAY()-$G71&gt;29,"OVERDUE: not protected / info not served","Protect + serve info by "&amp;TEXT($G71+29,"dd/mm/yyyy"))))))</f>
        <v/>
      </c>
      <c r="K71" s="97">
        <f>IF(OR(NOT(ISNUMBER($E71)),NOT(ISNUMBER($F71))),"",IF($F71&lt;=$E71*12/52*5,"OK","Over 5 weeks"))</f>
        <v/>
      </c>
      <c r="L71" s="52"/>
      <c r="M71" s="52"/>
      <c r="N71" s="122">
        <f>IF(OR($A71="",NOT(ISNUMBER($L71))),IF($A71="","","Not recorded"),IF(NOT(ISNUMBER($M71)),"Checked (no follow-up)",IF($M71&lt;TODAY(),"OVERDUE: follow-up check",IF($M71-TODAY()&lt;=60,"Follow-up due "&amp;TEXT($M71,"dd/mm/yyyy"),"Checked"))))</f>
        <v/>
      </c>
      <c r="O71" s="52"/>
      <c r="P71" s="52"/>
      <c r="Q71" s="122">
        <f>IF($A71="","",IF(NOT(ISNUMBER($D71)),"Enter start date",IF($D71&gt;=DATE(2026,5,1),IF(ISNUMBER($O71),"Complete","Missing: written terms"),IF(OR(ISNUMBER($P71),ISNUMBER($O71)),"Complete","Missing: Information Sheet (was due 31/05/2026)"))))</f>
        <v/>
      </c>
      <c r="R71" s="52"/>
      <c r="S71" s="82">
        <f>IF(ISNUMBER($R71),$R71+364,IF(ISNUMBER($D71),$D71+364,""))</f>
        <v/>
      </c>
      <c r="T71" s="52"/>
      <c r="U71" s="82">
        <f>IF(ISNUMBER($T71),IF(ISNUMBER($S71),MAX(EDATE($T71,2),$S71),EDATE($T71,2)),"")</f>
        <v/>
      </c>
      <c r="V71" s="52"/>
      <c r="W71" s="52"/>
      <c r="X71" s="121">
        <f>IF(NOT(ISNUMBER($V71)),"",IF(ISNUMBER($W71),IF($W71-$V71&lt;=28,"Answered in time","LATE: answered after day 28"),IF(TODAY()-$V71&gt;28,"OVERDUE: no reply yet","Reply due by "&amp;TEXT($V71+28,"dd/mm/yyyy"))))</f>
        <v/>
      </c>
      <c r="Y71" s="54"/>
    </row>
    <row r="72" spans="1:25">
      <c r="A72" s="54"/>
      <c r="B72" s="54"/>
      <c r="C72" s="51"/>
      <c r="D72" s="52"/>
      <c r="E72" s="120"/>
      <c r="F72" s="120"/>
      <c r="G72" s="52"/>
      <c r="H72" s="52"/>
      <c r="I72" s="52"/>
      <c r="J72" s="121">
        <f>IF(OR($A72="",NOT(ISNUMBER($F72))),"",IF($F72&lt;=0,"No deposit",IF(NOT(ISNUMBER($G72)),"Enter date received",IF(AND(ISNUMBER($H72),ISNUMBER($I72)),IF(MAX($H72,$I72)-$G72&lt;=29,"OK","LATE: protected / info served after day 30"),IF(TODAY()-$G72&gt;29,"OVERDUE: not protected / info not served","Protect + serve info by "&amp;TEXT($G72+29,"dd/mm/yyyy"))))))</f>
        <v/>
      </c>
      <c r="K72" s="97">
        <f>IF(OR(NOT(ISNUMBER($E72)),NOT(ISNUMBER($F72))),"",IF($F72&lt;=$E72*12/52*5,"OK","Over 5 weeks"))</f>
        <v/>
      </c>
      <c r="L72" s="52"/>
      <c r="M72" s="52"/>
      <c r="N72" s="122">
        <f>IF(OR($A72="",NOT(ISNUMBER($L72))),IF($A72="","","Not recorded"),IF(NOT(ISNUMBER($M72)),"Checked (no follow-up)",IF($M72&lt;TODAY(),"OVERDUE: follow-up check",IF($M72-TODAY()&lt;=60,"Follow-up due "&amp;TEXT($M72,"dd/mm/yyyy"),"Checked"))))</f>
        <v/>
      </c>
      <c r="O72" s="52"/>
      <c r="P72" s="52"/>
      <c r="Q72" s="122">
        <f>IF($A72="","",IF(NOT(ISNUMBER($D72)),"Enter start date",IF($D72&gt;=DATE(2026,5,1),IF(ISNUMBER($O72),"Complete","Missing: written terms"),IF(OR(ISNUMBER($P72),ISNUMBER($O72)),"Complete","Missing: Information Sheet (was due 31/05/2026)"))))</f>
        <v/>
      </c>
      <c r="R72" s="52"/>
      <c r="S72" s="82">
        <f>IF(ISNUMBER($R72),$R72+364,IF(ISNUMBER($D72),$D72+364,""))</f>
        <v/>
      </c>
      <c r="T72" s="52"/>
      <c r="U72" s="82">
        <f>IF(ISNUMBER($T72),IF(ISNUMBER($S72),MAX(EDATE($T72,2),$S72),EDATE($T72,2)),"")</f>
        <v/>
      </c>
      <c r="V72" s="52"/>
      <c r="W72" s="52"/>
      <c r="X72" s="121">
        <f>IF(NOT(ISNUMBER($V72)),"",IF(ISNUMBER($W72),IF($W72-$V72&lt;=28,"Answered in time","LATE: answered after day 28"),IF(TODAY()-$V72&gt;28,"OVERDUE: no reply yet","Reply due by "&amp;TEXT($V72+28,"dd/mm/yyyy"))))</f>
        <v/>
      </c>
      <c r="Y72" s="54"/>
    </row>
    <row r="73" spans="1:25">
      <c r="A73" s="54"/>
      <c r="B73" s="54"/>
      <c r="C73" s="51"/>
      <c r="D73" s="52"/>
      <c r="E73" s="120"/>
      <c r="F73" s="120"/>
      <c r="G73" s="52"/>
      <c r="H73" s="52"/>
      <c r="I73" s="52"/>
      <c r="J73" s="121">
        <f>IF(OR($A73="",NOT(ISNUMBER($F73))),"",IF($F73&lt;=0,"No deposit",IF(NOT(ISNUMBER($G73)),"Enter date received",IF(AND(ISNUMBER($H73),ISNUMBER($I73)),IF(MAX($H73,$I73)-$G73&lt;=29,"OK","LATE: protected / info served after day 30"),IF(TODAY()-$G73&gt;29,"OVERDUE: not protected / info not served","Protect + serve info by "&amp;TEXT($G73+29,"dd/mm/yyyy"))))))</f>
        <v/>
      </c>
      <c r="K73" s="97">
        <f>IF(OR(NOT(ISNUMBER($E73)),NOT(ISNUMBER($F73))),"",IF($F73&lt;=$E73*12/52*5,"OK","Over 5 weeks"))</f>
        <v/>
      </c>
      <c r="L73" s="52"/>
      <c r="M73" s="52"/>
      <c r="N73" s="122">
        <f>IF(OR($A73="",NOT(ISNUMBER($L73))),IF($A73="","","Not recorded"),IF(NOT(ISNUMBER($M73)),"Checked (no follow-up)",IF($M73&lt;TODAY(),"OVERDUE: follow-up check",IF($M73-TODAY()&lt;=60,"Follow-up due "&amp;TEXT($M73,"dd/mm/yyyy"),"Checked"))))</f>
        <v/>
      </c>
      <c r="O73" s="52"/>
      <c r="P73" s="52"/>
      <c r="Q73" s="122">
        <f>IF($A73="","",IF(NOT(ISNUMBER($D73)),"Enter start date",IF($D73&gt;=DATE(2026,5,1),IF(ISNUMBER($O73),"Complete","Missing: written terms"),IF(OR(ISNUMBER($P73),ISNUMBER($O73)),"Complete","Missing: Information Sheet (was due 31/05/2026)"))))</f>
        <v/>
      </c>
      <c r="R73" s="52"/>
      <c r="S73" s="82">
        <f>IF(ISNUMBER($R73),$R73+364,IF(ISNUMBER($D73),$D73+364,""))</f>
        <v/>
      </c>
      <c r="T73" s="52"/>
      <c r="U73" s="82">
        <f>IF(ISNUMBER($T73),IF(ISNUMBER($S73),MAX(EDATE($T73,2),$S73),EDATE($T73,2)),"")</f>
        <v/>
      </c>
      <c r="V73" s="52"/>
      <c r="W73" s="52"/>
      <c r="X73" s="121">
        <f>IF(NOT(ISNUMBER($V73)),"",IF(ISNUMBER($W73),IF($W73-$V73&lt;=28,"Answered in time","LATE: answered after day 28"),IF(TODAY()-$V73&gt;28,"OVERDUE: no reply yet","Reply due by "&amp;TEXT($V73+28,"dd/mm/yyyy"))))</f>
        <v/>
      </c>
      <c r="Y73" s="54"/>
    </row>
    <row r="74" spans="1:25">
      <c r="A74" s="54"/>
      <c r="B74" s="54"/>
      <c r="C74" s="51"/>
      <c r="D74" s="52"/>
      <c r="E74" s="120"/>
      <c r="F74" s="120"/>
      <c r="G74" s="52"/>
      <c r="H74" s="52"/>
      <c r="I74" s="52"/>
      <c r="J74" s="121">
        <f>IF(OR($A74="",NOT(ISNUMBER($F74))),"",IF($F74&lt;=0,"No deposit",IF(NOT(ISNUMBER($G74)),"Enter date received",IF(AND(ISNUMBER($H74),ISNUMBER($I74)),IF(MAX($H74,$I74)-$G74&lt;=29,"OK","LATE: protected / info served after day 30"),IF(TODAY()-$G74&gt;29,"OVERDUE: not protected / info not served","Protect + serve info by "&amp;TEXT($G74+29,"dd/mm/yyyy"))))))</f>
        <v/>
      </c>
      <c r="K74" s="97">
        <f>IF(OR(NOT(ISNUMBER($E74)),NOT(ISNUMBER($F74))),"",IF($F74&lt;=$E74*12/52*5,"OK","Over 5 weeks"))</f>
        <v/>
      </c>
      <c r="L74" s="52"/>
      <c r="M74" s="52"/>
      <c r="N74" s="122">
        <f>IF(OR($A74="",NOT(ISNUMBER($L74))),IF($A74="","","Not recorded"),IF(NOT(ISNUMBER($M74)),"Checked (no follow-up)",IF($M74&lt;TODAY(),"OVERDUE: follow-up check",IF($M74-TODAY()&lt;=60,"Follow-up due "&amp;TEXT($M74,"dd/mm/yyyy"),"Checked"))))</f>
        <v/>
      </c>
      <c r="O74" s="52"/>
      <c r="P74" s="52"/>
      <c r="Q74" s="122">
        <f>IF($A74="","",IF(NOT(ISNUMBER($D74)),"Enter start date",IF($D74&gt;=DATE(2026,5,1),IF(ISNUMBER($O74),"Complete","Missing: written terms"),IF(OR(ISNUMBER($P74),ISNUMBER($O74)),"Complete","Missing: Information Sheet (was due 31/05/2026)"))))</f>
        <v/>
      </c>
      <c r="R74" s="52"/>
      <c r="S74" s="82">
        <f>IF(ISNUMBER($R74),$R74+364,IF(ISNUMBER($D74),$D74+364,""))</f>
        <v/>
      </c>
      <c r="T74" s="52"/>
      <c r="U74" s="82">
        <f>IF(ISNUMBER($T74),IF(ISNUMBER($S74),MAX(EDATE($T74,2),$S74),EDATE($T74,2)),"")</f>
        <v/>
      </c>
      <c r="V74" s="52"/>
      <c r="W74" s="52"/>
      <c r="X74" s="121">
        <f>IF(NOT(ISNUMBER($V74)),"",IF(ISNUMBER($W74),IF($W74-$V74&lt;=28,"Answered in time","LATE: answered after day 28"),IF(TODAY()-$V74&gt;28,"OVERDUE: no reply yet","Reply due by "&amp;TEXT($V74+28,"dd/mm/yyyy"))))</f>
        <v/>
      </c>
      <c r="Y74" s="54"/>
    </row>
    <row r="75" spans="1:25">
      <c r="A75" s="54"/>
      <c r="B75" s="54"/>
      <c r="C75" s="51"/>
      <c r="D75" s="52"/>
      <c r="E75" s="120"/>
      <c r="F75" s="120"/>
      <c r="G75" s="52"/>
      <c r="H75" s="52"/>
      <c r="I75" s="52"/>
      <c r="J75" s="121">
        <f>IF(OR($A75="",NOT(ISNUMBER($F75))),"",IF($F75&lt;=0,"No deposit",IF(NOT(ISNUMBER($G75)),"Enter date received",IF(AND(ISNUMBER($H75),ISNUMBER($I75)),IF(MAX($H75,$I75)-$G75&lt;=29,"OK","LATE: protected / info served after day 30"),IF(TODAY()-$G75&gt;29,"OVERDUE: not protected / info not served","Protect + serve info by "&amp;TEXT($G75+29,"dd/mm/yyyy"))))))</f>
        <v/>
      </c>
      <c r="K75" s="97">
        <f>IF(OR(NOT(ISNUMBER($E75)),NOT(ISNUMBER($F75))),"",IF($F75&lt;=$E75*12/52*5,"OK","Over 5 weeks"))</f>
        <v/>
      </c>
      <c r="L75" s="52"/>
      <c r="M75" s="52"/>
      <c r="N75" s="122">
        <f>IF(OR($A75="",NOT(ISNUMBER($L75))),IF($A75="","","Not recorded"),IF(NOT(ISNUMBER($M75)),"Checked (no follow-up)",IF($M75&lt;TODAY(),"OVERDUE: follow-up check",IF($M75-TODAY()&lt;=60,"Follow-up due "&amp;TEXT($M75,"dd/mm/yyyy"),"Checked"))))</f>
        <v/>
      </c>
      <c r="O75" s="52"/>
      <c r="P75" s="52"/>
      <c r="Q75" s="122">
        <f>IF($A75="","",IF(NOT(ISNUMBER($D75)),"Enter start date",IF($D75&gt;=DATE(2026,5,1),IF(ISNUMBER($O75),"Complete","Missing: written terms"),IF(OR(ISNUMBER($P75),ISNUMBER($O75)),"Complete","Missing: Information Sheet (was due 31/05/2026)"))))</f>
        <v/>
      </c>
      <c r="R75" s="52"/>
      <c r="S75" s="82">
        <f>IF(ISNUMBER($R75),$R75+364,IF(ISNUMBER($D75),$D75+364,""))</f>
        <v/>
      </c>
      <c r="T75" s="52"/>
      <c r="U75" s="82">
        <f>IF(ISNUMBER($T75),IF(ISNUMBER($S75),MAX(EDATE($T75,2),$S75),EDATE($T75,2)),"")</f>
        <v/>
      </c>
      <c r="V75" s="52"/>
      <c r="W75" s="52"/>
      <c r="X75" s="121">
        <f>IF(NOT(ISNUMBER($V75)),"",IF(ISNUMBER($W75),IF($W75-$V75&lt;=28,"Answered in time","LATE: answered after day 28"),IF(TODAY()-$V75&gt;28,"OVERDUE: no reply yet","Reply due by "&amp;TEXT($V75+28,"dd/mm/yyyy"))))</f>
        <v/>
      </c>
      <c r="Y75" s="54"/>
    </row>
    <row r="76" spans="1:25">
      <c r="A76" s="54"/>
      <c r="B76" s="54"/>
      <c r="C76" s="51"/>
      <c r="D76" s="52"/>
      <c r="E76" s="120"/>
      <c r="F76" s="120"/>
      <c r="G76" s="52"/>
      <c r="H76" s="52"/>
      <c r="I76" s="52"/>
      <c r="J76" s="121">
        <f>IF(OR($A76="",NOT(ISNUMBER($F76))),"",IF($F76&lt;=0,"No deposit",IF(NOT(ISNUMBER($G76)),"Enter date received",IF(AND(ISNUMBER($H76),ISNUMBER($I76)),IF(MAX($H76,$I76)-$G76&lt;=29,"OK","LATE: protected / info served after day 30"),IF(TODAY()-$G76&gt;29,"OVERDUE: not protected / info not served","Protect + serve info by "&amp;TEXT($G76+29,"dd/mm/yyyy"))))))</f>
        <v/>
      </c>
      <c r="K76" s="97">
        <f>IF(OR(NOT(ISNUMBER($E76)),NOT(ISNUMBER($F76))),"",IF($F76&lt;=$E76*12/52*5,"OK","Over 5 weeks"))</f>
        <v/>
      </c>
      <c r="L76" s="52"/>
      <c r="M76" s="52"/>
      <c r="N76" s="122">
        <f>IF(OR($A76="",NOT(ISNUMBER($L76))),IF($A76="","","Not recorded"),IF(NOT(ISNUMBER($M76)),"Checked (no follow-up)",IF($M76&lt;TODAY(),"OVERDUE: follow-up check",IF($M76-TODAY()&lt;=60,"Follow-up due "&amp;TEXT($M76,"dd/mm/yyyy"),"Checked"))))</f>
        <v/>
      </c>
      <c r="O76" s="52"/>
      <c r="P76" s="52"/>
      <c r="Q76" s="122">
        <f>IF($A76="","",IF(NOT(ISNUMBER($D76)),"Enter start date",IF($D76&gt;=DATE(2026,5,1),IF(ISNUMBER($O76),"Complete","Missing: written terms"),IF(OR(ISNUMBER($P76),ISNUMBER($O76)),"Complete","Missing: Information Sheet (was due 31/05/2026)"))))</f>
        <v/>
      </c>
      <c r="R76" s="52"/>
      <c r="S76" s="82">
        <f>IF(ISNUMBER($R76),$R76+364,IF(ISNUMBER($D76),$D76+364,""))</f>
        <v/>
      </c>
      <c r="T76" s="52"/>
      <c r="U76" s="82">
        <f>IF(ISNUMBER($T76),IF(ISNUMBER($S76),MAX(EDATE($T76,2),$S76),EDATE($T76,2)),"")</f>
        <v/>
      </c>
      <c r="V76" s="52"/>
      <c r="W76" s="52"/>
      <c r="X76" s="121">
        <f>IF(NOT(ISNUMBER($V76)),"",IF(ISNUMBER($W76),IF($W76-$V76&lt;=28,"Answered in time","LATE: answered after day 28"),IF(TODAY()-$V76&gt;28,"OVERDUE: no reply yet","Reply due by "&amp;TEXT($V76+28,"dd/mm/yyyy"))))</f>
        <v/>
      </c>
      <c r="Y76" s="54"/>
    </row>
    <row r="77" spans="1:25">
      <c r="A77" s="54"/>
      <c r="B77" s="54"/>
      <c r="C77" s="51"/>
      <c r="D77" s="52"/>
      <c r="E77" s="120"/>
      <c r="F77" s="120"/>
      <c r="G77" s="52"/>
      <c r="H77" s="52"/>
      <c r="I77" s="52"/>
      <c r="J77" s="121">
        <f>IF(OR($A77="",NOT(ISNUMBER($F77))),"",IF($F77&lt;=0,"No deposit",IF(NOT(ISNUMBER($G77)),"Enter date received",IF(AND(ISNUMBER($H77),ISNUMBER($I77)),IF(MAX($H77,$I77)-$G77&lt;=29,"OK","LATE: protected / info served after day 30"),IF(TODAY()-$G77&gt;29,"OVERDUE: not protected / info not served","Protect + serve info by "&amp;TEXT($G77+29,"dd/mm/yyyy"))))))</f>
        <v/>
      </c>
      <c r="K77" s="97">
        <f>IF(OR(NOT(ISNUMBER($E77)),NOT(ISNUMBER($F77))),"",IF($F77&lt;=$E77*12/52*5,"OK","Over 5 weeks"))</f>
        <v/>
      </c>
      <c r="L77" s="52"/>
      <c r="M77" s="52"/>
      <c r="N77" s="122">
        <f>IF(OR($A77="",NOT(ISNUMBER($L77))),IF($A77="","","Not recorded"),IF(NOT(ISNUMBER($M77)),"Checked (no follow-up)",IF($M77&lt;TODAY(),"OVERDUE: follow-up check",IF($M77-TODAY()&lt;=60,"Follow-up due "&amp;TEXT($M77,"dd/mm/yyyy"),"Checked"))))</f>
        <v/>
      </c>
      <c r="O77" s="52"/>
      <c r="P77" s="52"/>
      <c r="Q77" s="122">
        <f>IF($A77="","",IF(NOT(ISNUMBER($D77)),"Enter start date",IF($D77&gt;=DATE(2026,5,1),IF(ISNUMBER($O77),"Complete","Missing: written terms"),IF(OR(ISNUMBER($P77),ISNUMBER($O77)),"Complete","Missing: Information Sheet (was due 31/05/2026)"))))</f>
        <v/>
      </c>
      <c r="R77" s="52"/>
      <c r="S77" s="82">
        <f>IF(ISNUMBER($R77),$R77+364,IF(ISNUMBER($D77),$D77+364,""))</f>
        <v/>
      </c>
      <c r="T77" s="52"/>
      <c r="U77" s="82">
        <f>IF(ISNUMBER($T77),IF(ISNUMBER($S77),MAX(EDATE($T77,2),$S77),EDATE($T77,2)),"")</f>
        <v/>
      </c>
      <c r="V77" s="52"/>
      <c r="W77" s="52"/>
      <c r="X77" s="121">
        <f>IF(NOT(ISNUMBER($V77)),"",IF(ISNUMBER($W77),IF($W77-$V77&lt;=28,"Answered in time","LATE: answered after day 28"),IF(TODAY()-$V77&gt;28,"OVERDUE: no reply yet","Reply due by "&amp;TEXT($V77+28,"dd/mm/yyyy"))))</f>
        <v/>
      </c>
      <c r="Y77" s="54"/>
    </row>
    <row r="78" spans="1:25">
      <c r="A78" s="54"/>
      <c r="B78" s="54"/>
      <c r="C78" s="51"/>
      <c r="D78" s="52"/>
      <c r="E78" s="120"/>
      <c r="F78" s="120"/>
      <c r="G78" s="52"/>
      <c r="H78" s="52"/>
      <c r="I78" s="52"/>
      <c r="J78" s="121">
        <f>IF(OR($A78="",NOT(ISNUMBER($F78))),"",IF($F78&lt;=0,"No deposit",IF(NOT(ISNUMBER($G78)),"Enter date received",IF(AND(ISNUMBER($H78),ISNUMBER($I78)),IF(MAX($H78,$I78)-$G78&lt;=29,"OK","LATE: protected / info served after day 30"),IF(TODAY()-$G78&gt;29,"OVERDUE: not protected / info not served","Protect + serve info by "&amp;TEXT($G78+29,"dd/mm/yyyy"))))))</f>
        <v/>
      </c>
      <c r="K78" s="97">
        <f>IF(OR(NOT(ISNUMBER($E78)),NOT(ISNUMBER($F78))),"",IF($F78&lt;=$E78*12/52*5,"OK","Over 5 weeks"))</f>
        <v/>
      </c>
      <c r="L78" s="52"/>
      <c r="M78" s="52"/>
      <c r="N78" s="122">
        <f>IF(OR($A78="",NOT(ISNUMBER($L78))),IF($A78="","","Not recorded"),IF(NOT(ISNUMBER($M78)),"Checked (no follow-up)",IF($M78&lt;TODAY(),"OVERDUE: follow-up check",IF($M78-TODAY()&lt;=60,"Follow-up due "&amp;TEXT($M78,"dd/mm/yyyy"),"Checked"))))</f>
        <v/>
      </c>
      <c r="O78" s="52"/>
      <c r="P78" s="52"/>
      <c r="Q78" s="122">
        <f>IF($A78="","",IF(NOT(ISNUMBER($D78)),"Enter start date",IF($D78&gt;=DATE(2026,5,1),IF(ISNUMBER($O78),"Complete","Missing: written terms"),IF(OR(ISNUMBER($P78),ISNUMBER($O78)),"Complete","Missing: Information Sheet (was due 31/05/2026)"))))</f>
        <v/>
      </c>
      <c r="R78" s="52"/>
      <c r="S78" s="82">
        <f>IF(ISNUMBER($R78),$R78+364,IF(ISNUMBER($D78),$D78+364,""))</f>
        <v/>
      </c>
      <c r="T78" s="52"/>
      <c r="U78" s="82">
        <f>IF(ISNUMBER($T78),IF(ISNUMBER($S78),MAX(EDATE($T78,2),$S78),EDATE($T78,2)),"")</f>
        <v/>
      </c>
      <c r="V78" s="52"/>
      <c r="W78" s="52"/>
      <c r="X78" s="121">
        <f>IF(NOT(ISNUMBER($V78)),"",IF(ISNUMBER($W78),IF($W78-$V78&lt;=28,"Answered in time","LATE: answered after day 28"),IF(TODAY()-$V78&gt;28,"OVERDUE: no reply yet","Reply due by "&amp;TEXT($V78+28,"dd/mm/yyyy"))))</f>
        <v/>
      </c>
      <c r="Y78" s="54"/>
    </row>
    <row r="79" spans="1:25">
      <c r="A79" s="54"/>
      <c r="B79" s="54"/>
      <c r="C79" s="51"/>
      <c r="D79" s="52"/>
      <c r="E79" s="120"/>
      <c r="F79" s="120"/>
      <c r="G79" s="52"/>
      <c r="H79" s="52"/>
      <c r="I79" s="52"/>
      <c r="J79" s="121">
        <f>IF(OR($A79="",NOT(ISNUMBER($F79))),"",IF($F79&lt;=0,"No deposit",IF(NOT(ISNUMBER($G79)),"Enter date received",IF(AND(ISNUMBER($H79),ISNUMBER($I79)),IF(MAX($H79,$I79)-$G79&lt;=29,"OK","LATE: protected / info served after day 30"),IF(TODAY()-$G79&gt;29,"OVERDUE: not protected / info not served","Protect + serve info by "&amp;TEXT($G79+29,"dd/mm/yyyy"))))))</f>
        <v/>
      </c>
      <c r="K79" s="97">
        <f>IF(OR(NOT(ISNUMBER($E79)),NOT(ISNUMBER($F79))),"",IF($F79&lt;=$E79*12/52*5,"OK","Over 5 weeks"))</f>
        <v/>
      </c>
      <c r="L79" s="52"/>
      <c r="M79" s="52"/>
      <c r="N79" s="122">
        <f>IF(OR($A79="",NOT(ISNUMBER($L79))),IF($A79="","","Not recorded"),IF(NOT(ISNUMBER($M79)),"Checked (no follow-up)",IF($M79&lt;TODAY(),"OVERDUE: follow-up check",IF($M79-TODAY()&lt;=60,"Follow-up due "&amp;TEXT($M79,"dd/mm/yyyy"),"Checked"))))</f>
        <v/>
      </c>
      <c r="O79" s="52"/>
      <c r="P79" s="52"/>
      <c r="Q79" s="122">
        <f>IF($A79="","",IF(NOT(ISNUMBER($D79)),"Enter start date",IF($D79&gt;=DATE(2026,5,1),IF(ISNUMBER($O79),"Complete","Missing: written terms"),IF(OR(ISNUMBER($P79),ISNUMBER($O79)),"Complete","Missing: Information Sheet (was due 31/05/2026)"))))</f>
        <v/>
      </c>
      <c r="R79" s="52"/>
      <c r="S79" s="82">
        <f>IF(ISNUMBER($R79),$R79+364,IF(ISNUMBER($D79),$D79+364,""))</f>
        <v/>
      </c>
      <c r="T79" s="52"/>
      <c r="U79" s="82">
        <f>IF(ISNUMBER($T79),IF(ISNUMBER($S79),MAX(EDATE($T79,2),$S79),EDATE($T79,2)),"")</f>
        <v/>
      </c>
      <c r="V79" s="52"/>
      <c r="W79" s="52"/>
      <c r="X79" s="121">
        <f>IF(NOT(ISNUMBER($V79)),"",IF(ISNUMBER($W79),IF($W79-$V79&lt;=28,"Answered in time","LATE: answered after day 28"),IF(TODAY()-$V79&gt;28,"OVERDUE: no reply yet","Reply due by "&amp;TEXT($V79+28,"dd/mm/yyyy"))))</f>
        <v/>
      </c>
      <c r="Y79" s="54"/>
    </row>
    <row r="80" spans="1:25">
      <c r="A80" s="54"/>
      <c r="B80" s="54"/>
      <c r="C80" s="51"/>
      <c r="D80" s="52"/>
      <c r="E80" s="120"/>
      <c r="F80" s="120"/>
      <c r="G80" s="52"/>
      <c r="H80" s="52"/>
      <c r="I80" s="52"/>
      <c r="J80" s="121">
        <f>IF(OR($A80="",NOT(ISNUMBER($F80))),"",IF($F80&lt;=0,"No deposit",IF(NOT(ISNUMBER($G80)),"Enter date received",IF(AND(ISNUMBER($H80),ISNUMBER($I80)),IF(MAX($H80,$I80)-$G80&lt;=29,"OK","LATE: protected / info served after day 30"),IF(TODAY()-$G80&gt;29,"OVERDUE: not protected / info not served","Protect + serve info by "&amp;TEXT($G80+29,"dd/mm/yyyy"))))))</f>
        <v/>
      </c>
      <c r="K80" s="97">
        <f>IF(OR(NOT(ISNUMBER($E80)),NOT(ISNUMBER($F80))),"",IF($F80&lt;=$E80*12/52*5,"OK","Over 5 weeks"))</f>
        <v/>
      </c>
      <c r="L80" s="52"/>
      <c r="M80" s="52"/>
      <c r="N80" s="122">
        <f>IF(OR($A80="",NOT(ISNUMBER($L80))),IF($A80="","","Not recorded"),IF(NOT(ISNUMBER($M80)),"Checked (no follow-up)",IF($M80&lt;TODAY(),"OVERDUE: follow-up check",IF($M80-TODAY()&lt;=60,"Follow-up due "&amp;TEXT($M80,"dd/mm/yyyy"),"Checked"))))</f>
        <v/>
      </c>
      <c r="O80" s="52"/>
      <c r="P80" s="52"/>
      <c r="Q80" s="122">
        <f>IF($A80="","",IF(NOT(ISNUMBER($D80)),"Enter start date",IF($D80&gt;=DATE(2026,5,1),IF(ISNUMBER($O80),"Complete","Missing: written terms"),IF(OR(ISNUMBER($P80),ISNUMBER($O80)),"Complete","Missing: Information Sheet (was due 31/05/2026)"))))</f>
        <v/>
      </c>
      <c r="R80" s="52"/>
      <c r="S80" s="82">
        <f>IF(ISNUMBER($R80),$R80+364,IF(ISNUMBER($D80),$D80+364,""))</f>
        <v/>
      </c>
      <c r="T80" s="52"/>
      <c r="U80" s="82">
        <f>IF(ISNUMBER($T80),IF(ISNUMBER($S80),MAX(EDATE($T80,2),$S80),EDATE($T80,2)),"")</f>
        <v/>
      </c>
      <c r="V80" s="52"/>
      <c r="W80" s="52"/>
      <c r="X80" s="121">
        <f>IF(NOT(ISNUMBER($V80)),"",IF(ISNUMBER($W80),IF($W80-$V80&lt;=28,"Answered in time","LATE: answered after day 28"),IF(TODAY()-$V80&gt;28,"OVERDUE: no reply yet","Reply due by "&amp;TEXT($V80+28,"dd/mm/yyyy"))))</f>
        <v/>
      </c>
      <c r="Y80" s="54"/>
    </row>
    <row r="81" spans="1:25">
      <c r="A81" s="54"/>
      <c r="B81" s="54"/>
      <c r="C81" s="51"/>
      <c r="D81" s="52"/>
      <c r="E81" s="120"/>
      <c r="F81" s="120"/>
      <c r="G81" s="52"/>
      <c r="H81" s="52"/>
      <c r="I81" s="52"/>
      <c r="J81" s="121">
        <f>IF(OR($A81="",NOT(ISNUMBER($F81))),"",IF($F81&lt;=0,"No deposit",IF(NOT(ISNUMBER($G81)),"Enter date received",IF(AND(ISNUMBER($H81),ISNUMBER($I81)),IF(MAX($H81,$I81)-$G81&lt;=29,"OK","LATE: protected / info served after day 30"),IF(TODAY()-$G81&gt;29,"OVERDUE: not protected / info not served","Protect + serve info by "&amp;TEXT($G81+29,"dd/mm/yyyy"))))))</f>
        <v/>
      </c>
      <c r="K81" s="97">
        <f>IF(OR(NOT(ISNUMBER($E81)),NOT(ISNUMBER($F81))),"",IF($F81&lt;=$E81*12/52*5,"OK","Over 5 weeks"))</f>
        <v/>
      </c>
      <c r="L81" s="52"/>
      <c r="M81" s="52"/>
      <c r="N81" s="122">
        <f>IF(OR($A81="",NOT(ISNUMBER($L81))),IF($A81="","","Not recorded"),IF(NOT(ISNUMBER($M81)),"Checked (no follow-up)",IF($M81&lt;TODAY(),"OVERDUE: follow-up check",IF($M81-TODAY()&lt;=60,"Follow-up due "&amp;TEXT($M81,"dd/mm/yyyy"),"Checked"))))</f>
        <v/>
      </c>
      <c r="O81" s="52"/>
      <c r="P81" s="52"/>
      <c r="Q81" s="122">
        <f>IF($A81="","",IF(NOT(ISNUMBER($D81)),"Enter start date",IF($D81&gt;=DATE(2026,5,1),IF(ISNUMBER($O81),"Complete","Missing: written terms"),IF(OR(ISNUMBER($P81),ISNUMBER($O81)),"Complete","Missing: Information Sheet (was due 31/05/2026)"))))</f>
        <v/>
      </c>
      <c r="R81" s="52"/>
      <c r="S81" s="82">
        <f>IF(ISNUMBER($R81),$R81+364,IF(ISNUMBER($D81),$D81+364,""))</f>
        <v/>
      </c>
      <c r="T81" s="52"/>
      <c r="U81" s="82">
        <f>IF(ISNUMBER($T81),IF(ISNUMBER($S81),MAX(EDATE($T81,2),$S81),EDATE($T81,2)),"")</f>
        <v/>
      </c>
      <c r="V81" s="52"/>
      <c r="W81" s="52"/>
      <c r="X81" s="121">
        <f>IF(NOT(ISNUMBER($V81)),"",IF(ISNUMBER($W81),IF($W81-$V81&lt;=28,"Answered in time","LATE: answered after day 28"),IF(TODAY()-$V81&gt;28,"OVERDUE: no reply yet","Reply due by "&amp;TEXT($V81+28,"dd/mm/yyyy"))))</f>
        <v/>
      </c>
      <c r="Y81" s="54"/>
    </row>
    <row r="82" spans="1:25">
      <c r="A82" s="54"/>
      <c r="B82" s="54"/>
      <c r="C82" s="51"/>
      <c r="D82" s="52"/>
      <c r="E82" s="120"/>
      <c r="F82" s="120"/>
      <c r="G82" s="52"/>
      <c r="H82" s="52"/>
      <c r="I82" s="52"/>
      <c r="J82" s="121">
        <f>IF(OR($A82="",NOT(ISNUMBER($F82))),"",IF($F82&lt;=0,"No deposit",IF(NOT(ISNUMBER($G82)),"Enter date received",IF(AND(ISNUMBER($H82),ISNUMBER($I82)),IF(MAX($H82,$I82)-$G82&lt;=29,"OK","LATE: protected / info served after day 30"),IF(TODAY()-$G82&gt;29,"OVERDUE: not protected / info not served","Protect + serve info by "&amp;TEXT($G82+29,"dd/mm/yyyy"))))))</f>
        <v/>
      </c>
      <c r="K82" s="97">
        <f>IF(OR(NOT(ISNUMBER($E82)),NOT(ISNUMBER($F82))),"",IF($F82&lt;=$E82*12/52*5,"OK","Over 5 weeks"))</f>
        <v/>
      </c>
      <c r="L82" s="52"/>
      <c r="M82" s="52"/>
      <c r="N82" s="122">
        <f>IF(OR($A82="",NOT(ISNUMBER($L82))),IF($A82="","","Not recorded"),IF(NOT(ISNUMBER($M82)),"Checked (no follow-up)",IF($M82&lt;TODAY(),"OVERDUE: follow-up check",IF($M82-TODAY()&lt;=60,"Follow-up due "&amp;TEXT($M82,"dd/mm/yyyy"),"Checked"))))</f>
        <v/>
      </c>
      <c r="O82" s="52"/>
      <c r="P82" s="52"/>
      <c r="Q82" s="122">
        <f>IF($A82="","",IF(NOT(ISNUMBER($D82)),"Enter start date",IF($D82&gt;=DATE(2026,5,1),IF(ISNUMBER($O82),"Complete","Missing: written terms"),IF(OR(ISNUMBER($P82),ISNUMBER($O82)),"Complete","Missing: Information Sheet (was due 31/05/2026)"))))</f>
        <v/>
      </c>
      <c r="R82" s="52"/>
      <c r="S82" s="82">
        <f>IF(ISNUMBER($R82),$R82+364,IF(ISNUMBER($D82),$D82+364,""))</f>
        <v/>
      </c>
      <c r="T82" s="52"/>
      <c r="U82" s="82">
        <f>IF(ISNUMBER($T82),IF(ISNUMBER($S82),MAX(EDATE($T82,2),$S82),EDATE($T82,2)),"")</f>
        <v/>
      </c>
      <c r="V82" s="52"/>
      <c r="W82" s="52"/>
      <c r="X82" s="121">
        <f>IF(NOT(ISNUMBER($V82)),"",IF(ISNUMBER($W82),IF($W82-$V82&lt;=28,"Answered in time","LATE: answered after day 28"),IF(TODAY()-$V82&gt;28,"OVERDUE: no reply yet","Reply due by "&amp;TEXT($V82+28,"dd/mm/yyyy"))))</f>
        <v/>
      </c>
      <c r="Y82" s="54"/>
    </row>
    <row r="83" spans="1:25">
      <c r="A83" s="54"/>
      <c r="B83" s="54"/>
      <c r="C83" s="51"/>
      <c r="D83" s="52"/>
      <c r="E83" s="120"/>
      <c r="F83" s="120"/>
      <c r="G83" s="52"/>
      <c r="H83" s="52"/>
      <c r="I83" s="52"/>
      <c r="J83" s="121">
        <f>IF(OR($A83="",NOT(ISNUMBER($F83))),"",IF($F83&lt;=0,"No deposit",IF(NOT(ISNUMBER($G83)),"Enter date received",IF(AND(ISNUMBER($H83),ISNUMBER($I83)),IF(MAX($H83,$I83)-$G83&lt;=29,"OK","LATE: protected / info served after day 30"),IF(TODAY()-$G83&gt;29,"OVERDUE: not protected / info not served","Protect + serve info by "&amp;TEXT($G83+29,"dd/mm/yyyy"))))))</f>
        <v/>
      </c>
      <c r="K83" s="97">
        <f>IF(OR(NOT(ISNUMBER($E83)),NOT(ISNUMBER($F83))),"",IF($F83&lt;=$E83*12/52*5,"OK","Over 5 weeks"))</f>
        <v/>
      </c>
      <c r="L83" s="52"/>
      <c r="M83" s="52"/>
      <c r="N83" s="122">
        <f>IF(OR($A83="",NOT(ISNUMBER($L83))),IF($A83="","","Not recorded"),IF(NOT(ISNUMBER($M83)),"Checked (no follow-up)",IF($M83&lt;TODAY(),"OVERDUE: follow-up check",IF($M83-TODAY()&lt;=60,"Follow-up due "&amp;TEXT($M83,"dd/mm/yyyy"),"Checked"))))</f>
        <v/>
      </c>
      <c r="O83" s="52"/>
      <c r="P83" s="52"/>
      <c r="Q83" s="122">
        <f>IF($A83="","",IF(NOT(ISNUMBER($D83)),"Enter start date",IF($D83&gt;=DATE(2026,5,1),IF(ISNUMBER($O83),"Complete","Missing: written terms"),IF(OR(ISNUMBER($P83),ISNUMBER($O83)),"Complete","Missing: Information Sheet (was due 31/05/2026)"))))</f>
        <v/>
      </c>
      <c r="R83" s="52"/>
      <c r="S83" s="82">
        <f>IF(ISNUMBER($R83),$R83+364,IF(ISNUMBER($D83),$D83+364,""))</f>
        <v/>
      </c>
      <c r="T83" s="52"/>
      <c r="U83" s="82">
        <f>IF(ISNUMBER($T83),IF(ISNUMBER($S83),MAX(EDATE($T83,2),$S83),EDATE($T83,2)),"")</f>
        <v/>
      </c>
      <c r="V83" s="52"/>
      <c r="W83" s="52"/>
      <c r="X83" s="121">
        <f>IF(NOT(ISNUMBER($V83)),"",IF(ISNUMBER($W83),IF($W83-$V83&lt;=28,"Answered in time","LATE: answered after day 28"),IF(TODAY()-$V83&gt;28,"OVERDUE: no reply yet","Reply due by "&amp;TEXT($V83+28,"dd/mm/yyyy"))))</f>
        <v/>
      </c>
      <c r="Y83" s="54"/>
    </row>
    <row r="84" spans="1:25">
      <c r="A84" s="54"/>
      <c r="B84" s="54"/>
      <c r="C84" s="51"/>
      <c r="D84" s="52"/>
      <c r="E84" s="120"/>
      <c r="F84" s="120"/>
      <c r="G84" s="52"/>
      <c r="H84" s="52"/>
      <c r="I84" s="52"/>
      <c r="J84" s="121">
        <f>IF(OR($A84="",NOT(ISNUMBER($F84))),"",IF($F84&lt;=0,"No deposit",IF(NOT(ISNUMBER($G84)),"Enter date received",IF(AND(ISNUMBER($H84),ISNUMBER($I84)),IF(MAX($H84,$I84)-$G84&lt;=29,"OK","LATE: protected / info served after day 30"),IF(TODAY()-$G84&gt;29,"OVERDUE: not protected / info not served","Protect + serve info by "&amp;TEXT($G84+29,"dd/mm/yyyy"))))))</f>
        <v/>
      </c>
      <c r="K84" s="97">
        <f>IF(OR(NOT(ISNUMBER($E84)),NOT(ISNUMBER($F84))),"",IF($F84&lt;=$E84*12/52*5,"OK","Over 5 weeks"))</f>
        <v/>
      </c>
      <c r="L84" s="52"/>
      <c r="M84" s="52"/>
      <c r="N84" s="122">
        <f>IF(OR($A84="",NOT(ISNUMBER($L84))),IF($A84="","","Not recorded"),IF(NOT(ISNUMBER($M84)),"Checked (no follow-up)",IF($M84&lt;TODAY(),"OVERDUE: follow-up check",IF($M84-TODAY()&lt;=60,"Follow-up due "&amp;TEXT($M84,"dd/mm/yyyy"),"Checked"))))</f>
        <v/>
      </c>
      <c r="O84" s="52"/>
      <c r="P84" s="52"/>
      <c r="Q84" s="122">
        <f>IF($A84="","",IF(NOT(ISNUMBER($D84)),"Enter start date",IF($D84&gt;=DATE(2026,5,1),IF(ISNUMBER($O84),"Complete","Missing: written terms"),IF(OR(ISNUMBER($P84),ISNUMBER($O84)),"Complete","Missing: Information Sheet (was due 31/05/2026)"))))</f>
        <v/>
      </c>
      <c r="R84" s="52"/>
      <c r="S84" s="82">
        <f>IF(ISNUMBER($R84),$R84+364,IF(ISNUMBER($D84),$D84+364,""))</f>
        <v/>
      </c>
      <c r="T84" s="52"/>
      <c r="U84" s="82">
        <f>IF(ISNUMBER($T84),IF(ISNUMBER($S84),MAX(EDATE($T84,2),$S84),EDATE($T84,2)),"")</f>
        <v/>
      </c>
      <c r="V84" s="52"/>
      <c r="W84" s="52"/>
      <c r="X84" s="121">
        <f>IF(NOT(ISNUMBER($V84)),"",IF(ISNUMBER($W84),IF($W84-$V84&lt;=28,"Answered in time","LATE: answered after day 28"),IF(TODAY()-$V84&gt;28,"OVERDUE: no reply yet","Reply due by "&amp;TEXT($V84+28,"dd/mm/yyyy"))))</f>
        <v/>
      </c>
      <c r="Y84" s="54"/>
    </row>
    <row r="85" spans="1:25">
      <c r="A85" s="54"/>
      <c r="B85" s="54"/>
      <c r="C85" s="51"/>
      <c r="D85" s="52"/>
      <c r="E85" s="120"/>
      <c r="F85" s="120"/>
      <c r="G85" s="52"/>
      <c r="H85" s="52"/>
      <c r="I85" s="52"/>
      <c r="J85" s="121">
        <f>IF(OR($A85="",NOT(ISNUMBER($F85))),"",IF($F85&lt;=0,"No deposit",IF(NOT(ISNUMBER($G85)),"Enter date received",IF(AND(ISNUMBER($H85),ISNUMBER($I85)),IF(MAX($H85,$I85)-$G85&lt;=29,"OK","LATE: protected / info served after day 30"),IF(TODAY()-$G85&gt;29,"OVERDUE: not protected / info not served","Protect + serve info by "&amp;TEXT($G85+29,"dd/mm/yyyy"))))))</f>
        <v/>
      </c>
      <c r="K85" s="97">
        <f>IF(OR(NOT(ISNUMBER($E85)),NOT(ISNUMBER($F85))),"",IF($F85&lt;=$E85*12/52*5,"OK","Over 5 weeks"))</f>
        <v/>
      </c>
      <c r="L85" s="52"/>
      <c r="M85" s="52"/>
      <c r="N85" s="122">
        <f>IF(OR($A85="",NOT(ISNUMBER($L85))),IF($A85="","","Not recorded"),IF(NOT(ISNUMBER($M85)),"Checked (no follow-up)",IF($M85&lt;TODAY(),"OVERDUE: follow-up check",IF($M85-TODAY()&lt;=60,"Follow-up due "&amp;TEXT($M85,"dd/mm/yyyy"),"Checked"))))</f>
        <v/>
      </c>
      <c r="O85" s="52"/>
      <c r="P85" s="52"/>
      <c r="Q85" s="122">
        <f>IF($A85="","",IF(NOT(ISNUMBER($D85)),"Enter start date",IF($D85&gt;=DATE(2026,5,1),IF(ISNUMBER($O85),"Complete","Missing: written terms"),IF(OR(ISNUMBER($P85),ISNUMBER($O85)),"Complete","Missing: Information Sheet (was due 31/05/2026)"))))</f>
        <v/>
      </c>
      <c r="R85" s="52"/>
      <c r="S85" s="82">
        <f>IF(ISNUMBER($R85),$R85+364,IF(ISNUMBER($D85),$D85+364,""))</f>
        <v/>
      </c>
      <c r="T85" s="52"/>
      <c r="U85" s="82">
        <f>IF(ISNUMBER($T85),IF(ISNUMBER($S85),MAX(EDATE($T85,2),$S85),EDATE($T85,2)),"")</f>
        <v/>
      </c>
      <c r="V85" s="52"/>
      <c r="W85" s="52"/>
      <c r="X85" s="121">
        <f>IF(NOT(ISNUMBER($V85)),"",IF(ISNUMBER($W85),IF($W85-$V85&lt;=28,"Answered in time","LATE: answered after day 28"),IF(TODAY()-$V85&gt;28,"OVERDUE: no reply yet","Reply due by "&amp;TEXT($V85+28,"dd/mm/yyyy"))))</f>
        <v/>
      </c>
      <c r="Y85" s="54"/>
    </row>
    <row r="86" spans="1:25">
      <c r="A86" s="54"/>
      <c r="B86" s="54"/>
      <c r="C86" s="51"/>
      <c r="D86" s="52"/>
      <c r="E86" s="120"/>
      <c r="F86" s="120"/>
      <c r="G86" s="52"/>
      <c r="H86" s="52"/>
      <c r="I86" s="52"/>
      <c r="J86" s="121">
        <f>IF(OR($A86="",NOT(ISNUMBER($F86))),"",IF($F86&lt;=0,"No deposit",IF(NOT(ISNUMBER($G86)),"Enter date received",IF(AND(ISNUMBER($H86),ISNUMBER($I86)),IF(MAX($H86,$I86)-$G86&lt;=29,"OK","LATE: protected / info served after day 30"),IF(TODAY()-$G86&gt;29,"OVERDUE: not protected / info not served","Protect + serve info by "&amp;TEXT($G86+29,"dd/mm/yyyy"))))))</f>
        <v/>
      </c>
      <c r="K86" s="97">
        <f>IF(OR(NOT(ISNUMBER($E86)),NOT(ISNUMBER($F86))),"",IF($F86&lt;=$E86*12/52*5,"OK","Over 5 weeks"))</f>
        <v/>
      </c>
      <c r="L86" s="52"/>
      <c r="M86" s="52"/>
      <c r="N86" s="122">
        <f>IF(OR($A86="",NOT(ISNUMBER($L86))),IF($A86="","","Not recorded"),IF(NOT(ISNUMBER($M86)),"Checked (no follow-up)",IF($M86&lt;TODAY(),"OVERDUE: follow-up check",IF($M86-TODAY()&lt;=60,"Follow-up due "&amp;TEXT($M86,"dd/mm/yyyy"),"Checked"))))</f>
        <v/>
      </c>
      <c r="O86" s="52"/>
      <c r="P86" s="52"/>
      <c r="Q86" s="122">
        <f>IF($A86="","",IF(NOT(ISNUMBER($D86)),"Enter start date",IF($D86&gt;=DATE(2026,5,1),IF(ISNUMBER($O86),"Complete","Missing: written terms"),IF(OR(ISNUMBER($P86),ISNUMBER($O86)),"Complete","Missing: Information Sheet (was due 31/05/2026)"))))</f>
        <v/>
      </c>
      <c r="R86" s="52"/>
      <c r="S86" s="82">
        <f>IF(ISNUMBER($R86),$R86+364,IF(ISNUMBER($D86),$D86+364,""))</f>
        <v/>
      </c>
      <c r="T86" s="52"/>
      <c r="U86" s="82">
        <f>IF(ISNUMBER($T86),IF(ISNUMBER($S86),MAX(EDATE($T86,2),$S86),EDATE($T86,2)),"")</f>
        <v/>
      </c>
      <c r="V86" s="52"/>
      <c r="W86" s="52"/>
      <c r="X86" s="121">
        <f>IF(NOT(ISNUMBER($V86)),"",IF(ISNUMBER($W86),IF($W86-$V86&lt;=28,"Answered in time","LATE: answered after day 28"),IF(TODAY()-$V86&gt;28,"OVERDUE: no reply yet","Reply due by "&amp;TEXT($V86+28,"dd/mm/yyyy"))))</f>
        <v/>
      </c>
      <c r="Y86" s="54"/>
    </row>
    <row r="87" spans="1:25">
      <c r="A87" s="54"/>
      <c r="B87" s="54"/>
      <c r="C87" s="51"/>
      <c r="D87" s="52"/>
      <c r="E87" s="120"/>
      <c r="F87" s="120"/>
      <c r="G87" s="52"/>
      <c r="H87" s="52"/>
      <c r="I87" s="52"/>
      <c r="J87" s="121">
        <f>IF(OR($A87="",NOT(ISNUMBER($F87))),"",IF($F87&lt;=0,"No deposit",IF(NOT(ISNUMBER($G87)),"Enter date received",IF(AND(ISNUMBER($H87),ISNUMBER($I87)),IF(MAX($H87,$I87)-$G87&lt;=29,"OK","LATE: protected / info served after day 30"),IF(TODAY()-$G87&gt;29,"OVERDUE: not protected / info not served","Protect + serve info by "&amp;TEXT($G87+29,"dd/mm/yyyy"))))))</f>
        <v/>
      </c>
      <c r="K87" s="97">
        <f>IF(OR(NOT(ISNUMBER($E87)),NOT(ISNUMBER($F87))),"",IF($F87&lt;=$E87*12/52*5,"OK","Over 5 weeks"))</f>
        <v/>
      </c>
      <c r="L87" s="52"/>
      <c r="M87" s="52"/>
      <c r="N87" s="122">
        <f>IF(OR($A87="",NOT(ISNUMBER($L87))),IF($A87="","","Not recorded"),IF(NOT(ISNUMBER($M87)),"Checked (no follow-up)",IF($M87&lt;TODAY(),"OVERDUE: follow-up check",IF($M87-TODAY()&lt;=60,"Follow-up due "&amp;TEXT($M87,"dd/mm/yyyy"),"Checked"))))</f>
        <v/>
      </c>
      <c r="O87" s="52"/>
      <c r="P87" s="52"/>
      <c r="Q87" s="122">
        <f>IF($A87="","",IF(NOT(ISNUMBER($D87)),"Enter start date",IF($D87&gt;=DATE(2026,5,1),IF(ISNUMBER($O87),"Complete","Missing: written terms"),IF(OR(ISNUMBER($P87),ISNUMBER($O87)),"Complete","Missing: Information Sheet (was due 31/05/2026)"))))</f>
        <v/>
      </c>
      <c r="R87" s="52"/>
      <c r="S87" s="82">
        <f>IF(ISNUMBER($R87),$R87+364,IF(ISNUMBER($D87),$D87+364,""))</f>
        <v/>
      </c>
      <c r="T87" s="52"/>
      <c r="U87" s="82">
        <f>IF(ISNUMBER($T87),IF(ISNUMBER($S87),MAX(EDATE($T87,2),$S87),EDATE($T87,2)),"")</f>
        <v/>
      </c>
      <c r="V87" s="52"/>
      <c r="W87" s="52"/>
      <c r="X87" s="121">
        <f>IF(NOT(ISNUMBER($V87)),"",IF(ISNUMBER($W87),IF($W87-$V87&lt;=28,"Answered in time","LATE: answered after day 28"),IF(TODAY()-$V87&gt;28,"OVERDUE: no reply yet","Reply due by "&amp;TEXT($V87+28,"dd/mm/yyyy"))))</f>
        <v/>
      </c>
      <c r="Y87" s="54"/>
    </row>
    <row r="88" spans="1:25">
      <c r="A88" s="54"/>
      <c r="B88" s="54"/>
      <c r="C88" s="51"/>
      <c r="D88" s="52"/>
      <c r="E88" s="120"/>
      <c r="F88" s="120"/>
      <c r="G88" s="52"/>
      <c r="H88" s="52"/>
      <c r="I88" s="52"/>
      <c r="J88" s="121">
        <f>IF(OR($A88="",NOT(ISNUMBER($F88))),"",IF($F88&lt;=0,"No deposit",IF(NOT(ISNUMBER($G88)),"Enter date received",IF(AND(ISNUMBER($H88),ISNUMBER($I88)),IF(MAX($H88,$I88)-$G88&lt;=29,"OK","LATE: protected / info served after day 30"),IF(TODAY()-$G88&gt;29,"OVERDUE: not protected / info not served","Protect + serve info by "&amp;TEXT($G88+29,"dd/mm/yyyy"))))))</f>
        <v/>
      </c>
      <c r="K88" s="97">
        <f>IF(OR(NOT(ISNUMBER($E88)),NOT(ISNUMBER($F88))),"",IF($F88&lt;=$E88*12/52*5,"OK","Over 5 weeks"))</f>
        <v/>
      </c>
      <c r="L88" s="52"/>
      <c r="M88" s="52"/>
      <c r="N88" s="122">
        <f>IF(OR($A88="",NOT(ISNUMBER($L88))),IF($A88="","","Not recorded"),IF(NOT(ISNUMBER($M88)),"Checked (no follow-up)",IF($M88&lt;TODAY(),"OVERDUE: follow-up check",IF($M88-TODAY()&lt;=60,"Follow-up due "&amp;TEXT($M88,"dd/mm/yyyy"),"Checked"))))</f>
        <v/>
      </c>
      <c r="O88" s="52"/>
      <c r="P88" s="52"/>
      <c r="Q88" s="122">
        <f>IF($A88="","",IF(NOT(ISNUMBER($D88)),"Enter start date",IF($D88&gt;=DATE(2026,5,1),IF(ISNUMBER($O88),"Complete","Missing: written terms"),IF(OR(ISNUMBER($P88),ISNUMBER($O88)),"Complete","Missing: Information Sheet (was due 31/05/2026)"))))</f>
        <v/>
      </c>
      <c r="R88" s="52"/>
      <c r="S88" s="82">
        <f>IF(ISNUMBER($R88),$R88+364,IF(ISNUMBER($D88),$D88+364,""))</f>
        <v/>
      </c>
      <c r="T88" s="52"/>
      <c r="U88" s="82">
        <f>IF(ISNUMBER($T88),IF(ISNUMBER($S88),MAX(EDATE($T88,2),$S88),EDATE($T88,2)),"")</f>
        <v/>
      </c>
      <c r="V88" s="52"/>
      <c r="W88" s="52"/>
      <c r="X88" s="121">
        <f>IF(NOT(ISNUMBER($V88)),"",IF(ISNUMBER($W88),IF($W88-$V88&lt;=28,"Answered in time","LATE: answered after day 28"),IF(TODAY()-$V88&gt;28,"OVERDUE: no reply yet","Reply due by "&amp;TEXT($V88+28,"dd/mm/yyyy"))))</f>
        <v/>
      </c>
      <c r="Y88" s="54"/>
    </row>
    <row r="89" spans="1:25">
      <c r="A89" s="54"/>
      <c r="B89" s="54"/>
      <c r="C89" s="51"/>
      <c r="D89" s="52"/>
      <c r="E89" s="120"/>
      <c r="F89" s="120"/>
      <c r="G89" s="52"/>
      <c r="H89" s="52"/>
      <c r="I89" s="52"/>
      <c r="J89" s="121">
        <f>IF(OR($A89="",NOT(ISNUMBER($F89))),"",IF($F89&lt;=0,"No deposit",IF(NOT(ISNUMBER($G89)),"Enter date received",IF(AND(ISNUMBER($H89),ISNUMBER($I89)),IF(MAX($H89,$I89)-$G89&lt;=29,"OK","LATE: protected / info served after day 30"),IF(TODAY()-$G89&gt;29,"OVERDUE: not protected / info not served","Protect + serve info by "&amp;TEXT($G89+29,"dd/mm/yyyy"))))))</f>
        <v/>
      </c>
      <c r="K89" s="97">
        <f>IF(OR(NOT(ISNUMBER($E89)),NOT(ISNUMBER($F89))),"",IF($F89&lt;=$E89*12/52*5,"OK","Over 5 weeks"))</f>
        <v/>
      </c>
      <c r="L89" s="52"/>
      <c r="M89" s="52"/>
      <c r="N89" s="122">
        <f>IF(OR($A89="",NOT(ISNUMBER($L89))),IF($A89="","","Not recorded"),IF(NOT(ISNUMBER($M89)),"Checked (no follow-up)",IF($M89&lt;TODAY(),"OVERDUE: follow-up check",IF($M89-TODAY()&lt;=60,"Follow-up due "&amp;TEXT($M89,"dd/mm/yyyy"),"Checked"))))</f>
        <v/>
      </c>
      <c r="O89" s="52"/>
      <c r="P89" s="52"/>
      <c r="Q89" s="122">
        <f>IF($A89="","",IF(NOT(ISNUMBER($D89)),"Enter start date",IF($D89&gt;=DATE(2026,5,1),IF(ISNUMBER($O89),"Complete","Missing: written terms"),IF(OR(ISNUMBER($P89),ISNUMBER($O89)),"Complete","Missing: Information Sheet (was due 31/05/2026)"))))</f>
        <v/>
      </c>
      <c r="R89" s="52"/>
      <c r="S89" s="82">
        <f>IF(ISNUMBER($R89),$R89+364,IF(ISNUMBER($D89),$D89+364,""))</f>
        <v/>
      </c>
      <c r="T89" s="52"/>
      <c r="U89" s="82">
        <f>IF(ISNUMBER($T89),IF(ISNUMBER($S89),MAX(EDATE($T89,2),$S89),EDATE($T89,2)),"")</f>
        <v/>
      </c>
      <c r="V89" s="52"/>
      <c r="W89" s="52"/>
      <c r="X89" s="121">
        <f>IF(NOT(ISNUMBER($V89)),"",IF(ISNUMBER($W89),IF($W89-$V89&lt;=28,"Answered in time","LATE: answered after day 28"),IF(TODAY()-$V89&gt;28,"OVERDUE: no reply yet","Reply due by "&amp;TEXT($V89+28,"dd/mm/yyyy"))))</f>
        <v/>
      </c>
      <c r="Y89" s="54"/>
    </row>
    <row r="90" spans="1:25">
      <c r="A90" s="54"/>
      <c r="B90" s="54"/>
      <c r="C90" s="51"/>
      <c r="D90" s="52"/>
      <c r="E90" s="120"/>
      <c r="F90" s="120"/>
      <c r="G90" s="52"/>
      <c r="H90" s="52"/>
      <c r="I90" s="52"/>
      <c r="J90" s="121">
        <f>IF(OR($A90="",NOT(ISNUMBER($F90))),"",IF($F90&lt;=0,"No deposit",IF(NOT(ISNUMBER($G90)),"Enter date received",IF(AND(ISNUMBER($H90),ISNUMBER($I90)),IF(MAX($H90,$I90)-$G90&lt;=29,"OK","LATE: protected / info served after day 30"),IF(TODAY()-$G90&gt;29,"OVERDUE: not protected / info not served","Protect + serve info by "&amp;TEXT($G90+29,"dd/mm/yyyy"))))))</f>
        <v/>
      </c>
      <c r="K90" s="97">
        <f>IF(OR(NOT(ISNUMBER($E90)),NOT(ISNUMBER($F90))),"",IF($F90&lt;=$E90*12/52*5,"OK","Over 5 weeks"))</f>
        <v/>
      </c>
      <c r="L90" s="52"/>
      <c r="M90" s="52"/>
      <c r="N90" s="122">
        <f>IF(OR($A90="",NOT(ISNUMBER($L90))),IF($A90="","","Not recorded"),IF(NOT(ISNUMBER($M90)),"Checked (no follow-up)",IF($M90&lt;TODAY(),"OVERDUE: follow-up check",IF($M90-TODAY()&lt;=60,"Follow-up due "&amp;TEXT($M90,"dd/mm/yyyy"),"Checked"))))</f>
        <v/>
      </c>
      <c r="O90" s="52"/>
      <c r="P90" s="52"/>
      <c r="Q90" s="122">
        <f>IF($A90="","",IF(NOT(ISNUMBER($D90)),"Enter start date",IF($D90&gt;=DATE(2026,5,1),IF(ISNUMBER($O90),"Complete","Missing: written terms"),IF(OR(ISNUMBER($P90),ISNUMBER($O90)),"Complete","Missing: Information Sheet (was due 31/05/2026)"))))</f>
        <v/>
      </c>
      <c r="R90" s="52"/>
      <c r="S90" s="82">
        <f>IF(ISNUMBER($R90),$R90+364,IF(ISNUMBER($D90),$D90+364,""))</f>
        <v/>
      </c>
      <c r="T90" s="52"/>
      <c r="U90" s="82">
        <f>IF(ISNUMBER($T90),IF(ISNUMBER($S90),MAX(EDATE($T90,2),$S90),EDATE($T90,2)),"")</f>
        <v/>
      </c>
      <c r="V90" s="52"/>
      <c r="W90" s="52"/>
      <c r="X90" s="121">
        <f>IF(NOT(ISNUMBER($V90)),"",IF(ISNUMBER($W90),IF($W90-$V90&lt;=28,"Answered in time","LATE: answered after day 28"),IF(TODAY()-$V90&gt;28,"OVERDUE: no reply yet","Reply due by "&amp;TEXT($V90+28,"dd/mm/yyyy"))))</f>
        <v/>
      </c>
      <c r="Y90" s="54"/>
    </row>
    <row r="91" spans="1:25">
      <c r="A91" s="54"/>
      <c r="B91" s="54"/>
      <c r="C91" s="51"/>
      <c r="D91" s="52"/>
      <c r="E91" s="120"/>
      <c r="F91" s="120"/>
      <c r="G91" s="52"/>
      <c r="H91" s="52"/>
      <c r="I91" s="52"/>
      <c r="J91" s="121">
        <f>IF(OR($A91="",NOT(ISNUMBER($F91))),"",IF($F91&lt;=0,"No deposit",IF(NOT(ISNUMBER($G91)),"Enter date received",IF(AND(ISNUMBER($H91),ISNUMBER($I91)),IF(MAX($H91,$I91)-$G91&lt;=29,"OK","LATE: protected / info served after day 30"),IF(TODAY()-$G91&gt;29,"OVERDUE: not protected / info not served","Protect + serve info by "&amp;TEXT($G91+29,"dd/mm/yyyy"))))))</f>
        <v/>
      </c>
      <c r="K91" s="97">
        <f>IF(OR(NOT(ISNUMBER($E91)),NOT(ISNUMBER($F91))),"",IF($F91&lt;=$E91*12/52*5,"OK","Over 5 weeks"))</f>
        <v/>
      </c>
      <c r="L91" s="52"/>
      <c r="M91" s="52"/>
      <c r="N91" s="122">
        <f>IF(OR($A91="",NOT(ISNUMBER($L91))),IF($A91="","","Not recorded"),IF(NOT(ISNUMBER($M91)),"Checked (no follow-up)",IF($M91&lt;TODAY(),"OVERDUE: follow-up check",IF($M91-TODAY()&lt;=60,"Follow-up due "&amp;TEXT($M91,"dd/mm/yyyy"),"Checked"))))</f>
        <v/>
      </c>
      <c r="O91" s="52"/>
      <c r="P91" s="52"/>
      <c r="Q91" s="122">
        <f>IF($A91="","",IF(NOT(ISNUMBER($D91)),"Enter start date",IF($D91&gt;=DATE(2026,5,1),IF(ISNUMBER($O91),"Complete","Missing: written terms"),IF(OR(ISNUMBER($P91),ISNUMBER($O91)),"Complete","Missing: Information Sheet (was due 31/05/2026)"))))</f>
        <v/>
      </c>
      <c r="R91" s="52"/>
      <c r="S91" s="82">
        <f>IF(ISNUMBER($R91),$R91+364,IF(ISNUMBER($D91),$D91+364,""))</f>
        <v/>
      </c>
      <c r="T91" s="52"/>
      <c r="U91" s="82">
        <f>IF(ISNUMBER($T91),IF(ISNUMBER($S91),MAX(EDATE($T91,2),$S91),EDATE($T91,2)),"")</f>
        <v/>
      </c>
      <c r="V91" s="52"/>
      <c r="W91" s="52"/>
      <c r="X91" s="121">
        <f>IF(NOT(ISNUMBER($V91)),"",IF(ISNUMBER($W91),IF($W91-$V91&lt;=28,"Answered in time","LATE: answered after day 28"),IF(TODAY()-$V91&gt;28,"OVERDUE: no reply yet","Reply due by "&amp;TEXT($V91+28,"dd/mm/yyyy"))))</f>
        <v/>
      </c>
      <c r="Y91" s="54"/>
    </row>
    <row r="92" spans="1:25">
      <c r="A92" s="54"/>
      <c r="B92" s="54"/>
      <c r="C92" s="51"/>
      <c r="D92" s="52"/>
      <c r="E92" s="120"/>
      <c r="F92" s="120"/>
      <c r="G92" s="52"/>
      <c r="H92" s="52"/>
      <c r="I92" s="52"/>
      <c r="J92" s="121">
        <f>IF(OR($A92="",NOT(ISNUMBER($F92))),"",IF($F92&lt;=0,"No deposit",IF(NOT(ISNUMBER($G92)),"Enter date received",IF(AND(ISNUMBER($H92),ISNUMBER($I92)),IF(MAX($H92,$I92)-$G92&lt;=29,"OK","LATE: protected / info served after day 30"),IF(TODAY()-$G92&gt;29,"OVERDUE: not protected / info not served","Protect + serve info by "&amp;TEXT($G92+29,"dd/mm/yyyy"))))))</f>
        <v/>
      </c>
      <c r="K92" s="97">
        <f>IF(OR(NOT(ISNUMBER($E92)),NOT(ISNUMBER($F92))),"",IF($F92&lt;=$E92*12/52*5,"OK","Over 5 weeks"))</f>
        <v/>
      </c>
      <c r="L92" s="52"/>
      <c r="M92" s="52"/>
      <c r="N92" s="122">
        <f>IF(OR($A92="",NOT(ISNUMBER($L92))),IF($A92="","","Not recorded"),IF(NOT(ISNUMBER($M92)),"Checked (no follow-up)",IF($M92&lt;TODAY(),"OVERDUE: follow-up check",IF($M92-TODAY()&lt;=60,"Follow-up due "&amp;TEXT($M92,"dd/mm/yyyy"),"Checked"))))</f>
        <v/>
      </c>
      <c r="O92" s="52"/>
      <c r="P92" s="52"/>
      <c r="Q92" s="122">
        <f>IF($A92="","",IF(NOT(ISNUMBER($D92)),"Enter start date",IF($D92&gt;=DATE(2026,5,1),IF(ISNUMBER($O92),"Complete","Missing: written terms"),IF(OR(ISNUMBER($P92),ISNUMBER($O92)),"Complete","Missing: Information Sheet (was due 31/05/2026)"))))</f>
        <v/>
      </c>
      <c r="R92" s="52"/>
      <c r="S92" s="82">
        <f>IF(ISNUMBER($R92),$R92+364,IF(ISNUMBER($D92),$D92+364,""))</f>
        <v/>
      </c>
      <c r="T92" s="52"/>
      <c r="U92" s="82">
        <f>IF(ISNUMBER($T92),IF(ISNUMBER($S92),MAX(EDATE($T92,2),$S92),EDATE($T92,2)),"")</f>
        <v/>
      </c>
      <c r="V92" s="52"/>
      <c r="W92" s="52"/>
      <c r="X92" s="121">
        <f>IF(NOT(ISNUMBER($V92)),"",IF(ISNUMBER($W92),IF($W92-$V92&lt;=28,"Answered in time","LATE: answered after day 28"),IF(TODAY()-$V92&gt;28,"OVERDUE: no reply yet","Reply due by "&amp;TEXT($V92+28,"dd/mm/yyyy"))))</f>
        <v/>
      </c>
      <c r="Y92" s="54"/>
    </row>
    <row r="93" spans="1:25">
      <c r="A93" s="54"/>
      <c r="B93" s="54"/>
      <c r="C93" s="51"/>
      <c r="D93" s="52"/>
      <c r="E93" s="120"/>
      <c r="F93" s="120"/>
      <c r="G93" s="52"/>
      <c r="H93" s="52"/>
      <c r="I93" s="52"/>
      <c r="J93" s="121">
        <f>IF(OR($A93="",NOT(ISNUMBER($F93))),"",IF($F93&lt;=0,"No deposit",IF(NOT(ISNUMBER($G93)),"Enter date received",IF(AND(ISNUMBER($H93),ISNUMBER($I93)),IF(MAX($H93,$I93)-$G93&lt;=29,"OK","LATE: protected / info served after day 30"),IF(TODAY()-$G93&gt;29,"OVERDUE: not protected / info not served","Protect + serve info by "&amp;TEXT($G93+29,"dd/mm/yyyy"))))))</f>
        <v/>
      </c>
      <c r="K93" s="97">
        <f>IF(OR(NOT(ISNUMBER($E93)),NOT(ISNUMBER($F93))),"",IF($F93&lt;=$E93*12/52*5,"OK","Over 5 weeks"))</f>
        <v/>
      </c>
      <c r="L93" s="52"/>
      <c r="M93" s="52"/>
      <c r="N93" s="122">
        <f>IF(OR($A93="",NOT(ISNUMBER($L93))),IF($A93="","","Not recorded"),IF(NOT(ISNUMBER($M93)),"Checked (no follow-up)",IF($M93&lt;TODAY(),"OVERDUE: follow-up check",IF($M93-TODAY()&lt;=60,"Follow-up due "&amp;TEXT($M93,"dd/mm/yyyy"),"Checked"))))</f>
        <v/>
      </c>
      <c r="O93" s="52"/>
      <c r="P93" s="52"/>
      <c r="Q93" s="122">
        <f>IF($A93="","",IF(NOT(ISNUMBER($D93)),"Enter start date",IF($D93&gt;=DATE(2026,5,1),IF(ISNUMBER($O93),"Complete","Missing: written terms"),IF(OR(ISNUMBER($P93),ISNUMBER($O93)),"Complete","Missing: Information Sheet (was due 31/05/2026)"))))</f>
        <v/>
      </c>
      <c r="R93" s="52"/>
      <c r="S93" s="82">
        <f>IF(ISNUMBER($R93),$R93+364,IF(ISNUMBER($D93),$D93+364,""))</f>
        <v/>
      </c>
      <c r="T93" s="52"/>
      <c r="U93" s="82">
        <f>IF(ISNUMBER($T93),IF(ISNUMBER($S93),MAX(EDATE($T93,2),$S93),EDATE($T93,2)),"")</f>
        <v/>
      </c>
      <c r="V93" s="52"/>
      <c r="W93" s="52"/>
      <c r="X93" s="121">
        <f>IF(NOT(ISNUMBER($V93)),"",IF(ISNUMBER($W93),IF($W93-$V93&lt;=28,"Answered in time","LATE: answered after day 28"),IF(TODAY()-$V93&gt;28,"OVERDUE: no reply yet","Reply due by "&amp;TEXT($V93+28,"dd/mm/yyyy"))))</f>
        <v/>
      </c>
      <c r="Y93" s="54"/>
    </row>
    <row r="94" spans="1:25">
      <c r="A94" s="54"/>
      <c r="B94" s="54"/>
      <c r="C94" s="51"/>
      <c r="D94" s="52"/>
      <c r="E94" s="120"/>
      <c r="F94" s="120"/>
      <c r="G94" s="52"/>
      <c r="H94" s="52"/>
      <c r="I94" s="52"/>
      <c r="J94" s="121">
        <f>IF(OR($A94="",NOT(ISNUMBER($F94))),"",IF($F94&lt;=0,"No deposit",IF(NOT(ISNUMBER($G94)),"Enter date received",IF(AND(ISNUMBER($H94),ISNUMBER($I94)),IF(MAX($H94,$I94)-$G94&lt;=29,"OK","LATE: protected / info served after day 30"),IF(TODAY()-$G94&gt;29,"OVERDUE: not protected / info not served","Protect + serve info by "&amp;TEXT($G94+29,"dd/mm/yyyy"))))))</f>
        <v/>
      </c>
      <c r="K94" s="97">
        <f>IF(OR(NOT(ISNUMBER($E94)),NOT(ISNUMBER($F94))),"",IF($F94&lt;=$E94*12/52*5,"OK","Over 5 weeks"))</f>
        <v/>
      </c>
      <c r="L94" s="52"/>
      <c r="M94" s="52"/>
      <c r="N94" s="122">
        <f>IF(OR($A94="",NOT(ISNUMBER($L94))),IF($A94="","","Not recorded"),IF(NOT(ISNUMBER($M94)),"Checked (no follow-up)",IF($M94&lt;TODAY(),"OVERDUE: follow-up check",IF($M94-TODAY()&lt;=60,"Follow-up due "&amp;TEXT($M94,"dd/mm/yyyy"),"Checked"))))</f>
        <v/>
      </c>
      <c r="O94" s="52"/>
      <c r="P94" s="52"/>
      <c r="Q94" s="122">
        <f>IF($A94="","",IF(NOT(ISNUMBER($D94)),"Enter start date",IF($D94&gt;=DATE(2026,5,1),IF(ISNUMBER($O94),"Complete","Missing: written terms"),IF(OR(ISNUMBER($P94),ISNUMBER($O94)),"Complete","Missing: Information Sheet (was due 31/05/2026)"))))</f>
        <v/>
      </c>
      <c r="R94" s="52"/>
      <c r="S94" s="82">
        <f>IF(ISNUMBER($R94),$R94+364,IF(ISNUMBER($D94),$D94+364,""))</f>
        <v/>
      </c>
      <c r="T94" s="52"/>
      <c r="U94" s="82">
        <f>IF(ISNUMBER($T94),IF(ISNUMBER($S94),MAX(EDATE($T94,2),$S94),EDATE($T94,2)),"")</f>
        <v/>
      </c>
      <c r="V94" s="52"/>
      <c r="W94" s="52"/>
      <c r="X94" s="121">
        <f>IF(NOT(ISNUMBER($V94)),"",IF(ISNUMBER($W94),IF($W94-$V94&lt;=28,"Answered in time","LATE: answered after day 28"),IF(TODAY()-$V94&gt;28,"OVERDUE: no reply yet","Reply due by "&amp;TEXT($V94+28,"dd/mm/yyyy"))))</f>
        <v/>
      </c>
      <c r="Y94" s="54"/>
    </row>
    <row r="95" spans="1:25">
      <c r="A95" s="54"/>
      <c r="B95" s="54"/>
      <c r="C95" s="51"/>
      <c r="D95" s="52"/>
      <c r="E95" s="120"/>
      <c r="F95" s="120"/>
      <c r="G95" s="52"/>
      <c r="H95" s="52"/>
      <c r="I95" s="52"/>
      <c r="J95" s="121">
        <f>IF(OR($A95="",NOT(ISNUMBER($F95))),"",IF($F95&lt;=0,"No deposit",IF(NOT(ISNUMBER($G95)),"Enter date received",IF(AND(ISNUMBER($H95),ISNUMBER($I95)),IF(MAX($H95,$I95)-$G95&lt;=29,"OK","LATE: protected / info served after day 30"),IF(TODAY()-$G95&gt;29,"OVERDUE: not protected / info not served","Protect + serve info by "&amp;TEXT($G95+29,"dd/mm/yyyy"))))))</f>
        <v/>
      </c>
      <c r="K95" s="97">
        <f>IF(OR(NOT(ISNUMBER($E95)),NOT(ISNUMBER($F95))),"",IF($F95&lt;=$E95*12/52*5,"OK","Over 5 weeks"))</f>
        <v/>
      </c>
      <c r="L95" s="52"/>
      <c r="M95" s="52"/>
      <c r="N95" s="122">
        <f>IF(OR($A95="",NOT(ISNUMBER($L95))),IF($A95="","","Not recorded"),IF(NOT(ISNUMBER($M95)),"Checked (no follow-up)",IF($M95&lt;TODAY(),"OVERDUE: follow-up check",IF($M95-TODAY()&lt;=60,"Follow-up due "&amp;TEXT($M95,"dd/mm/yyyy"),"Checked"))))</f>
        <v/>
      </c>
      <c r="O95" s="52"/>
      <c r="P95" s="52"/>
      <c r="Q95" s="122">
        <f>IF($A95="","",IF(NOT(ISNUMBER($D95)),"Enter start date",IF($D95&gt;=DATE(2026,5,1),IF(ISNUMBER($O95),"Complete","Missing: written terms"),IF(OR(ISNUMBER($P95),ISNUMBER($O95)),"Complete","Missing: Information Sheet (was due 31/05/2026)"))))</f>
        <v/>
      </c>
      <c r="R95" s="52"/>
      <c r="S95" s="82">
        <f>IF(ISNUMBER($R95),$R95+364,IF(ISNUMBER($D95),$D95+364,""))</f>
        <v/>
      </c>
      <c r="T95" s="52"/>
      <c r="U95" s="82">
        <f>IF(ISNUMBER($T95),IF(ISNUMBER($S95),MAX(EDATE($T95,2),$S95),EDATE($T95,2)),"")</f>
        <v/>
      </c>
      <c r="V95" s="52"/>
      <c r="W95" s="52"/>
      <c r="X95" s="121">
        <f>IF(NOT(ISNUMBER($V95)),"",IF(ISNUMBER($W95),IF($W95-$V95&lt;=28,"Answered in time","LATE: answered after day 28"),IF(TODAY()-$V95&gt;28,"OVERDUE: no reply yet","Reply due by "&amp;TEXT($V95+28,"dd/mm/yyyy"))))</f>
        <v/>
      </c>
      <c r="Y95" s="54"/>
    </row>
    <row r="96" spans="1:25">
      <c r="A96" s="54"/>
      <c r="B96" s="54"/>
      <c r="C96" s="51"/>
      <c r="D96" s="52"/>
      <c r="E96" s="120"/>
      <c r="F96" s="120"/>
      <c r="G96" s="52"/>
      <c r="H96" s="52"/>
      <c r="I96" s="52"/>
      <c r="J96" s="121">
        <f>IF(OR($A96="",NOT(ISNUMBER($F96))),"",IF($F96&lt;=0,"No deposit",IF(NOT(ISNUMBER($G96)),"Enter date received",IF(AND(ISNUMBER($H96),ISNUMBER($I96)),IF(MAX($H96,$I96)-$G96&lt;=29,"OK","LATE: protected / info served after day 30"),IF(TODAY()-$G96&gt;29,"OVERDUE: not protected / info not served","Protect + serve info by "&amp;TEXT($G96+29,"dd/mm/yyyy"))))))</f>
        <v/>
      </c>
      <c r="K96" s="97">
        <f>IF(OR(NOT(ISNUMBER($E96)),NOT(ISNUMBER($F96))),"",IF($F96&lt;=$E96*12/52*5,"OK","Over 5 weeks"))</f>
        <v/>
      </c>
      <c r="L96" s="52"/>
      <c r="M96" s="52"/>
      <c r="N96" s="122">
        <f>IF(OR($A96="",NOT(ISNUMBER($L96))),IF($A96="","","Not recorded"),IF(NOT(ISNUMBER($M96)),"Checked (no follow-up)",IF($M96&lt;TODAY(),"OVERDUE: follow-up check",IF($M96-TODAY()&lt;=60,"Follow-up due "&amp;TEXT($M96,"dd/mm/yyyy"),"Checked"))))</f>
        <v/>
      </c>
      <c r="O96" s="52"/>
      <c r="P96" s="52"/>
      <c r="Q96" s="122">
        <f>IF($A96="","",IF(NOT(ISNUMBER($D96)),"Enter start date",IF($D96&gt;=DATE(2026,5,1),IF(ISNUMBER($O96),"Complete","Missing: written terms"),IF(OR(ISNUMBER($P96),ISNUMBER($O96)),"Complete","Missing: Information Sheet (was due 31/05/2026)"))))</f>
        <v/>
      </c>
      <c r="R96" s="52"/>
      <c r="S96" s="82">
        <f>IF(ISNUMBER($R96),$R96+364,IF(ISNUMBER($D96),$D96+364,""))</f>
        <v/>
      </c>
      <c r="T96" s="52"/>
      <c r="U96" s="82">
        <f>IF(ISNUMBER($T96),IF(ISNUMBER($S96),MAX(EDATE($T96,2),$S96),EDATE($T96,2)),"")</f>
        <v/>
      </c>
      <c r="V96" s="52"/>
      <c r="W96" s="52"/>
      <c r="X96" s="121">
        <f>IF(NOT(ISNUMBER($V96)),"",IF(ISNUMBER($W96),IF($W96-$V96&lt;=28,"Answered in time","LATE: answered after day 28"),IF(TODAY()-$V96&gt;28,"OVERDUE: no reply yet","Reply due by "&amp;TEXT($V96+28,"dd/mm/yyyy"))))</f>
        <v/>
      </c>
      <c r="Y96" s="54"/>
    </row>
    <row r="97" spans="1:25">
      <c r="A97" s="54"/>
      <c r="B97" s="54"/>
      <c r="C97" s="51"/>
      <c r="D97" s="52"/>
      <c r="E97" s="120"/>
      <c r="F97" s="120"/>
      <c r="G97" s="52"/>
      <c r="H97" s="52"/>
      <c r="I97" s="52"/>
      <c r="J97" s="121">
        <f>IF(OR($A97="",NOT(ISNUMBER($F97))),"",IF($F97&lt;=0,"No deposit",IF(NOT(ISNUMBER($G97)),"Enter date received",IF(AND(ISNUMBER($H97),ISNUMBER($I97)),IF(MAX($H97,$I97)-$G97&lt;=29,"OK","LATE: protected / info served after day 30"),IF(TODAY()-$G97&gt;29,"OVERDUE: not protected / info not served","Protect + serve info by "&amp;TEXT($G97+29,"dd/mm/yyyy"))))))</f>
        <v/>
      </c>
      <c r="K97" s="97">
        <f>IF(OR(NOT(ISNUMBER($E97)),NOT(ISNUMBER($F97))),"",IF($F97&lt;=$E97*12/52*5,"OK","Over 5 weeks"))</f>
        <v/>
      </c>
      <c r="L97" s="52"/>
      <c r="M97" s="52"/>
      <c r="N97" s="122">
        <f>IF(OR($A97="",NOT(ISNUMBER($L97))),IF($A97="","","Not recorded"),IF(NOT(ISNUMBER($M97)),"Checked (no follow-up)",IF($M97&lt;TODAY(),"OVERDUE: follow-up check",IF($M97-TODAY()&lt;=60,"Follow-up due "&amp;TEXT($M97,"dd/mm/yyyy"),"Checked"))))</f>
        <v/>
      </c>
      <c r="O97" s="52"/>
      <c r="P97" s="52"/>
      <c r="Q97" s="122">
        <f>IF($A97="","",IF(NOT(ISNUMBER($D97)),"Enter start date",IF($D97&gt;=DATE(2026,5,1),IF(ISNUMBER($O97),"Complete","Missing: written terms"),IF(OR(ISNUMBER($P97),ISNUMBER($O97)),"Complete","Missing: Information Sheet (was due 31/05/2026)"))))</f>
        <v/>
      </c>
      <c r="R97" s="52"/>
      <c r="S97" s="82">
        <f>IF(ISNUMBER($R97),$R97+364,IF(ISNUMBER($D97),$D97+364,""))</f>
        <v/>
      </c>
      <c r="T97" s="52"/>
      <c r="U97" s="82">
        <f>IF(ISNUMBER($T97),IF(ISNUMBER($S97),MAX(EDATE($T97,2),$S97),EDATE($T97,2)),"")</f>
        <v/>
      </c>
      <c r="V97" s="52"/>
      <c r="W97" s="52"/>
      <c r="X97" s="121">
        <f>IF(NOT(ISNUMBER($V97)),"",IF(ISNUMBER($W97),IF($W97-$V97&lt;=28,"Answered in time","LATE: answered after day 28"),IF(TODAY()-$V97&gt;28,"OVERDUE: no reply yet","Reply due by "&amp;TEXT($V97+28,"dd/mm/yyyy"))))</f>
        <v/>
      </c>
      <c r="Y97" s="54"/>
    </row>
    <row r="98" spans="1:25">
      <c r="A98" s="54"/>
      <c r="B98" s="54"/>
      <c r="C98" s="51"/>
      <c r="D98" s="52"/>
      <c r="E98" s="120"/>
      <c r="F98" s="120"/>
      <c r="G98" s="52"/>
      <c r="H98" s="52"/>
      <c r="I98" s="52"/>
      <c r="J98" s="121">
        <f>IF(OR($A98="",NOT(ISNUMBER($F98))),"",IF($F98&lt;=0,"No deposit",IF(NOT(ISNUMBER($G98)),"Enter date received",IF(AND(ISNUMBER($H98),ISNUMBER($I98)),IF(MAX($H98,$I98)-$G98&lt;=29,"OK","LATE: protected / info served after day 30"),IF(TODAY()-$G98&gt;29,"OVERDUE: not protected / info not served","Protect + serve info by "&amp;TEXT($G98+29,"dd/mm/yyyy"))))))</f>
        <v/>
      </c>
      <c r="K98" s="97">
        <f>IF(OR(NOT(ISNUMBER($E98)),NOT(ISNUMBER($F98))),"",IF($F98&lt;=$E98*12/52*5,"OK","Over 5 weeks"))</f>
        <v/>
      </c>
      <c r="L98" s="52"/>
      <c r="M98" s="52"/>
      <c r="N98" s="122">
        <f>IF(OR($A98="",NOT(ISNUMBER($L98))),IF($A98="","","Not recorded"),IF(NOT(ISNUMBER($M98)),"Checked (no follow-up)",IF($M98&lt;TODAY(),"OVERDUE: follow-up check",IF($M98-TODAY()&lt;=60,"Follow-up due "&amp;TEXT($M98,"dd/mm/yyyy"),"Checked"))))</f>
        <v/>
      </c>
      <c r="O98" s="52"/>
      <c r="P98" s="52"/>
      <c r="Q98" s="122">
        <f>IF($A98="","",IF(NOT(ISNUMBER($D98)),"Enter start date",IF($D98&gt;=DATE(2026,5,1),IF(ISNUMBER($O98),"Complete","Missing: written terms"),IF(OR(ISNUMBER($P98),ISNUMBER($O98)),"Complete","Missing: Information Sheet (was due 31/05/2026)"))))</f>
        <v/>
      </c>
      <c r="R98" s="52"/>
      <c r="S98" s="82">
        <f>IF(ISNUMBER($R98),$R98+364,IF(ISNUMBER($D98),$D98+364,""))</f>
        <v/>
      </c>
      <c r="T98" s="52"/>
      <c r="U98" s="82">
        <f>IF(ISNUMBER($T98),IF(ISNUMBER($S98),MAX(EDATE($T98,2),$S98),EDATE($T98,2)),"")</f>
        <v/>
      </c>
      <c r="V98" s="52"/>
      <c r="W98" s="52"/>
      <c r="X98" s="121">
        <f>IF(NOT(ISNUMBER($V98)),"",IF(ISNUMBER($W98),IF($W98-$V98&lt;=28,"Answered in time","LATE: answered after day 28"),IF(TODAY()-$V98&gt;28,"OVERDUE: no reply yet","Reply due by "&amp;TEXT($V98+28,"dd/mm/yyyy"))))</f>
        <v/>
      </c>
      <c r="Y98" s="54"/>
    </row>
    <row r="99" spans="1:25">
      <c r="A99" s="54"/>
      <c r="B99" s="54"/>
      <c r="C99" s="51"/>
      <c r="D99" s="52"/>
      <c r="E99" s="120"/>
      <c r="F99" s="120"/>
      <c r="G99" s="52"/>
      <c r="H99" s="52"/>
      <c r="I99" s="52"/>
      <c r="J99" s="121">
        <f>IF(OR($A99="",NOT(ISNUMBER($F99))),"",IF($F99&lt;=0,"No deposit",IF(NOT(ISNUMBER($G99)),"Enter date received",IF(AND(ISNUMBER($H99),ISNUMBER($I99)),IF(MAX($H99,$I99)-$G99&lt;=29,"OK","LATE: protected / info served after day 30"),IF(TODAY()-$G99&gt;29,"OVERDUE: not protected / info not served","Protect + serve info by "&amp;TEXT($G99+29,"dd/mm/yyyy"))))))</f>
        <v/>
      </c>
      <c r="K99" s="97">
        <f>IF(OR(NOT(ISNUMBER($E99)),NOT(ISNUMBER($F99))),"",IF($F99&lt;=$E99*12/52*5,"OK","Over 5 weeks"))</f>
        <v/>
      </c>
      <c r="L99" s="52"/>
      <c r="M99" s="52"/>
      <c r="N99" s="122">
        <f>IF(OR($A99="",NOT(ISNUMBER($L99))),IF($A99="","","Not recorded"),IF(NOT(ISNUMBER($M99)),"Checked (no follow-up)",IF($M99&lt;TODAY(),"OVERDUE: follow-up check",IF($M99-TODAY()&lt;=60,"Follow-up due "&amp;TEXT($M99,"dd/mm/yyyy"),"Checked"))))</f>
        <v/>
      </c>
      <c r="O99" s="52"/>
      <c r="P99" s="52"/>
      <c r="Q99" s="122">
        <f>IF($A99="","",IF(NOT(ISNUMBER($D99)),"Enter start date",IF($D99&gt;=DATE(2026,5,1),IF(ISNUMBER($O99),"Complete","Missing: written terms"),IF(OR(ISNUMBER($P99),ISNUMBER($O99)),"Complete","Missing: Information Sheet (was due 31/05/2026)"))))</f>
        <v/>
      </c>
      <c r="R99" s="52"/>
      <c r="S99" s="82">
        <f>IF(ISNUMBER($R99),$R99+364,IF(ISNUMBER($D99),$D99+364,""))</f>
        <v/>
      </c>
      <c r="T99" s="52"/>
      <c r="U99" s="82">
        <f>IF(ISNUMBER($T99),IF(ISNUMBER($S99),MAX(EDATE($T99,2),$S99),EDATE($T99,2)),"")</f>
        <v/>
      </c>
      <c r="V99" s="52"/>
      <c r="W99" s="52"/>
      <c r="X99" s="121">
        <f>IF(NOT(ISNUMBER($V99)),"",IF(ISNUMBER($W99),IF($W99-$V99&lt;=28,"Answered in time","LATE: answered after day 28"),IF(TODAY()-$V99&gt;28,"OVERDUE: no reply yet","Reply due by "&amp;TEXT($V99+28,"dd/mm/yyyy"))))</f>
        <v/>
      </c>
      <c r="Y99" s="54"/>
    </row>
    <row r="100" spans="1:25">
      <c r="A100" s="54"/>
      <c r="B100" s="54"/>
      <c r="C100" s="51"/>
      <c r="D100" s="52"/>
      <c r="E100" s="120"/>
      <c r="F100" s="120"/>
      <c r="G100" s="52"/>
      <c r="H100" s="52"/>
      <c r="I100" s="52"/>
      <c r="J100" s="121">
        <f>IF(OR($A100="",NOT(ISNUMBER($F100))),"",IF($F100&lt;=0,"No deposit",IF(NOT(ISNUMBER($G100)),"Enter date received",IF(AND(ISNUMBER($H100),ISNUMBER($I100)),IF(MAX($H100,$I100)-$G100&lt;=29,"OK","LATE: protected / info served after day 30"),IF(TODAY()-$G100&gt;29,"OVERDUE: not protected / info not served","Protect + serve info by "&amp;TEXT($G100+29,"dd/mm/yyyy"))))))</f>
        <v/>
      </c>
      <c r="K100" s="97">
        <f>IF(OR(NOT(ISNUMBER($E100)),NOT(ISNUMBER($F100))),"",IF($F100&lt;=$E100*12/52*5,"OK","Over 5 weeks"))</f>
        <v/>
      </c>
      <c r="L100" s="52"/>
      <c r="M100" s="52"/>
      <c r="N100" s="122">
        <f>IF(OR($A100="",NOT(ISNUMBER($L100))),IF($A100="","","Not recorded"),IF(NOT(ISNUMBER($M100)),"Checked (no follow-up)",IF($M100&lt;TODAY(),"OVERDUE: follow-up check",IF($M100-TODAY()&lt;=60,"Follow-up due "&amp;TEXT($M100,"dd/mm/yyyy"),"Checked"))))</f>
        <v/>
      </c>
      <c r="O100" s="52"/>
      <c r="P100" s="52"/>
      <c r="Q100" s="122">
        <f>IF($A100="","",IF(NOT(ISNUMBER($D100)),"Enter start date",IF($D100&gt;=DATE(2026,5,1),IF(ISNUMBER($O100),"Complete","Missing: written terms"),IF(OR(ISNUMBER($P100),ISNUMBER($O100)),"Complete","Missing: Information Sheet (was due 31/05/2026)"))))</f>
        <v/>
      </c>
      <c r="R100" s="52"/>
      <c r="S100" s="82">
        <f>IF(ISNUMBER($R100),$R100+364,IF(ISNUMBER($D100),$D100+364,""))</f>
        <v/>
      </c>
      <c r="T100" s="52"/>
      <c r="U100" s="82">
        <f>IF(ISNUMBER($T100),IF(ISNUMBER($S100),MAX(EDATE($T100,2),$S100),EDATE($T100,2)),"")</f>
        <v/>
      </c>
      <c r="V100" s="52"/>
      <c r="W100" s="52"/>
      <c r="X100" s="121">
        <f>IF(NOT(ISNUMBER($V100)),"",IF(ISNUMBER($W100),IF($W100-$V100&lt;=28,"Answered in time","LATE: answered after day 28"),IF(TODAY()-$V100&gt;28,"OVERDUE: no reply yet","Reply due by "&amp;TEXT($V100+28,"dd/mm/yyyy"))))</f>
        <v/>
      </c>
      <c r="Y100" s="54"/>
    </row>
    <row r="101" spans="1:25">
      <c r="A101" s="54"/>
      <c r="B101" s="54"/>
      <c r="C101" s="51"/>
      <c r="D101" s="52"/>
      <c r="E101" s="120"/>
      <c r="F101" s="120"/>
      <c r="G101" s="52"/>
      <c r="H101" s="52"/>
      <c r="I101" s="52"/>
      <c r="J101" s="121">
        <f>IF(OR($A101="",NOT(ISNUMBER($F101))),"",IF($F101&lt;=0,"No deposit",IF(NOT(ISNUMBER($G101)),"Enter date received",IF(AND(ISNUMBER($H101),ISNUMBER($I101)),IF(MAX($H101,$I101)-$G101&lt;=29,"OK","LATE: protected / info served after day 30"),IF(TODAY()-$G101&gt;29,"OVERDUE: not protected / info not served","Protect + serve info by "&amp;TEXT($G101+29,"dd/mm/yyyy"))))))</f>
        <v/>
      </c>
      <c r="K101" s="97">
        <f>IF(OR(NOT(ISNUMBER($E101)),NOT(ISNUMBER($F101))),"",IF($F101&lt;=$E101*12/52*5,"OK","Over 5 weeks"))</f>
        <v/>
      </c>
      <c r="L101" s="52"/>
      <c r="M101" s="52"/>
      <c r="N101" s="122">
        <f>IF(OR($A101="",NOT(ISNUMBER($L101))),IF($A101="","","Not recorded"),IF(NOT(ISNUMBER($M101)),"Checked (no follow-up)",IF($M101&lt;TODAY(),"OVERDUE: follow-up check",IF($M101-TODAY()&lt;=60,"Follow-up due "&amp;TEXT($M101,"dd/mm/yyyy"),"Checked"))))</f>
        <v/>
      </c>
      <c r="O101" s="52"/>
      <c r="P101" s="52"/>
      <c r="Q101" s="122">
        <f>IF($A101="","",IF(NOT(ISNUMBER($D101)),"Enter start date",IF($D101&gt;=DATE(2026,5,1),IF(ISNUMBER($O101),"Complete","Missing: written terms"),IF(OR(ISNUMBER($P101),ISNUMBER($O101)),"Complete","Missing: Information Sheet (was due 31/05/2026)"))))</f>
        <v/>
      </c>
      <c r="R101" s="52"/>
      <c r="S101" s="82">
        <f>IF(ISNUMBER($R101),$R101+364,IF(ISNUMBER($D101),$D101+364,""))</f>
        <v/>
      </c>
      <c r="T101" s="52"/>
      <c r="U101" s="82">
        <f>IF(ISNUMBER($T101),IF(ISNUMBER($S101),MAX(EDATE($T101,2),$S101),EDATE($T101,2)),"")</f>
        <v/>
      </c>
      <c r="V101" s="52"/>
      <c r="W101" s="52"/>
      <c r="X101" s="121">
        <f>IF(NOT(ISNUMBER($V101)),"",IF(ISNUMBER($W101),IF($W101-$V101&lt;=28,"Answered in time","LATE: answered after day 28"),IF(TODAY()-$V101&gt;28,"OVERDUE: no reply yet","Reply due by "&amp;TEXT($V101+28,"dd/mm/yyyy"))))</f>
        <v/>
      </c>
      <c r="Y101" s="54"/>
    </row>
    <row r="102" spans="1:25">
      <c r="A102" s="54"/>
      <c r="B102" s="54"/>
      <c r="C102" s="51"/>
      <c r="D102" s="52"/>
      <c r="E102" s="120"/>
      <c r="F102" s="120"/>
      <c r="G102" s="52"/>
      <c r="H102" s="52"/>
      <c r="I102" s="52"/>
      <c r="J102" s="121">
        <f>IF(OR($A102="",NOT(ISNUMBER($F102))),"",IF($F102&lt;=0,"No deposit",IF(NOT(ISNUMBER($G102)),"Enter date received",IF(AND(ISNUMBER($H102),ISNUMBER($I102)),IF(MAX($H102,$I102)-$G102&lt;=29,"OK","LATE: protected / info served after day 30"),IF(TODAY()-$G102&gt;29,"OVERDUE: not protected / info not served","Protect + serve info by "&amp;TEXT($G102+29,"dd/mm/yyyy"))))))</f>
        <v/>
      </c>
      <c r="K102" s="97">
        <f>IF(OR(NOT(ISNUMBER($E102)),NOT(ISNUMBER($F102))),"",IF($F102&lt;=$E102*12/52*5,"OK","Over 5 weeks"))</f>
        <v/>
      </c>
      <c r="L102" s="52"/>
      <c r="M102" s="52"/>
      <c r="N102" s="122">
        <f>IF(OR($A102="",NOT(ISNUMBER($L102))),IF($A102="","","Not recorded"),IF(NOT(ISNUMBER($M102)),"Checked (no follow-up)",IF($M102&lt;TODAY(),"OVERDUE: follow-up check",IF($M102-TODAY()&lt;=60,"Follow-up due "&amp;TEXT($M102,"dd/mm/yyyy"),"Checked"))))</f>
        <v/>
      </c>
      <c r="O102" s="52"/>
      <c r="P102" s="52"/>
      <c r="Q102" s="122">
        <f>IF($A102="","",IF(NOT(ISNUMBER($D102)),"Enter start date",IF($D102&gt;=DATE(2026,5,1),IF(ISNUMBER($O102),"Complete","Missing: written terms"),IF(OR(ISNUMBER($P102),ISNUMBER($O102)),"Complete","Missing: Information Sheet (was due 31/05/2026)"))))</f>
        <v/>
      </c>
      <c r="R102" s="52"/>
      <c r="S102" s="82">
        <f>IF(ISNUMBER($R102),$R102+364,IF(ISNUMBER($D102),$D102+364,""))</f>
        <v/>
      </c>
      <c r="T102" s="52"/>
      <c r="U102" s="82">
        <f>IF(ISNUMBER($T102),IF(ISNUMBER($S102),MAX(EDATE($T102,2),$S102),EDATE($T102,2)),"")</f>
        <v/>
      </c>
      <c r="V102" s="52"/>
      <c r="W102" s="52"/>
      <c r="X102" s="121">
        <f>IF(NOT(ISNUMBER($V102)),"",IF(ISNUMBER($W102),IF($W102-$V102&lt;=28,"Answered in time","LATE: answered after day 28"),IF(TODAY()-$V102&gt;28,"OVERDUE: no reply yet","Reply due by "&amp;TEXT($V102+28,"dd/mm/yyyy"))))</f>
        <v/>
      </c>
      <c r="Y102" s="54"/>
    </row>
    <row r="103" spans="1:25">
      <c r="A103" s="54"/>
      <c r="B103" s="54"/>
      <c r="C103" s="51"/>
      <c r="D103" s="52"/>
      <c r="E103" s="120"/>
      <c r="F103" s="120"/>
      <c r="G103" s="52"/>
      <c r="H103" s="52"/>
      <c r="I103" s="52"/>
      <c r="J103" s="121">
        <f>IF(OR($A103="",NOT(ISNUMBER($F103))),"",IF($F103&lt;=0,"No deposit",IF(NOT(ISNUMBER($G103)),"Enter date received",IF(AND(ISNUMBER($H103),ISNUMBER($I103)),IF(MAX($H103,$I103)-$G103&lt;=29,"OK","LATE: protected / info served after day 30"),IF(TODAY()-$G103&gt;29,"OVERDUE: not protected / info not served","Protect + serve info by "&amp;TEXT($G103+29,"dd/mm/yyyy"))))))</f>
        <v/>
      </c>
      <c r="K103" s="97">
        <f>IF(OR(NOT(ISNUMBER($E103)),NOT(ISNUMBER($F103))),"",IF($F103&lt;=$E103*12/52*5,"OK","Over 5 weeks"))</f>
        <v/>
      </c>
      <c r="L103" s="52"/>
      <c r="M103" s="52"/>
      <c r="N103" s="122">
        <f>IF(OR($A103="",NOT(ISNUMBER($L103))),IF($A103="","","Not recorded"),IF(NOT(ISNUMBER($M103)),"Checked (no follow-up)",IF($M103&lt;TODAY(),"OVERDUE: follow-up check",IF($M103-TODAY()&lt;=60,"Follow-up due "&amp;TEXT($M103,"dd/mm/yyyy"),"Checked"))))</f>
        <v/>
      </c>
      <c r="O103" s="52"/>
      <c r="P103" s="52"/>
      <c r="Q103" s="122">
        <f>IF($A103="","",IF(NOT(ISNUMBER($D103)),"Enter start date",IF($D103&gt;=DATE(2026,5,1),IF(ISNUMBER($O103),"Complete","Missing: written terms"),IF(OR(ISNUMBER($P103),ISNUMBER($O103)),"Complete","Missing: Information Sheet (was due 31/05/2026)"))))</f>
        <v/>
      </c>
      <c r="R103" s="52"/>
      <c r="S103" s="82">
        <f>IF(ISNUMBER($R103),$R103+364,IF(ISNUMBER($D103),$D103+364,""))</f>
        <v/>
      </c>
      <c r="T103" s="52"/>
      <c r="U103" s="82">
        <f>IF(ISNUMBER($T103),IF(ISNUMBER($S103),MAX(EDATE($T103,2),$S103),EDATE($T103,2)),"")</f>
        <v/>
      </c>
      <c r="V103" s="52"/>
      <c r="W103" s="52"/>
      <c r="X103" s="121">
        <f>IF(NOT(ISNUMBER($V103)),"",IF(ISNUMBER($W103),IF($W103-$V103&lt;=28,"Answered in time","LATE: answered after day 28"),IF(TODAY()-$V103&gt;28,"OVERDUE: no reply yet","Reply due by "&amp;TEXT($V103+28,"dd/mm/yyyy"))))</f>
        <v/>
      </c>
      <c r="Y103" s="54"/>
    </row>
    <row r="104" spans="1:25">
      <c r="A104" s="54"/>
      <c r="B104" s="54"/>
      <c r="C104" s="51"/>
      <c r="D104" s="52"/>
      <c r="E104" s="120"/>
      <c r="F104" s="120"/>
      <c r="G104" s="52"/>
      <c r="H104" s="52"/>
      <c r="I104" s="52"/>
      <c r="J104" s="121">
        <f>IF(OR($A104="",NOT(ISNUMBER($F104))),"",IF($F104&lt;=0,"No deposit",IF(NOT(ISNUMBER($G104)),"Enter date received",IF(AND(ISNUMBER($H104),ISNUMBER($I104)),IF(MAX($H104,$I104)-$G104&lt;=29,"OK","LATE: protected / info served after day 30"),IF(TODAY()-$G104&gt;29,"OVERDUE: not protected / info not served","Protect + serve info by "&amp;TEXT($G104+29,"dd/mm/yyyy"))))))</f>
        <v/>
      </c>
      <c r="K104" s="97">
        <f>IF(OR(NOT(ISNUMBER($E104)),NOT(ISNUMBER($F104))),"",IF($F104&lt;=$E104*12/52*5,"OK","Over 5 weeks"))</f>
        <v/>
      </c>
      <c r="L104" s="52"/>
      <c r="M104" s="52"/>
      <c r="N104" s="122">
        <f>IF(OR($A104="",NOT(ISNUMBER($L104))),IF($A104="","","Not recorded"),IF(NOT(ISNUMBER($M104)),"Checked (no follow-up)",IF($M104&lt;TODAY(),"OVERDUE: follow-up check",IF($M104-TODAY()&lt;=60,"Follow-up due "&amp;TEXT($M104,"dd/mm/yyyy"),"Checked"))))</f>
        <v/>
      </c>
      <c r="O104" s="52"/>
      <c r="P104" s="52"/>
      <c r="Q104" s="122">
        <f>IF($A104="","",IF(NOT(ISNUMBER($D104)),"Enter start date",IF($D104&gt;=DATE(2026,5,1),IF(ISNUMBER($O104),"Complete","Missing: written terms"),IF(OR(ISNUMBER($P104),ISNUMBER($O104)),"Complete","Missing: Information Sheet (was due 31/05/2026)"))))</f>
        <v/>
      </c>
      <c r="R104" s="52"/>
      <c r="S104" s="82">
        <f>IF(ISNUMBER($R104),$R104+364,IF(ISNUMBER($D104),$D104+364,""))</f>
        <v/>
      </c>
      <c r="T104" s="52"/>
      <c r="U104" s="82">
        <f>IF(ISNUMBER($T104),IF(ISNUMBER($S104),MAX(EDATE($T104,2),$S104),EDATE($T104,2)),"")</f>
        <v/>
      </c>
      <c r="V104" s="52"/>
      <c r="W104" s="52"/>
      <c r="X104" s="121">
        <f>IF(NOT(ISNUMBER($V104)),"",IF(ISNUMBER($W104),IF($W104-$V104&lt;=28,"Answered in time","LATE: answered after day 28"),IF(TODAY()-$V104&gt;28,"OVERDUE: no reply yet","Reply due by "&amp;TEXT($V104+28,"dd/mm/yyyy"))))</f>
        <v/>
      </c>
      <c r="Y104" s="54"/>
    </row>
    <row r="105" spans="1:25">
      <c r="A105" s="54"/>
      <c r="B105" s="54"/>
      <c r="C105" s="51"/>
      <c r="D105" s="52"/>
      <c r="E105" s="120"/>
      <c r="F105" s="120"/>
      <c r="G105" s="52"/>
      <c r="H105" s="52"/>
      <c r="I105" s="52"/>
      <c r="J105" s="121">
        <f>IF(OR($A105="",NOT(ISNUMBER($F105))),"",IF($F105&lt;=0,"No deposit",IF(NOT(ISNUMBER($G105)),"Enter date received",IF(AND(ISNUMBER($H105),ISNUMBER($I105)),IF(MAX($H105,$I105)-$G105&lt;=29,"OK","LATE: protected / info served after day 30"),IF(TODAY()-$G105&gt;29,"OVERDUE: not protected / info not served","Protect + serve info by "&amp;TEXT($G105+29,"dd/mm/yyyy"))))))</f>
        <v/>
      </c>
      <c r="K105" s="97">
        <f>IF(OR(NOT(ISNUMBER($E105)),NOT(ISNUMBER($F105))),"",IF($F105&lt;=$E105*12/52*5,"OK","Over 5 weeks"))</f>
        <v/>
      </c>
      <c r="L105" s="52"/>
      <c r="M105" s="52"/>
      <c r="N105" s="122">
        <f>IF(OR($A105="",NOT(ISNUMBER($L105))),IF($A105="","","Not recorded"),IF(NOT(ISNUMBER($M105)),"Checked (no follow-up)",IF($M105&lt;TODAY(),"OVERDUE: follow-up check",IF($M105-TODAY()&lt;=60,"Follow-up due "&amp;TEXT($M105,"dd/mm/yyyy"),"Checked"))))</f>
        <v/>
      </c>
      <c r="O105" s="52"/>
      <c r="P105" s="52"/>
      <c r="Q105" s="122">
        <f>IF($A105="","",IF(NOT(ISNUMBER($D105)),"Enter start date",IF($D105&gt;=DATE(2026,5,1),IF(ISNUMBER($O105),"Complete","Missing: written terms"),IF(OR(ISNUMBER($P105),ISNUMBER($O105)),"Complete","Missing: Information Sheet (was due 31/05/2026)"))))</f>
        <v/>
      </c>
      <c r="R105" s="52"/>
      <c r="S105" s="82">
        <f>IF(ISNUMBER($R105),$R105+364,IF(ISNUMBER($D105),$D105+364,""))</f>
        <v/>
      </c>
      <c r="T105" s="52"/>
      <c r="U105" s="82">
        <f>IF(ISNUMBER($T105),IF(ISNUMBER($S105),MAX(EDATE($T105,2),$S105),EDATE($T105,2)),"")</f>
        <v/>
      </c>
      <c r="V105" s="52"/>
      <c r="W105" s="52"/>
      <c r="X105" s="121">
        <f>IF(NOT(ISNUMBER($V105)),"",IF(ISNUMBER($W105),IF($W105-$V105&lt;=28,"Answered in time","LATE: answered after day 28"),IF(TODAY()-$V105&gt;28,"OVERDUE: no reply yet","Reply due by "&amp;TEXT($V105+28,"dd/mm/yyyy"))))</f>
        <v/>
      </c>
      <c r="Y105" s="54"/>
    </row>
    <row r="106" spans="1:25">
      <c r="A106" s="54"/>
      <c r="B106" s="54"/>
      <c r="C106" s="51"/>
      <c r="D106" s="52"/>
      <c r="E106" s="120"/>
      <c r="F106" s="120"/>
      <c r="G106" s="52"/>
      <c r="H106" s="52"/>
      <c r="I106" s="52"/>
      <c r="J106" s="121">
        <f>IF(OR($A106="",NOT(ISNUMBER($F106))),"",IF($F106&lt;=0,"No deposit",IF(NOT(ISNUMBER($G106)),"Enter date received",IF(AND(ISNUMBER($H106),ISNUMBER($I106)),IF(MAX($H106,$I106)-$G106&lt;=29,"OK","LATE: protected / info served after day 30"),IF(TODAY()-$G106&gt;29,"OVERDUE: not protected / info not served","Protect + serve info by "&amp;TEXT($G106+29,"dd/mm/yyyy"))))))</f>
        <v/>
      </c>
      <c r="K106" s="97">
        <f>IF(OR(NOT(ISNUMBER($E106)),NOT(ISNUMBER($F106))),"",IF($F106&lt;=$E106*12/52*5,"OK","Over 5 weeks"))</f>
        <v/>
      </c>
      <c r="L106" s="52"/>
      <c r="M106" s="52"/>
      <c r="N106" s="122">
        <f>IF(OR($A106="",NOT(ISNUMBER($L106))),IF($A106="","","Not recorded"),IF(NOT(ISNUMBER($M106)),"Checked (no follow-up)",IF($M106&lt;TODAY(),"OVERDUE: follow-up check",IF($M106-TODAY()&lt;=60,"Follow-up due "&amp;TEXT($M106,"dd/mm/yyyy"),"Checked"))))</f>
        <v/>
      </c>
      <c r="O106" s="52"/>
      <c r="P106" s="52"/>
      <c r="Q106" s="122">
        <f>IF($A106="","",IF(NOT(ISNUMBER($D106)),"Enter start date",IF($D106&gt;=DATE(2026,5,1),IF(ISNUMBER($O106),"Complete","Missing: written terms"),IF(OR(ISNUMBER($P106),ISNUMBER($O106)),"Complete","Missing: Information Sheet (was due 31/05/2026)"))))</f>
        <v/>
      </c>
      <c r="R106" s="52"/>
      <c r="S106" s="82">
        <f>IF(ISNUMBER($R106),$R106+364,IF(ISNUMBER($D106),$D106+364,""))</f>
        <v/>
      </c>
      <c r="T106" s="52"/>
      <c r="U106" s="82">
        <f>IF(ISNUMBER($T106),IF(ISNUMBER($S106),MAX(EDATE($T106,2),$S106),EDATE($T106,2)),"")</f>
        <v/>
      </c>
      <c r="V106" s="52"/>
      <c r="W106" s="52"/>
      <c r="X106" s="121">
        <f>IF(NOT(ISNUMBER($V106)),"",IF(ISNUMBER($W106),IF($W106-$V106&lt;=28,"Answered in time","LATE: answered after day 28"),IF(TODAY()-$V106&gt;28,"OVERDUE: no reply yet","Reply due by "&amp;TEXT($V106+28,"dd/mm/yyyy"))))</f>
        <v/>
      </c>
      <c r="Y106" s="54"/>
    </row>
    <row r="107" spans="1:25">
      <c r="A107" s="54"/>
      <c r="B107" s="54"/>
      <c r="C107" s="51"/>
      <c r="D107" s="52"/>
      <c r="E107" s="120"/>
      <c r="F107" s="120"/>
      <c r="G107" s="52"/>
      <c r="H107" s="52"/>
      <c r="I107" s="52"/>
      <c r="J107" s="121">
        <f>IF(OR($A107="",NOT(ISNUMBER($F107))),"",IF($F107&lt;=0,"No deposit",IF(NOT(ISNUMBER($G107)),"Enter date received",IF(AND(ISNUMBER($H107),ISNUMBER($I107)),IF(MAX($H107,$I107)-$G107&lt;=29,"OK","LATE: protected / info served after day 30"),IF(TODAY()-$G107&gt;29,"OVERDUE: not protected / info not served","Protect + serve info by "&amp;TEXT($G107+29,"dd/mm/yyyy"))))))</f>
        <v/>
      </c>
      <c r="K107" s="97">
        <f>IF(OR(NOT(ISNUMBER($E107)),NOT(ISNUMBER($F107))),"",IF($F107&lt;=$E107*12/52*5,"OK","Over 5 weeks"))</f>
        <v/>
      </c>
      <c r="L107" s="52"/>
      <c r="M107" s="52"/>
      <c r="N107" s="122">
        <f>IF(OR($A107="",NOT(ISNUMBER($L107))),IF($A107="","","Not recorded"),IF(NOT(ISNUMBER($M107)),"Checked (no follow-up)",IF($M107&lt;TODAY(),"OVERDUE: follow-up check",IF($M107-TODAY()&lt;=60,"Follow-up due "&amp;TEXT($M107,"dd/mm/yyyy"),"Checked"))))</f>
        <v/>
      </c>
      <c r="O107" s="52"/>
      <c r="P107" s="52"/>
      <c r="Q107" s="122">
        <f>IF($A107="","",IF(NOT(ISNUMBER($D107)),"Enter start date",IF($D107&gt;=DATE(2026,5,1),IF(ISNUMBER($O107),"Complete","Missing: written terms"),IF(OR(ISNUMBER($P107),ISNUMBER($O107)),"Complete","Missing: Information Sheet (was due 31/05/2026)"))))</f>
        <v/>
      </c>
      <c r="R107" s="52"/>
      <c r="S107" s="82">
        <f>IF(ISNUMBER($R107),$R107+364,IF(ISNUMBER($D107),$D107+364,""))</f>
        <v/>
      </c>
      <c r="T107" s="52"/>
      <c r="U107" s="82">
        <f>IF(ISNUMBER($T107),IF(ISNUMBER($S107),MAX(EDATE($T107,2),$S107),EDATE($T107,2)),"")</f>
        <v/>
      </c>
      <c r="V107" s="52"/>
      <c r="W107" s="52"/>
      <c r="X107" s="121">
        <f>IF(NOT(ISNUMBER($V107)),"",IF(ISNUMBER($W107),IF($W107-$V107&lt;=28,"Answered in time","LATE: answered after day 28"),IF(TODAY()-$V107&gt;28,"OVERDUE: no reply yet","Reply due by "&amp;TEXT($V107+28,"dd/mm/yyyy"))))</f>
        <v/>
      </c>
      <c r="Y107" s="54"/>
    </row>
    <row r="108" spans="1:25">
      <c r="A108" s="54"/>
      <c r="B108" s="54"/>
      <c r="C108" s="51"/>
      <c r="D108" s="52"/>
      <c r="E108" s="120"/>
      <c r="F108" s="120"/>
      <c r="G108" s="52"/>
      <c r="H108" s="52"/>
      <c r="I108" s="52"/>
      <c r="J108" s="121">
        <f>IF(OR($A108="",NOT(ISNUMBER($F108))),"",IF($F108&lt;=0,"No deposit",IF(NOT(ISNUMBER($G108)),"Enter date received",IF(AND(ISNUMBER($H108),ISNUMBER($I108)),IF(MAX($H108,$I108)-$G108&lt;=29,"OK","LATE: protected / info served after day 30"),IF(TODAY()-$G108&gt;29,"OVERDUE: not protected / info not served","Protect + serve info by "&amp;TEXT($G108+29,"dd/mm/yyyy"))))))</f>
        <v/>
      </c>
      <c r="K108" s="97">
        <f>IF(OR(NOT(ISNUMBER($E108)),NOT(ISNUMBER($F108))),"",IF($F108&lt;=$E108*12/52*5,"OK","Over 5 weeks"))</f>
        <v/>
      </c>
      <c r="L108" s="52"/>
      <c r="M108" s="52"/>
      <c r="N108" s="122">
        <f>IF(OR($A108="",NOT(ISNUMBER($L108))),IF($A108="","","Not recorded"),IF(NOT(ISNUMBER($M108)),"Checked (no follow-up)",IF($M108&lt;TODAY(),"OVERDUE: follow-up check",IF($M108-TODAY()&lt;=60,"Follow-up due "&amp;TEXT($M108,"dd/mm/yyyy"),"Checked"))))</f>
        <v/>
      </c>
      <c r="O108" s="52"/>
      <c r="P108" s="52"/>
      <c r="Q108" s="122">
        <f>IF($A108="","",IF(NOT(ISNUMBER($D108)),"Enter start date",IF($D108&gt;=DATE(2026,5,1),IF(ISNUMBER($O108),"Complete","Missing: written terms"),IF(OR(ISNUMBER($P108),ISNUMBER($O108)),"Complete","Missing: Information Sheet (was due 31/05/2026)"))))</f>
        <v/>
      </c>
      <c r="R108" s="52"/>
      <c r="S108" s="82">
        <f>IF(ISNUMBER($R108),$R108+364,IF(ISNUMBER($D108),$D108+364,""))</f>
        <v/>
      </c>
      <c r="T108" s="52"/>
      <c r="U108" s="82">
        <f>IF(ISNUMBER($T108),IF(ISNUMBER($S108),MAX(EDATE($T108,2),$S108),EDATE($T108,2)),"")</f>
        <v/>
      </c>
      <c r="V108" s="52"/>
      <c r="W108" s="52"/>
      <c r="X108" s="121">
        <f>IF(NOT(ISNUMBER($V108)),"",IF(ISNUMBER($W108),IF($W108-$V108&lt;=28,"Answered in time","LATE: answered after day 28"),IF(TODAY()-$V108&gt;28,"OVERDUE: no reply yet","Reply due by "&amp;TEXT($V108+28,"dd/mm/yyyy"))))</f>
        <v/>
      </c>
      <c r="Y108" s="54"/>
    </row>
    <row r="109" spans="1:25">
      <c r="A109" s="54"/>
      <c r="B109" s="54"/>
      <c r="C109" s="51"/>
      <c r="D109" s="52"/>
      <c r="E109" s="120"/>
      <c r="F109" s="120"/>
      <c r="G109" s="52"/>
      <c r="H109" s="52"/>
      <c r="I109" s="52"/>
      <c r="J109" s="121">
        <f>IF(OR($A109="",NOT(ISNUMBER($F109))),"",IF($F109&lt;=0,"No deposit",IF(NOT(ISNUMBER($G109)),"Enter date received",IF(AND(ISNUMBER($H109),ISNUMBER($I109)),IF(MAX($H109,$I109)-$G109&lt;=29,"OK","LATE: protected / info served after day 30"),IF(TODAY()-$G109&gt;29,"OVERDUE: not protected / info not served","Protect + serve info by "&amp;TEXT($G109+29,"dd/mm/yyyy"))))))</f>
        <v/>
      </c>
      <c r="K109" s="97">
        <f>IF(OR(NOT(ISNUMBER($E109)),NOT(ISNUMBER($F109))),"",IF($F109&lt;=$E109*12/52*5,"OK","Over 5 weeks"))</f>
        <v/>
      </c>
      <c r="L109" s="52"/>
      <c r="M109" s="52"/>
      <c r="N109" s="122">
        <f>IF(OR($A109="",NOT(ISNUMBER($L109))),IF($A109="","","Not recorded"),IF(NOT(ISNUMBER($M109)),"Checked (no follow-up)",IF($M109&lt;TODAY(),"OVERDUE: follow-up check",IF($M109-TODAY()&lt;=60,"Follow-up due "&amp;TEXT($M109,"dd/mm/yyyy"),"Checked"))))</f>
        <v/>
      </c>
      <c r="O109" s="52"/>
      <c r="P109" s="52"/>
      <c r="Q109" s="122">
        <f>IF($A109="","",IF(NOT(ISNUMBER($D109)),"Enter start date",IF($D109&gt;=DATE(2026,5,1),IF(ISNUMBER($O109),"Complete","Missing: written terms"),IF(OR(ISNUMBER($P109),ISNUMBER($O109)),"Complete","Missing: Information Sheet (was due 31/05/2026)"))))</f>
        <v/>
      </c>
      <c r="R109" s="52"/>
      <c r="S109" s="82">
        <f>IF(ISNUMBER($R109),$R109+364,IF(ISNUMBER($D109),$D109+364,""))</f>
        <v/>
      </c>
      <c r="T109" s="52"/>
      <c r="U109" s="82">
        <f>IF(ISNUMBER($T109),IF(ISNUMBER($S109),MAX(EDATE($T109,2),$S109),EDATE($T109,2)),"")</f>
        <v/>
      </c>
      <c r="V109" s="52"/>
      <c r="W109" s="52"/>
      <c r="X109" s="121">
        <f>IF(NOT(ISNUMBER($V109)),"",IF(ISNUMBER($W109),IF($W109-$V109&lt;=28,"Answered in time","LATE: answered after day 28"),IF(TODAY()-$V109&gt;28,"OVERDUE: no reply yet","Reply due by "&amp;TEXT($V109+28,"dd/mm/yyyy"))))</f>
        <v/>
      </c>
      <c r="Y109" s="54"/>
    </row>
    <row r="110" spans="1:25">
      <c r="A110" s="54"/>
      <c r="B110" s="54"/>
      <c r="C110" s="51"/>
      <c r="D110" s="52"/>
      <c r="E110" s="120"/>
      <c r="F110" s="120"/>
      <c r="G110" s="52"/>
      <c r="H110" s="52"/>
      <c r="I110" s="52"/>
      <c r="J110" s="121">
        <f>IF(OR($A110="",NOT(ISNUMBER($F110))),"",IF($F110&lt;=0,"No deposit",IF(NOT(ISNUMBER($G110)),"Enter date received",IF(AND(ISNUMBER($H110),ISNUMBER($I110)),IF(MAX($H110,$I110)-$G110&lt;=29,"OK","LATE: protected / info served after day 30"),IF(TODAY()-$G110&gt;29,"OVERDUE: not protected / info not served","Protect + serve info by "&amp;TEXT($G110+29,"dd/mm/yyyy"))))))</f>
        <v/>
      </c>
      <c r="K110" s="97">
        <f>IF(OR(NOT(ISNUMBER($E110)),NOT(ISNUMBER($F110))),"",IF($F110&lt;=$E110*12/52*5,"OK","Over 5 weeks"))</f>
        <v/>
      </c>
      <c r="L110" s="52"/>
      <c r="M110" s="52"/>
      <c r="N110" s="122">
        <f>IF(OR($A110="",NOT(ISNUMBER($L110))),IF($A110="","","Not recorded"),IF(NOT(ISNUMBER($M110)),"Checked (no follow-up)",IF($M110&lt;TODAY(),"OVERDUE: follow-up check",IF($M110-TODAY()&lt;=60,"Follow-up due "&amp;TEXT($M110,"dd/mm/yyyy"),"Checked"))))</f>
        <v/>
      </c>
      <c r="O110" s="52"/>
      <c r="P110" s="52"/>
      <c r="Q110" s="122">
        <f>IF($A110="","",IF(NOT(ISNUMBER($D110)),"Enter start date",IF($D110&gt;=DATE(2026,5,1),IF(ISNUMBER($O110),"Complete","Missing: written terms"),IF(OR(ISNUMBER($P110),ISNUMBER($O110)),"Complete","Missing: Information Sheet (was due 31/05/2026)"))))</f>
        <v/>
      </c>
      <c r="R110" s="52"/>
      <c r="S110" s="82">
        <f>IF(ISNUMBER($R110),$R110+364,IF(ISNUMBER($D110),$D110+364,""))</f>
        <v/>
      </c>
      <c r="T110" s="52"/>
      <c r="U110" s="82">
        <f>IF(ISNUMBER($T110),IF(ISNUMBER($S110),MAX(EDATE($T110,2),$S110),EDATE($T110,2)),"")</f>
        <v/>
      </c>
      <c r="V110" s="52"/>
      <c r="W110" s="52"/>
      <c r="X110" s="121">
        <f>IF(NOT(ISNUMBER($V110)),"",IF(ISNUMBER($W110),IF($W110-$V110&lt;=28,"Answered in time","LATE: answered after day 28"),IF(TODAY()-$V110&gt;28,"OVERDUE: no reply yet","Reply due by "&amp;TEXT($V110+28,"dd/mm/yyyy"))))</f>
        <v/>
      </c>
      <c r="Y110" s="54"/>
    </row>
    <row r="111" spans="1:25">
      <c r="A111" s="54"/>
      <c r="B111" s="54"/>
      <c r="C111" s="51"/>
      <c r="D111" s="52"/>
      <c r="E111" s="120"/>
      <c r="F111" s="120"/>
      <c r="G111" s="52"/>
      <c r="H111" s="52"/>
      <c r="I111" s="52"/>
      <c r="J111" s="121">
        <f>IF(OR($A111="",NOT(ISNUMBER($F111))),"",IF($F111&lt;=0,"No deposit",IF(NOT(ISNUMBER($G111)),"Enter date received",IF(AND(ISNUMBER($H111),ISNUMBER($I111)),IF(MAX($H111,$I111)-$G111&lt;=29,"OK","LATE: protected / info served after day 30"),IF(TODAY()-$G111&gt;29,"OVERDUE: not protected / info not served","Protect + serve info by "&amp;TEXT($G111+29,"dd/mm/yyyy"))))))</f>
        <v/>
      </c>
      <c r="K111" s="97">
        <f>IF(OR(NOT(ISNUMBER($E111)),NOT(ISNUMBER($F111))),"",IF($F111&lt;=$E111*12/52*5,"OK","Over 5 weeks"))</f>
        <v/>
      </c>
      <c r="L111" s="52"/>
      <c r="M111" s="52"/>
      <c r="N111" s="122">
        <f>IF(OR($A111="",NOT(ISNUMBER($L111))),IF($A111="","","Not recorded"),IF(NOT(ISNUMBER($M111)),"Checked (no follow-up)",IF($M111&lt;TODAY(),"OVERDUE: follow-up check",IF($M111-TODAY()&lt;=60,"Follow-up due "&amp;TEXT($M111,"dd/mm/yyyy"),"Checked"))))</f>
        <v/>
      </c>
      <c r="O111" s="52"/>
      <c r="P111" s="52"/>
      <c r="Q111" s="122">
        <f>IF($A111="","",IF(NOT(ISNUMBER($D111)),"Enter start date",IF($D111&gt;=DATE(2026,5,1),IF(ISNUMBER($O111),"Complete","Missing: written terms"),IF(OR(ISNUMBER($P111),ISNUMBER($O111)),"Complete","Missing: Information Sheet (was due 31/05/2026)"))))</f>
        <v/>
      </c>
      <c r="R111" s="52"/>
      <c r="S111" s="82">
        <f>IF(ISNUMBER($R111),$R111+364,IF(ISNUMBER($D111),$D111+364,""))</f>
        <v/>
      </c>
      <c r="T111" s="52"/>
      <c r="U111" s="82">
        <f>IF(ISNUMBER($T111),IF(ISNUMBER($S111),MAX(EDATE($T111,2),$S111),EDATE($T111,2)),"")</f>
        <v/>
      </c>
      <c r="V111" s="52"/>
      <c r="W111" s="52"/>
      <c r="X111" s="121">
        <f>IF(NOT(ISNUMBER($V111)),"",IF(ISNUMBER($W111),IF($W111-$V111&lt;=28,"Answered in time","LATE: answered after day 28"),IF(TODAY()-$V111&gt;28,"OVERDUE: no reply yet","Reply due by "&amp;TEXT($V111+28,"dd/mm/yyyy"))))</f>
        <v/>
      </c>
      <c r="Y111" s="54"/>
    </row>
    <row r="112" spans="1:25">
      <c r="A112" s="54"/>
      <c r="B112" s="54"/>
      <c r="C112" s="51"/>
      <c r="D112" s="52"/>
      <c r="E112" s="120"/>
      <c r="F112" s="120"/>
      <c r="G112" s="52"/>
      <c r="H112" s="52"/>
      <c r="I112" s="52"/>
      <c r="J112" s="121">
        <f>IF(OR($A112="",NOT(ISNUMBER($F112))),"",IF($F112&lt;=0,"No deposit",IF(NOT(ISNUMBER($G112)),"Enter date received",IF(AND(ISNUMBER($H112),ISNUMBER($I112)),IF(MAX($H112,$I112)-$G112&lt;=29,"OK","LATE: protected / info served after day 30"),IF(TODAY()-$G112&gt;29,"OVERDUE: not protected / info not served","Protect + serve info by "&amp;TEXT($G112+29,"dd/mm/yyyy"))))))</f>
        <v/>
      </c>
      <c r="K112" s="97">
        <f>IF(OR(NOT(ISNUMBER($E112)),NOT(ISNUMBER($F112))),"",IF($F112&lt;=$E112*12/52*5,"OK","Over 5 weeks"))</f>
        <v/>
      </c>
      <c r="L112" s="52"/>
      <c r="M112" s="52"/>
      <c r="N112" s="122">
        <f>IF(OR($A112="",NOT(ISNUMBER($L112))),IF($A112="","","Not recorded"),IF(NOT(ISNUMBER($M112)),"Checked (no follow-up)",IF($M112&lt;TODAY(),"OVERDUE: follow-up check",IF($M112-TODAY()&lt;=60,"Follow-up due "&amp;TEXT($M112,"dd/mm/yyyy"),"Checked"))))</f>
        <v/>
      </c>
      <c r="O112" s="52"/>
      <c r="P112" s="52"/>
      <c r="Q112" s="122">
        <f>IF($A112="","",IF(NOT(ISNUMBER($D112)),"Enter start date",IF($D112&gt;=DATE(2026,5,1),IF(ISNUMBER($O112),"Complete","Missing: written terms"),IF(OR(ISNUMBER($P112),ISNUMBER($O112)),"Complete","Missing: Information Sheet (was due 31/05/2026)"))))</f>
        <v/>
      </c>
      <c r="R112" s="52"/>
      <c r="S112" s="82">
        <f>IF(ISNUMBER($R112),$R112+364,IF(ISNUMBER($D112),$D112+364,""))</f>
        <v/>
      </c>
      <c r="T112" s="52"/>
      <c r="U112" s="82">
        <f>IF(ISNUMBER($T112),IF(ISNUMBER($S112),MAX(EDATE($T112,2),$S112),EDATE($T112,2)),"")</f>
        <v/>
      </c>
      <c r="V112" s="52"/>
      <c r="W112" s="52"/>
      <c r="X112" s="121">
        <f>IF(NOT(ISNUMBER($V112)),"",IF(ISNUMBER($W112),IF($W112-$V112&lt;=28,"Answered in time","LATE: answered after day 28"),IF(TODAY()-$V112&gt;28,"OVERDUE: no reply yet","Reply due by "&amp;TEXT($V112+28,"dd/mm/yyyy"))))</f>
        <v/>
      </c>
      <c r="Y112" s="54"/>
    </row>
    <row r="113" spans="1:25">
      <c r="A113" s="54"/>
      <c r="B113" s="54"/>
      <c r="C113" s="51"/>
      <c r="D113" s="52"/>
      <c r="E113" s="120"/>
      <c r="F113" s="120"/>
      <c r="G113" s="52"/>
      <c r="H113" s="52"/>
      <c r="I113" s="52"/>
      <c r="J113" s="121">
        <f>IF(OR($A113="",NOT(ISNUMBER($F113))),"",IF($F113&lt;=0,"No deposit",IF(NOT(ISNUMBER($G113)),"Enter date received",IF(AND(ISNUMBER($H113),ISNUMBER($I113)),IF(MAX($H113,$I113)-$G113&lt;=29,"OK","LATE: protected / info served after day 30"),IF(TODAY()-$G113&gt;29,"OVERDUE: not protected / info not served","Protect + serve info by "&amp;TEXT($G113+29,"dd/mm/yyyy"))))))</f>
        <v/>
      </c>
      <c r="K113" s="97">
        <f>IF(OR(NOT(ISNUMBER($E113)),NOT(ISNUMBER($F113))),"",IF($F113&lt;=$E113*12/52*5,"OK","Over 5 weeks"))</f>
        <v/>
      </c>
      <c r="L113" s="52"/>
      <c r="M113" s="52"/>
      <c r="N113" s="122">
        <f>IF(OR($A113="",NOT(ISNUMBER($L113))),IF($A113="","","Not recorded"),IF(NOT(ISNUMBER($M113)),"Checked (no follow-up)",IF($M113&lt;TODAY(),"OVERDUE: follow-up check",IF($M113-TODAY()&lt;=60,"Follow-up due "&amp;TEXT($M113,"dd/mm/yyyy"),"Checked"))))</f>
        <v/>
      </c>
      <c r="O113" s="52"/>
      <c r="P113" s="52"/>
      <c r="Q113" s="122">
        <f>IF($A113="","",IF(NOT(ISNUMBER($D113)),"Enter start date",IF($D113&gt;=DATE(2026,5,1),IF(ISNUMBER($O113),"Complete","Missing: written terms"),IF(OR(ISNUMBER($P113),ISNUMBER($O113)),"Complete","Missing: Information Sheet (was due 31/05/2026)"))))</f>
        <v/>
      </c>
      <c r="R113" s="52"/>
      <c r="S113" s="82">
        <f>IF(ISNUMBER($R113),$R113+364,IF(ISNUMBER($D113),$D113+364,""))</f>
        <v/>
      </c>
      <c r="T113" s="52"/>
      <c r="U113" s="82">
        <f>IF(ISNUMBER($T113),IF(ISNUMBER($S113),MAX(EDATE($T113,2),$S113),EDATE($T113,2)),"")</f>
        <v/>
      </c>
      <c r="V113" s="52"/>
      <c r="W113" s="52"/>
      <c r="X113" s="121">
        <f>IF(NOT(ISNUMBER($V113)),"",IF(ISNUMBER($W113),IF($W113-$V113&lt;=28,"Answered in time","LATE: answered after day 28"),IF(TODAY()-$V113&gt;28,"OVERDUE: no reply yet","Reply due by "&amp;TEXT($V113+28,"dd/mm/yyyy"))))</f>
        <v/>
      </c>
      <c r="Y113" s="54"/>
    </row>
    <row r="114" spans="1:25">
      <c r="A114" s="54"/>
      <c r="B114" s="54"/>
      <c r="C114" s="51"/>
      <c r="D114" s="52"/>
      <c r="E114" s="120"/>
      <c r="F114" s="120"/>
      <c r="G114" s="52"/>
      <c r="H114" s="52"/>
      <c r="I114" s="52"/>
      <c r="J114" s="121">
        <f>IF(OR($A114="",NOT(ISNUMBER($F114))),"",IF($F114&lt;=0,"No deposit",IF(NOT(ISNUMBER($G114)),"Enter date received",IF(AND(ISNUMBER($H114),ISNUMBER($I114)),IF(MAX($H114,$I114)-$G114&lt;=29,"OK","LATE: protected / info served after day 30"),IF(TODAY()-$G114&gt;29,"OVERDUE: not protected / info not served","Protect + serve info by "&amp;TEXT($G114+29,"dd/mm/yyyy"))))))</f>
        <v/>
      </c>
      <c r="K114" s="97">
        <f>IF(OR(NOT(ISNUMBER($E114)),NOT(ISNUMBER($F114))),"",IF($F114&lt;=$E114*12/52*5,"OK","Over 5 weeks"))</f>
        <v/>
      </c>
      <c r="L114" s="52"/>
      <c r="M114" s="52"/>
      <c r="N114" s="122">
        <f>IF(OR($A114="",NOT(ISNUMBER($L114))),IF($A114="","","Not recorded"),IF(NOT(ISNUMBER($M114)),"Checked (no follow-up)",IF($M114&lt;TODAY(),"OVERDUE: follow-up check",IF($M114-TODAY()&lt;=60,"Follow-up due "&amp;TEXT($M114,"dd/mm/yyyy"),"Checked"))))</f>
        <v/>
      </c>
      <c r="O114" s="52"/>
      <c r="P114" s="52"/>
      <c r="Q114" s="122">
        <f>IF($A114="","",IF(NOT(ISNUMBER($D114)),"Enter start date",IF($D114&gt;=DATE(2026,5,1),IF(ISNUMBER($O114),"Complete","Missing: written terms"),IF(OR(ISNUMBER($P114),ISNUMBER($O114)),"Complete","Missing: Information Sheet (was due 31/05/2026)"))))</f>
        <v/>
      </c>
      <c r="R114" s="52"/>
      <c r="S114" s="82">
        <f>IF(ISNUMBER($R114),$R114+364,IF(ISNUMBER($D114),$D114+364,""))</f>
        <v/>
      </c>
      <c r="T114" s="52"/>
      <c r="U114" s="82">
        <f>IF(ISNUMBER($T114),IF(ISNUMBER($S114),MAX(EDATE($T114,2),$S114),EDATE($T114,2)),"")</f>
        <v/>
      </c>
      <c r="V114" s="52"/>
      <c r="W114" s="52"/>
      <c r="X114" s="121">
        <f>IF(NOT(ISNUMBER($V114)),"",IF(ISNUMBER($W114),IF($W114-$V114&lt;=28,"Answered in time","LATE: answered after day 28"),IF(TODAY()-$V114&gt;28,"OVERDUE: no reply yet","Reply due by "&amp;TEXT($V114+28,"dd/mm/yyyy"))))</f>
        <v/>
      </c>
      <c r="Y114" s="54"/>
    </row>
    <row r="115" spans="1:25">
      <c r="A115" s="54"/>
      <c r="B115" s="54"/>
      <c r="C115" s="51"/>
      <c r="D115" s="52"/>
      <c r="E115" s="120"/>
      <c r="F115" s="120"/>
      <c r="G115" s="52"/>
      <c r="H115" s="52"/>
      <c r="I115" s="52"/>
      <c r="J115" s="121">
        <f>IF(OR($A115="",NOT(ISNUMBER($F115))),"",IF($F115&lt;=0,"No deposit",IF(NOT(ISNUMBER($G115)),"Enter date received",IF(AND(ISNUMBER($H115),ISNUMBER($I115)),IF(MAX($H115,$I115)-$G115&lt;=29,"OK","LATE: protected / info served after day 30"),IF(TODAY()-$G115&gt;29,"OVERDUE: not protected / info not served","Protect + serve info by "&amp;TEXT($G115+29,"dd/mm/yyyy"))))))</f>
        <v/>
      </c>
      <c r="K115" s="97">
        <f>IF(OR(NOT(ISNUMBER($E115)),NOT(ISNUMBER($F115))),"",IF($F115&lt;=$E115*12/52*5,"OK","Over 5 weeks"))</f>
        <v/>
      </c>
      <c r="L115" s="52"/>
      <c r="M115" s="52"/>
      <c r="N115" s="122">
        <f>IF(OR($A115="",NOT(ISNUMBER($L115))),IF($A115="","","Not recorded"),IF(NOT(ISNUMBER($M115)),"Checked (no follow-up)",IF($M115&lt;TODAY(),"OVERDUE: follow-up check",IF($M115-TODAY()&lt;=60,"Follow-up due "&amp;TEXT($M115,"dd/mm/yyyy"),"Checked"))))</f>
        <v/>
      </c>
      <c r="O115" s="52"/>
      <c r="P115" s="52"/>
      <c r="Q115" s="122">
        <f>IF($A115="","",IF(NOT(ISNUMBER($D115)),"Enter start date",IF($D115&gt;=DATE(2026,5,1),IF(ISNUMBER($O115),"Complete","Missing: written terms"),IF(OR(ISNUMBER($P115),ISNUMBER($O115)),"Complete","Missing: Information Sheet (was due 31/05/2026)"))))</f>
        <v/>
      </c>
      <c r="R115" s="52"/>
      <c r="S115" s="82">
        <f>IF(ISNUMBER($R115),$R115+364,IF(ISNUMBER($D115),$D115+364,""))</f>
        <v/>
      </c>
      <c r="T115" s="52"/>
      <c r="U115" s="82">
        <f>IF(ISNUMBER($T115),IF(ISNUMBER($S115),MAX(EDATE($T115,2),$S115),EDATE($T115,2)),"")</f>
        <v/>
      </c>
      <c r="V115" s="52"/>
      <c r="W115" s="52"/>
      <c r="X115" s="121">
        <f>IF(NOT(ISNUMBER($V115)),"",IF(ISNUMBER($W115),IF($W115-$V115&lt;=28,"Answered in time","LATE: answered after day 28"),IF(TODAY()-$V115&gt;28,"OVERDUE: no reply yet","Reply due by "&amp;TEXT($V115+28,"dd/mm/yyyy"))))</f>
        <v/>
      </c>
      <c r="Y115" s="54"/>
    </row>
    <row r="116" spans="1:25">
      <c r="A116" s="54"/>
      <c r="B116" s="54"/>
      <c r="C116" s="51"/>
      <c r="D116" s="52"/>
      <c r="E116" s="120"/>
      <c r="F116" s="120"/>
      <c r="G116" s="52"/>
      <c r="H116" s="52"/>
      <c r="I116" s="52"/>
      <c r="J116" s="121">
        <f>IF(OR($A116="",NOT(ISNUMBER($F116))),"",IF($F116&lt;=0,"No deposit",IF(NOT(ISNUMBER($G116)),"Enter date received",IF(AND(ISNUMBER($H116),ISNUMBER($I116)),IF(MAX($H116,$I116)-$G116&lt;=29,"OK","LATE: protected / info served after day 30"),IF(TODAY()-$G116&gt;29,"OVERDUE: not protected / info not served","Protect + serve info by "&amp;TEXT($G116+29,"dd/mm/yyyy"))))))</f>
        <v/>
      </c>
      <c r="K116" s="97">
        <f>IF(OR(NOT(ISNUMBER($E116)),NOT(ISNUMBER($F116))),"",IF($F116&lt;=$E116*12/52*5,"OK","Over 5 weeks"))</f>
        <v/>
      </c>
      <c r="L116" s="52"/>
      <c r="M116" s="52"/>
      <c r="N116" s="122">
        <f>IF(OR($A116="",NOT(ISNUMBER($L116))),IF($A116="","","Not recorded"),IF(NOT(ISNUMBER($M116)),"Checked (no follow-up)",IF($M116&lt;TODAY(),"OVERDUE: follow-up check",IF($M116-TODAY()&lt;=60,"Follow-up due "&amp;TEXT($M116,"dd/mm/yyyy"),"Checked"))))</f>
        <v/>
      </c>
      <c r="O116" s="52"/>
      <c r="P116" s="52"/>
      <c r="Q116" s="122">
        <f>IF($A116="","",IF(NOT(ISNUMBER($D116)),"Enter start date",IF($D116&gt;=DATE(2026,5,1),IF(ISNUMBER($O116),"Complete","Missing: written terms"),IF(OR(ISNUMBER($P116),ISNUMBER($O116)),"Complete","Missing: Information Sheet (was due 31/05/2026)"))))</f>
        <v/>
      </c>
      <c r="R116" s="52"/>
      <c r="S116" s="82">
        <f>IF(ISNUMBER($R116),$R116+364,IF(ISNUMBER($D116),$D116+364,""))</f>
        <v/>
      </c>
      <c r="T116" s="52"/>
      <c r="U116" s="82">
        <f>IF(ISNUMBER($T116),IF(ISNUMBER($S116),MAX(EDATE($T116,2),$S116),EDATE($T116,2)),"")</f>
        <v/>
      </c>
      <c r="V116" s="52"/>
      <c r="W116" s="52"/>
      <c r="X116" s="121">
        <f>IF(NOT(ISNUMBER($V116)),"",IF(ISNUMBER($W116),IF($W116-$V116&lt;=28,"Answered in time","LATE: answered after day 28"),IF(TODAY()-$V116&gt;28,"OVERDUE: no reply yet","Reply due by "&amp;TEXT($V116+28,"dd/mm/yyyy"))))</f>
        <v/>
      </c>
      <c r="Y116" s="54"/>
    </row>
    <row r="117" spans="1:25">
      <c r="A117" s="54"/>
      <c r="B117" s="54"/>
      <c r="C117" s="51"/>
      <c r="D117" s="52"/>
      <c r="E117" s="120"/>
      <c r="F117" s="120"/>
      <c r="G117" s="52"/>
      <c r="H117" s="52"/>
      <c r="I117" s="52"/>
      <c r="J117" s="121">
        <f>IF(OR($A117="",NOT(ISNUMBER($F117))),"",IF($F117&lt;=0,"No deposit",IF(NOT(ISNUMBER($G117)),"Enter date received",IF(AND(ISNUMBER($H117),ISNUMBER($I117)),IF(MAX($H117,$I117)-$G117&lt;=29,"OK","LATE: protected / info served after day 30"),IF(TODAY()-$G117&gt;29,"OVERDUE: not protected / info not served","Protect + serve info by "&amp;TEXT($G117+29,"dd/mm/yyyy"))))))</f>
        <v/>
      </c>
      <c r="K117" s="97">
        <f>IF(OR(NOT(ISNUMBER($E117)),NOT(ISNUMBER($F117))),"",IF($F117&lt;=$E117*12/52*5,"OK","Over 5 weeks"))</f>
        <v/>
      </c>
      <c r="L117" s="52"/>
      <c r="M117" s="52"/>
      <c r="N117" s="122">
        <f>IF(OR($A117="",NOT(ISNUMBER($L117))),IF($A117="","","Not recorded"),IF(NOT(ISNUMBER($M117)),"Checked (no follow-up)",IF($M117&lt;TODAY(),"OVERDUE: follow-up check",IF($M117-TODAY()&lt;=60,"Follow-up due "&amp;TEXT($M117,"dd/mm/yyyy"),"Checked"))))</f>
        <v/>
      </c>
      <c r="O117" s="52"/>
      <c r="P117" s="52"/>
      <c r="Q117" s="122">
        <f>IF($A117="","",IF(NOT(ISNUMBER($D117)),"Enter start date",IF($D117&gt;=DATE(2026,5,1),IF(ISNUMBER($O117),"Complete","Missing: written terms"),IF(OR(ISNUMBER($P117),ISNUMBER($O117)),"Complete","Missing: Information Sheet (was due 31/05/2026)"))))</f>
        <v/>
      </c>
      <c r="R117" s="52"/>
      <c r="S117" s="82">
        <f>IF(ISNUMBER($R117),$R117+364,IF(ISNUMBER($D117),$D117+364,""))</f>
        <v/>
      </c>
      <c r="T117" s="52"/>
      <c r="U117" s="82">
        <f>IF(ISNUMBER($T117),IF(ISNUMBER($S117),MAX(EDATE($T117,2),$S117),EDATE($T117,2)),"")</f>
        <v/>
      </c>
      <c r="V117" s="52"/>
      <c r="W117" s="52"/>
      <c r="X117" s="121">
        <f>IF(NOT(ISNUMBER($V117)),"",IF(ISNUMBER($W117),IF($W117-$V117&lt;=28,"Answered in time","LATE: answered after day 28"),IF(TODAY()-$V117&gt;28,"OVERDUE: no reply yet","Reply due by "&amp;TEXT($V117+28,"dd/mm/yyyy"))))</f>
        <v/>
      </c>
      <c r="Y117" s="54"/>
    </row>
    <row r="118" spans="1:25">
      <c r="A118" s="54"/>
      <c r="B118" s="54"/>
      <c r="C118" s="51"/>
      <c r="D118" s="52"/>
      <c r="E118" s="120"/>
      <c r="F118" s="120"/>
      <c r="G118" s="52"/>
      <c r="H118" s="52"/>
      <c r="I118" s="52"/>
      <c r="J118" s="121">
        <f>IF(OR($A118="",NOT(ISNUMBER($F118))),"",IF($F118&lt;=0,"No deposit",IF(NOT(ISNUMBER($G118)),"Enter date received",IF(AND(ISNUMBER($H118),ISNUMBER($I118)),IF(MAX($H118,$I118)-$G118&lt;=29,"OK","LATE: protected / info served after day 30"),IF(TODAY()-$G118&gt;29,"OVERDUE: not protected / info not served","Protect + serve info by "&amp;TEXT($G118+29,"dd/mm/yyyy"))))))</f>
        <v/>
      </c>
      <c r="K118" s="97">
        <f>IF(OR(NOT(ISNUMBER($E118)),NOT(ISNUMBER($F118))),"",IF($F118&lt;=$E118*12/52*5,"OK","Over 5 weeks"))</f>
        <v/>
      </c>
      <c r="L118" s="52"/>
      <c r="M118" s="52"/>
      <c r="N118" s="122">
        <f>IF(OR($A118="",NOT(ISNUMBER($L118))),IF($A118="","","Not recorded"),IF(NOT(ISNUMBER($M118)),"Checked (no follow-up)",IF($M118&lt;TODAY(),"OVERDUE: follow-up check",IF($M118-TODAY()&lt;=60,"Follow-up due "&amp;TEXT($M118,"dd/mm/yyyy"),"Checked"))))</f>
        <v/>
      </c>
      <c r="O118" s="52"/>
      <c r="P118" s="52"/>
      <c r="Q118" s="122">
        <f>IF($A118="","",IF(NOT(ISNUMBER($D118)),"Enter start date",IF($D118&gt;=DATE(2026,5,1),IF(ISNUMBER($O118),"Complete","Missing: written terms"),IF(OR(ISNUMBER($P118),ISNUMBER($O118)),"Complete","Missing: Information Sheet (was due 31/05/2026)"))))</f>
        <v/>
      </c>
      <c r="R118" s="52"/>
      <c r="S118" s="82">
        <f>IF(ISNUMBER($R118),$R118+364,IF(ISNUMBER($D118),$D118+364,""))</f>
        <v/>
      </c>
      <c r="T118" s="52"/>
      <c r="U118" s="82">
        <f>IF(ISNUMBER($T118),IF(ISNUMBER($S118),MAX(EDATE($T118,2),$S118),EDATE($T118,2)),"")</f>
        <v/>
      </c>
      <c r="V118" s="52"/>
      <c r="W118" s="52"/>
      <c r="X118" s="121">
        <f>IF(NOT(ISNUMBER($V118)),"",IF(ISNUMBER($W118),IF($W118-$V118&lt;=28,"Answered in time","LATE: answered after day 28"),IF(TODAY()-$V118&gt;28,"OVERDUE: no reply yet","Reply due by "&amp;TEXT($V118+28,"dd/mm/yyyy"))))</f>
        <v/>
      </c>
      <c r="Y118" s="54"/>
    </row>
    <row r="119" spans="1:25">
      <c r="A119" s="54"/>
      <c r="B119" s="54"/>
      <c r="C119" s="51"/>
      <c r="D119" s="52"/>
      <c r="E119" s="120"/>
      <c r="F119" s="120"/>
      <c r="G119" s="52"/>
      <c r="H119" s="52"/>
      <c r="I119" s="52"/>
      <c r="J119" s="121">
        <f>IF(OR($A119="",NOT(ISNUMBER($F119))),"",IF($F119&lt;=0,"No deposit",IF(NOT(ISNUMBER($G119)),"Enter date received",IF(AND(ISNUMBER($H119),ISNUMBER($I119)),IF(MAX($H119,$I119)-$G119&lt;=29,"OK","LATE: protected / info served after day 30"),IF(TODAY()-$G119&gt;29,"OVERDUE: not protected / info not served","Protect + serve info by "&amp;TEXT($G119+29,"dd/mm/yyyy"))))))</f>
        <v/>
      </c>
      <c r="K119" s="97">
        <f>IF(OR(NOT(ISNUMBER($E119)),NOT(ISNUMBER($F119))),"",IF($F119&lt;=$E119*12/52*5,"OK","Over 5 weeks"))</f>
        <v/>
      </c>
      <c r="L119" s="52"/>
      <c r="M119" s="52"/>
      <c r="N119" s="122">
        <f>IF(OR($A119="",NOT(ISNUMBER($L119))),IF($A119="","","Not recorded"),IF(NOT(ISNUMBER($M119)),"Checked (no follow-up)",IF($M119&lt;TODAY(),"OVERDUE: follow-up check",IF($M119-TODAY()&lt;=60,"Follow-up due "&amp;TEXT($M119,"dd/mm/yyyy"),"Checked"))))</f>
        <v/>
      </c>
      <c r="O119" s="52"/>
      <c r="P119" s="52"/>
      <c r="Q119" s="122">
        <f>IF($A119="","",IF(NOT(ISNUMBER($D119)),"Enter start date",IF($D119&gt;=DATE(2026,5,1),IF(ISNUMBER($O119),"Complete","Missing: written terms"),IF(OR(ISNUMBER($P119),ISNUMBER($O119)),"Complete","Missing: Information Sheet (was due 31/05/2026)"))))</f>
        <v/>
      </c>
      <c r="R119" s="52"/>
      <c r="S119" s="82">
        <f>IF(ISNUMBER($R119),$R119+364,IF(ISNUMBER($D119),$D119+364,""))</f>
        <v/>
      </c>
      <c r="T119" s="52"/>
      <c r="U119" s="82">
        <f>IF(ISNUMBER($T119),IF(ISNUMBER($S119),MAX(EDATE($T119,2),$S119),EDATE($T119,2)),"")</f>
        <v/>
      </c>
      <c r="V119" s="52"/>
      <c r="W119" s="52"/>
      <c r="X119" s="121">
        <f>IF(NOT(ISNUMBER($V119)),"",IF(ISNUMBER($W119),IF($W119-$V119&lt;=28,"Answered in time","LATE: answered after day 28"),IF(TODAY()-$V119&gt;28,"OVERDUE: no reply yet","Reply due by "&amp;TEXT($V119+28,"dd/mm/yyyy"))))</f>
        <v/>
      </c>
      <c r="Y119" s="54"/>
    </row>
    <row r="120" spans="1:25">
      <c r="A120" s="54"/>
      <c r="B120" s="54"/>
      <c r="C120" s="51"/>
      <c r="D120" s="52"/>
      <c r="E120" s="120"/>
      <c r="F120" s="120"/>
      <c r="G120" s="52"/>
      <c r="H120" s="52"/>
      <c r="I120" s="52"/>
      <c r="J120" s="121">
        <f>IF(OR($A120="",NOT(ISNUMBER($F120))),"",IF($F120&lt;=0,"No deposit",IF(NOT(ISNUMBER($G120)),"Enter date received",IF(AND(ISNUMBER($H120),ISNUMBER($I120)),IF(MAX($H120,$I120)-$G120&lt;=29,"OK","LATE: protected / info served after day 30"),IF(TODAY()-$G120&gt;29,"OVERDUE: not protected / info not served","Protect + serve info by "&amp;TEXT($G120+29,"dd/mm/yyyy"))))))</f>
        <v/>
      </c>
      <c r="K120" s="97">
        <f>IF(OR(NOT(ISNUMBER($E120)),NOT(ISNUMBER($F120))),"",IF($F120&lt;=$E120*12/52*5,"OK","Over 5 weeks"))</f>
        <v/>
      </c>
      <c r="L120" s="52"/>
      <c r="M120" s="52"/>
      <c r="N120" s="122">
        <f>IF(OR($A120="",NOT(ISNUMBER($L120))),IF($A120="","","Not recorded"),IF(NOT(ISNUMBER($M120)),"Checked (no follow-up)",IF($M120&lt;TODAY(),"OVERDUE: follow-up check",IF($M120-TODAY()&lt;=60,"Follow-up due "&amp;TEXT($M120,"dd/mm/yyyy"),"Checked"))))</f>
        <v/>
      </c>
      <c r="O120" s="52"/>
      <c r="P120" s="52"/>
      <c r="Q120" s="122">
        <f>IF($A120="","",IF(NOT(ISNUMBER($D120)),"Enter start date",IF($D120&gt;=DATE(2026,5,1),IF(ISNUMBER($O120),"Complete","Missing: written terms"),IF(OR(ISNUMBER($P120),ISNUMBER($O120)),"Complete","Missing: Information Sheet (was due 31/05/2026)"))))</f>
        <v/>
      </c>
      <c r="R120" s="52"/>
      <c r="S120" s="82">
        <f>IF(ISNUMBER($R120),$R120+364,IF(ISNUMBER($D120),$D120+364,""))</f>
        <v/>
      </c>
      <c r="T120" s="52"/>
      <c r="U120" s="82">
        <f>IF(ISNUMBER($T120),IF(ISNUMBER($S120),MAX(EDATE($T120,2),$S120),EDATE($T120,2)),"")</f>
        <v/>
      </c>
      <c r="V120" s="52"/>
      <c r="W120" s="52"/>
      <c r="X120" s="121">
        <f>IF(NOT(ISNUMBER($V120)),"",IF(ISNUMBER($W120),IF($W120-$V120&lt;=28,"Answered in time","LATE: answered after day 28"),IF(TODAY()-$V120&gt;28,"OVERDUE: no reply yet","Reply due by "&amp;TEXT($V120+28,"dd/mm/yyyy"))))</f>
        <v/>
      </c>
      <c r="Y120" s="54"/>
    </row>
    <row r="121" spans="1:25">
      <c r="A121" s="54"/>
      <c r="B121" s="54"/>
      <c r="C121" s="51"/>
      <c r="D121" s="52"/>
      <c r="E121" s="120"/>
      <c r="F121" s="120"/>
      <c r="G121" s="52"/>
      <c r="H121" s="52"/>
      <c r="I121" s="52"/>
      <c r="J121" s="121">
        <f>IF(OR($A121="",NOT(ISNUMBER($F121))),"",IF($F121&lt;=0,"No deposit",IF(NOT(ISNUMBER($G121)),"Enter date received",IF(AND(ISNUMBER($H121),ISNUMBER($I121)),IF(MAX($H121,$I121)-$G121&lt;=29,"OK","LATE: protected / info served after day 30"),IF(TODAY()-$G121&gt;29,"OVERDUE: not protected / info not served","Protect + serve info by "&amp;TEXT($G121+29,"dd/mm/yyyy"))))))</f>
        <v/>
      </c>
      <c r="K121" s="97">
        <f>IF(OR(NOT(ISNUMBER($E121)),NOT(ISNUMBER($F121))),"",IF($F121&lt;=$E121*12/52*5,"OK","Over 5 weeks"))</f>
        <v/>
      </c>
      <c r="L121" s="52"/>
      <c r="M121" s="52"/>
      <c r="N121" s="122">
        <f>IF(OR($A121="",NOT(ISNUMBER($L121))),IF($A121="","","Not recorded"),IF(NOT(ISNUMBER($M121)),"Checked (no follow-up)",IF($M121&lt;TODAY(),"OVERDUE: follow-up check",IF($M121-TODAY()&lt;=60,"Follow-up due "&amp;TEXT($M121,"dd/mm/yyyy"),"Checked"))))</f>
        <v/>
      </c>
      <c r="O121" s="52"/>
      <c r="P121" s="52"/>
      <c r="Q121" s="122">
        <f>IF($A121="","",IF(NOT(ISNUMBER($D121)),"Enter start date",IF($D121&gt;=DATE(2026,5,1),IF(ISNUMBER($O121),"Complete","Missing: written terms"),IF(OR(ISNUMBER($P121),ISNUMBER($O121)),"Complete","Missing: Information Sheet (was due 31/05/2026)"))))</f>
        <v/>
      </c>
      <c r="R121" s="52"/>
      <c r="S121" s="82">
        <f>IF(ISNUMBER($R121),$R121+364,IF(ISNUMBER($D121),$D121+364,""))</f>
        <v/>
      </c>
      <c r="T121" s="52"/>
      <c r="U121" s="82">
        <f>IF(ISNUMBER($T121),IF(ISNUMBER($S121),MAX(EDATE($T121,2),$S121),EDATE($T121,2)),"")</f>
        <v/>
      </c>
      <c r="V121" s="52"/>
      <c r="W121" s="52"/>
      <c r="X121" s="121">
        <f>IF(NOT(ISNUMBER($V121)),"",IF(ISNUMBER($W121),IF($W121-$V121&lt;=28,"Answered in time","LATE: answered after day 28"),IF(TODAY()-$V121&gt;28,"OVERDUE: no reply yet","Reply due by "&amp;TEXT($V121+28,"dd/mm/yyyy"))))</f>
        <v/>
      </c>
      <c r="Y121" s="54"/>
    </row>
    <row r="122" spans="1:25">
      <c r="A122" s="54"/>
      <c r="B122" s="54"/>
      <c r="C122" s="51"/>
      <c r="D122" s="52"/>
      <c r="E122" s="120"/>
      <c r="F122" s="120"/>
      <c r="G122" s="52"/>
      <c r="H122" s="52"/>
      <c r="I122" s="52"/>
      <c r="J122" s="121">
        <f>IF(OR($A122="",NOT(ISNUMBER($F122))),"",IF($F122&lt;=0,"No deposit",IF(NOT(ISNUMBER($G122)),"Enter date received",IF(AND(ISNUMBER($H122),ISNUMBER($I122)),IF(MAX($H122,$I122)-$G122&lt;=29,"OK","LATE: protected / info served after day 30"),IF(TODAY()-$G122&gt;29,"OVERDUE: not protected / info not served","Protect + serve info by "&amp;TEXT($G122+29,"dd/mm/yyyy"))))))</f>
        <v/>
      </c>
      <c r="K122" s="97">
        <f>IF(OR(NOT(ISNUMBER($E122)),NOT(ISNUMBER($F122))),"",IF($F122&lt;=$E122*12/52*5,"OK","Over 5 weeks"))</f>
        <v/>
      </c>
      <c r="L122" s="52"/>
      <c r="M122" s="52"/>
      <c r="N122" s="122">
        <f>IF(OR($A122="",NOT(ISNUMBER($L122))),IF($A122="","","Not recorded"),IF(NOT(ISNUMBER($M122)),"Checked (no follow-up)",IF($M122&lt;TODAY(),"OVERDUE: follow-up check",IF($M122-TODAY()&lt;=60,"Follow-up due "&amp;TEXT($M122,"dd/mm/yyyy"),"Checked"))))</f>
        <v/>
      </c>
      <c r="O122" s="52"/>
      <c r="P122" s="52"/>
      <c r="Q122" s="122">
        <f>IF($A122="","",IF(NOT(ISNUMBER($D122)),"Enter start date",IF($D122&gt;=DATE(2026,5,1),IF(ISNUMBER($O122),"Complete","Missing: written terms"),IF(OR(ISNUMBER($P122),ISNUMBER($O122)),"Complete","Missing: Information Sheet (was due 31/05/2026)"))))</f>
        <v/>
      </c>
      <c r="R122" s="52"/>
      <c r="S122" s="82">
        <f>IF(ISNUMBER($R122),$R122+364,IF(ISNUMBER($D122),$D122+364,""))</f>
        <v/>
      </c>
      <c r="T122" s="52"/>
      <c r="U122" s="82">
        <f>IF(ISNUMBER($T122),IF(ISNUMBER($S122),MAX(EDATE($T122,2),$S122),EDATE($T122,2)),"")</f>
        <v/>
      </c>
      <c r="V122" s="52"/>
      <c r="W122" s="52"/>
      <c r="X122" s="121">
        <f>IF(NOT(ISNUMBER($V122)),"",IF(ISNUMBER($W122),IF($W122-$V122&lt;=28,"Answered in time","LATE: answered after day 28"),IF(TODAY()-$V122&gt;28,"OVERDUE: no reply yet","Reply due by "&amp;TEXT($V122+28,"dd/mm/yyyy"))))</f>
        <v/>
      </c>
      <c r="Y122" s="54"/>
    </row>
    <row r="123" spans="1:25">
      <c r="A123" s="54"/>
      <c r="B123" s="54"/>
      <c r="C123" s="51"/>
      <c r="D123" s="52"/>
      <c r="E123" s="120"/>
      <c r="F123" s="120"/>
      <c r="G123" s="52"/>
      <c r="H123" s="52"/>
      <c r="I123" s="52"/>
      <c r="J123" s="121">
        <f>IF(OR($A123="",NOT(ISNUMBER($F123))),"",IF($F123&lt;=0,"No deposit",IF(NOT(ISNUMBER($G123)),"Enter date received",IF(AND(ISNUMBER($H123),ISNUMBER($I123)),IF(MAX($H123,$I123)-$G123&lt;=29,"OK","LATE: protected / info served after day 30"),IF(TODAY()-$G123&gt;29,"OVERDUE: not protected / info not served","Protect + serve info by "&amp;TEXT($G123+29,"dd/mm/yyyy"))))))</f>
        <v/>
      </c>
      <c r="K123" s="97">
        <f>IF(OR(NOT(ISNUMBER($E123)),NOT(ISNUMBER($F123))),"",IF($F123&lt;=$E123*12/52*5,"OK","Over 5 weeks"))</f>
        <v/>
      </c>
      <c r="L123" s="52"/>
      <c r="M123" s="52"/>
      <c r="N123" s="122">
        <f>IF(OR($A123="",NOT(ISNUMBER($L123))),IF($A123="","","Not recorded"),IF(NOT(ISNUMBER($M123)),"Checked (no follow-up)",IF($M123&lt;TODAY(),"OVERDUE: follow-up check",IF($M123-TODAY()&lt;=60,"Follow-up due "&amp;TEXT($M123,"dd/mm/yyyy"),"Checked"))))</f>
        <v/>
      </c>
      <c r="O123" s="52"/>
      <c r="P123" s="52"/>
      <c r="Q123" s="122">
        <f>IF($A123="","",IF(NOT(ISNUMBER($D123)),"Enter start date",IF($D123&gt;=DATE(2026,5,1),IF(ISNUMBER($O123),"Complete","Missing: written terms"),IF(OR(ISNUMBER($P123),ISNUMBER($O123)),"Complete","Missing: Information Sheet (was due 31/05/2026)"))))</f>
        <v/>
      </c>
      <c r="R123" s="52"/>
      <c r="S123" s="82">
        <f>IF(ISNUMBER($R123),$R123+364,IF(ISNUMBER($D123),$D123+364,""))</f>
        <v/>
      </c>
      <c r="T123" s="52"/>
      <c r="U123" s="82">
        <f>IF(ISNUMBER($T123),IF(ISNUMBER($S123),MAX(EDATE($T123,2),$S123),EDATE($T123,2)),"")</f>
        <v/>
      </c>
      <c r="V123" s="52"/>
      <c r="W123" s="52"/>
      <c r="X123" s="121">
        <f>IF(NOT(ISNUMBER($V123)),"",IF(ISNUMBER($W123),IF($W123-$V123&lt;=28,"Answered in time","LATE: answered after day 28"),IF(TODAY()-$V123&gt;28,"OVERDUE: no reply yet","Reply due by "&amp;TEXT($V123+28,"dd/mm/yyyy"))))</f>
        <v/>
      </c>
      <c r="Y123" s="54"/>
    </row>
    <row r="124" spans="1:25">
      <c r="A124" s="54"/>
      <c r="B124" s="54"/>
      <c r="C124" s="51"/>
      <c r="D124" s="52"/>
      <c r="E124" s="120"/>
      <c r="F124" s="120"/>
      <c r="G124" s="52"/>
      <c r="H124" s="52"/>
      <c r="I124" s="52"/>
      <c r="J124" s="121">
        <f>IF(OR($A124="",NOT(ISNUMBER($F124))),"",IF($F124&lt;=0,"No deposit",IF(NOT(ISNUMBER($G124)),"Enter date received",IF(AND(ISNUMBER($H124),ISNUMBER($I124)),IF(MAX($H124,$I124)-$G124&lt;=29,"OK","LATE: protected / info served after day 30"),IF(TODAY()-$G124&gt;29,"OVERDUE: not protected / info not served","Protect + serve info by "&amp;TEXT($G124+29,"dd/mm/yyyy"))))))</f>
        <v/>
      </c>
      <c r="K124" s="97">
        <f>IF(OR(NOT(ISNUMBER($E124)),NOT(ISNUMBER($F124))),"",IF($F124&lt;=$E124*12/52*5,"OK","Over 5 weeks"))</f>
        <v/>
      </c>
      <c r="L124" s="52"/>
      <c r="M124" s="52"/>
      <c r="N124" s="122">
        <f>IF(OR($A124="",NOT(ISNUMBER($L124))),IF($A124="","","Not recorded"),IF(NOT(ISNUMBER($M124)),"Checked (no follow-up)",IF($M124&lt;TODAY(),"OVERDUE: follow-up check",IF($M124-TODAY()&lt;=60,"Follow-up due "&amp;TEXT($M124,"dd/mm/yyyy"),"Checked"))))</f>
        <v/>
      </c>
      <c r="O124" s="52"/>
      <c r="P124" s="52"/>
      <c r="Q124" s="122">
        <f>IF($A124="","",IF(NOT(ISNUMBER($D124)),"Enter start date",IF($D124&gt;=DATE(2026,5,1),IF(ISNUMBER($O124),"Complete","Missing: written terms"),IF(OR(ISNUMBER($P124),ISNUMBER($O124)),"Complete","Missing: Information Sheet (was due 31/05/2026)"))))</f>
        <v/>
      </c>
      <c r="R124" s="52"/>
      <c r="S124" s="82">
        <f>IF(ISNUMBER($R124),$R124+364,IF(ISNUMBER($D124),$D124+364,""))</f>
        <v/>
      </c>
      <c r="T124" s="52"/>
      <c r="U124" s="82">
        <f>IF(ISNUMBER($T124),IF(ISNUMBER($S124),MAX(EDATE($T124,2),$S124),EDATE($T124,2)),"")</f>
        <v/>
      </c>
      <c r="V124" s="52"/>
      <c r="W124" s="52"/>
      <c r="X124" s="121">
        <f>IF(NOT(ISNUMBER($V124)),"",IF(ISNUMBER($W124),IF($W124-$V124&lt;=28,"Answered in time","LATE: answered after day 28"),IF(TODAY()-$V124&gt;28,"OVERDUE: no reply yet","Reply due by "&amp;TEXT($V124+28,"dd/mm/yyyy"))))</f>
        <v/>
      </c>
      <c r="Y124" s="54"/>
    </row>
    <row r="125" spans="1:25">
      <c r="A125" s="54"/>
      <c r="B125" s="54"/>
      <c r="C125" s="51"/>
      <c r="D125" s="52"/>
      <c r="E125" s="120"/>
      <c r="F125" s="120"/>
      <c r="G125" s="52"/>
      <c r="H125" s="52"/>
      <c r="I125" s="52"/>
      <c r="J125" s="121">
        <f>IF(OR($A125="",NOT(ISNUMBER($F125))),"",IF($F125&lt;=0,"No deposit",IF(NOT(ISNUMBER($G125)),"Enter date received",IF(AND(ISNUMBER($H125),ISNUMBER($I125)),IF(MAX($H125,$I125)-$G125&lt;=29,"OK","LATE: protected / info served after day 30"),IF(TODAY()-$G125&gt;29,"OVERDUE: not protected / info not served","Protect + serve info by "&amp;TEXT($G125+29,"dd/mm/yyyy"))))))</f>
        <v/>
      </c>
      <c r="K125" s="97">
        <f>IF(OR(NOT(ISNUMBER($E125)),NOT(ISNUMBER($F125))),"",IF($F125&lt;=$E125*12/52*5,"OK","Over 5 weeks"))</f>
        <v/>
      </c>
      <c r="L125" s="52"/>
      <c r="M125" s="52"/>
      <c r="N125" s="122">
        <f>IF(OR($A125="",NOT(ISNUMBER($L125))),IF($A125="","","Not recorded"),IF(NOT(ISNUMBER($M125)),"Checked (no follow-up)",IF($M125&lt;TODAY(),"OVERDUE: follow-up check",IF($M125-TODAY()&lt;=60,"Follow-up due "&amp;TEXT($M125,"dd/mm/yyyy"),"Checked"))))</f>
        <v/>
      </c>
      <c r="O125" s="52"/>
      <c r="P125" s="52"/>
      <c r="Q125" s="122">
        <f>IF($A125="","",IF(NOT(ISNUMBER($D125)),"Enter start date",IF($D125&gt;=DATE(2026,5,1),IF(ISNUMBER($O125),"Complete","Missing: written terms"),IF(OR(ISNUMBER($P125),ISNUMBER($O125)),"Complete","Missing: Information Sheet (was due 31/05/2026)"))))</f>
        <v/>
      </c>
      <c r="R125" s="52"/>
      <c r="S125" s="82">
        <f>IF(ISNUMBER($R125),$R125+364,IF(ISNUMBER($D125),$D125+364,""))</f>
        <v/>
      </c>
      <c r="T125" s="52"/>
      <c r="U125" s="82">
        <f>IF(ISNUMBER($T125),IF(ISNUMBER($S125),MAX(EDATE($T125,2),$S125),EDATE($T125,2)),"")</f>
        <v/>
      </c>
      <c r="V125" s="52"/>
      <c r="W125" s="52"/>
      <c r="X125" s="121">
        <f>IF(NOT(ISNUMBER($V125)),"",IF(ISNUMBER($W125),IF($W125-$V125&lt;=28,"Answered in time","LATE: answered after day 28"),IF(TODAY()-$V125&gt;28,"OVERDUE: no reply yet","Reply due by "&amp;TEXT($V125+28,"dd/mm/yyyy"))))</f>
        <v/>
      </c>
      <c r="Y125" s="54"/>
    </row>
    <row r="126" spans="1:25">
      <c r="A126" s="54"/>
      <c r="B126" s="54"/>
      <c r="C126" s="51"/>
      <c r="D126" s="52"/>
      <c r="E126" s="120"/>
      <c r="F126" s="120"/>
      <c r="G126" s="52"/>
      <c r="H126" s="52"/>
      <c r="I126" s="52"/>
      <c r="J126" s="121">
        <f>IF(OR($A126="",NOT(ISNUMBER($F126))),"",IF($F126&lt;=0,"No deposit",IF(NOT(ISNUMBER($G126)),"Enter date received",IF(AND(ISNUMBER($H126),ISNUMBER($I126)),IF(MAX($H126,$I126)-$G126&lt;=29,"OK","LATE: protected / info served after day 30"),IF(TODAY()-$G126&gt;29,"OVERDUE: not protected / info not served","Protect + serve info by "&amp;TEXT($G126+29,"dd/mm/yyyy"))))))</f>
        <v/>
      </c>
      <c r="K126" s="97">
        <f>IF(OR(NOT(ISNUMBER($E126)),NOT(ISNUMBER($F126))),"",IF($F126&lt;=$E126*12/52*5,"OK","Over 5 weeks"))</f>
        <v/>
      </c>
      <c r="L126" s="52"/>
      <c r="M126" s="52"/>
      <c r="N126" s="122">
        <f>IF(OR($A126="",NOT(ISNUMBER($L126))),IF($A126="","","Not recorded"),IF(NOT(ISNUMBER($M126)),"Checked (no follow-up)",IF($M126&lt;TODAY(),"OVERDUE: follow-up check",IF($M126-TODAY()&lt;=60,"Follow-up due "&amp;TEXT($M126,"dd/mm/yyyy"),"Checked"))))</f>
        <v/>
      </c>
      <c r="O126" s="52"/>
      <c r="P126" s="52"/>
      <c r="Q126" s="122">
        <f>IF($A126="","",IF(NOT(ISNUMBER($D126)),"Enter start date",IF($D126&gt;=DATE(2026,5,1),IF(ISNUMBER($O126),"Complete","Missing: written terms"),IF(OR(ISNUMBER($P126),ISNUMBER($O126)),"Complete","Missing: Information Sheet (was due 31/05/2026)"))))</f>
        <v/>
      </c>
      <c r="R126" s="52"/>
      <c r="S126" s="82">
        <f>IF(ISNUMBER($R126),$R126+364,IF(ISNUMBER($D126),$D126+364,""))</f>
        <v/>
      </c>
      <c r="T126" s="52"/>
      <c r="U126" s="82">
        <f>IF(ISNUMBER($T126),IF(ISNUMBER($S126),MAX(EDATE($T126,2),$S126),EDATE($T126,2)),"")</f>
        <v/>
      </c>
      <c r="V126" s="52"/>
      <c r="W126" s="52"/>
      <c r="X126" s="121">
        <f>IF(NOT(ISNUMBER($V126)),"",IF(ISNUMBER($W126),IF($W126-$V126&lt;=28,"Answered in time","LATE: answered after day 28"),IF(TODAY()-$V126&gt;28,"OVERDUE: no reply yet","Reply due by "&amp;TEXT($V126+28,"dd/mm/yyyy"))))</f>
        <v/>
      </c>
      <c r="Y126" s="54"/>
    </row>
    <row r="127" spans="1:25">
      <c r="A127" s="54"/>
      <c r="B127" s="54"/>
      <c r="C127" s="51"/>
      <c r="D127" s="52"/>
      <c r="E127" s="120"/>
      <c r="F127" s="120"/>
      <c r="G127" s="52"/>
      <c r="H127" s="52"/>
      <c r="I127" s="52"/>
      <c r="J127" s="121">
        <f>IF(OR($A127="",NOT(ISNUMBER($F127))),"",IF($F127&lt;=0,"No deposit",IF(NOT(ISNUMBER($G127)),"Enter date received",IF(AND(ISNUMBER($H127),ISNUMBER($I127)),IF(MAX($H127,$I127)-$G127&lt;=29,"OK","LATE: protected / info served after day 30"),IF(TODAY()-$G127&gt;29,"OVERDUE: not protected / info not served","Protect + serve info by "&amp;TEXT($G127+29,"dd/mm/yyyy"))))))</f>
        <v/>
      </c>
      <c r="K127" s="97">
        <f>IF(OR(NOT(ISNUMBER($E127)),NOT(ISNUMBER($F127))),"",IF($F127&lt;=$E127*12/52*5,"OK","Over 5 weeks"))</f>
        <v/>
      </c>
      <c r="L127" s="52"/>
      <c r="M127" s="52"/>
      <c r="N127" s="122">
        <f>IF(OR($A127="",NOT(ISNUMBER($L127))),IF($A127="","","Not recorded"),IF(NOT(ISNUMBER($M127)),"Checked (no follow-up)",IF($M127&lt;TODAY(),"OVERDUE: follow-up check",IF($M127-TODAY()&lt;=60,"Follow-up due "&amp;TEXT($M127,"dd/mm/yyyy"),"Checked"))))</f>
        <v/>
      </c>
      <c r="O127" s="52"/>
      <c r="P127" s="52"/>
      <c r="Q127" s="122">
        <f>IF($A127="","",IF(NOT(ISNUMBER($D127)),"Enter start date",IF($D127&gt;=DATE(2026,5,1),IF(ISNUMBER($O127),"Complete","Missing: written terms"),IF(OR(ISNUMBER($P127),ISNUMBER($O127)),"Complete","Missing: Information Sheet (was due 31/05/2026)"))))</f>
        <v/>
      </c>
      <c r="R127" s="52"/>
      <c r="S127" s="82">
        <f>IF(ISNUMBER($R127),$R127+364,IF(ISNUMBER($D127),$D127+364,""))</f>
        <v/>
      </c>
      <c r="T127" s="52"/>
      <c r="U127" s="82">
        <f>IF(ISNUMBER($T127),IF(ISNUMBER($S127),MAX(EDATE($T127,2),$S127),EDATE($T127,2)),"")</f>
        <v/>
      </c>
      <c r="V127" s="52"/>
      <c r="W127" s="52"/>
      <c r="X127" s="121">
        <f>IF(NOT(ISNUMBER($V127)),"",IF(ISNUMBER($W127),IF($W127-$V127&lt;=28,"Answered in time","LATE: answered after day 28"),IF(TODAY()-$V127&gt;28,"OVERDUE: no reply yet","Reply due by "&amp;TEXT($V127+28,"dd/mm/yyyy"))))</f>
        <v/>
      </c>
      <c r="Y127" s="54"/>
    </row>
    <row r="128" spans="1:25">
      <c r="A128" s="54"/>
      <c r="B128" s="54"/>
      <c r="C128" s="51"/>
      <c r="D128" s="52"/>
      <c r="E128" s="120"/>
      <c r="F128" s="120"/>
      <c r="G128" s="52"/>
      <c r="H128" s="52"/>
      <c r="I128" s="52"/>
      <c r="J128" s="121">
        <f>IF(OR($A128="",NOT(ISNUMBER($F128))),"",IF($F128&lt;=0,"No deposit",IF(NOT(ISNUMBER($G128)),"Enter date received",IF(AND(ISNUMBER($H128),ISNUMBER($I128)),IF(MAX($H128,$I128)-$G128&lt;=29,"OK","LATE: protected / info served after day 30"),IF(TODAY()-$G128&gt;29,"OVERDUE: not protected / info not served","Protect + serve info by "&amp;TEXT($G128+29,"dd/mm/yyyy"))))))</f>
        <v/>
      </c>
      <c r="K128" s="97">
        <f>IF(OR(NOT(ISNUMBER($E128)),NOT(ISNUMBER($F128))),"",IF($F128&lt;=$E128*12/52*5,"OK","Over 5 weeks"))</f>
        <v/>
      </c>
      <c r="L128" s="52"/>
      <c r="M128" s="52"/>
      <c r="N128" s="122">
        <f>IF(OR($A128="",NOT(ISNUMBER($L128))),IF($A128="","","Not recorded"),IF(NOT(ISNUMBER($M128)),"Checked (no follow-up)",IF($M128&lt;TODAY(),"OVERDUE: follow-up check",IF($M128-TODAY()&lt;=60,"Follow-up due "&amp;TEXT($M128,"dd/mm/yyyy"),"Checked"))))</f>
        <v/>
      </c>
      <c r="O128" s="52"/>
      <c r="P128" s="52"/>
      <c r="Q128" s="122">
        <f>IF($A128="","",IF(NOT(ISNUMBER($D128)),"Enter start date",IF($D128&gt;=DATE(2026,5,1),IF(ISNUMBER($O128),"Complete","Missing: written terms"),IF(OR(ISNUMBER($P128),ISNUMBER($O128)),"Complete","Missing: Information Sheet (was due 31/05/2026)"))))</f>
        <v/>
      </c>
      <c r="R128" s="52"/>
      <c r="S128" s="82">
        <f>IF(ISNUMBER($R128),$R128+364,IF(ISNUMBER($D128),$D128+364,""))</f>
        <v/>
      </c>
      <c r="T128" s="52"/>
      <c r="U128" s="82">
        <f>IF(ISNUMBER($T128),IF(ISNUMBER($S128),MAX(EDATE($T128,2),$S128),EDATE($T128,2)),"")</f>
        <v/>
      </c>
      <c r="V128" s="52"/>
      <c r="W128" s="52"/>
      <c r="X128" s="121">
        <f>IF(NOT(ISNUMBER($V128)),"",IF(ISNUMBER($W128),IF($W128-$V128&lt;=28,"Answered in time","LATE: answered after day 28"),IF(TODAY()-$V128&gt;28,"OVERDUE: no reply yet","Reply due by "&amp;TEXT($V128+28,"dd/mm/yyyy"))))</f>
        <v/>
      </c>
      <c r="Y128" s="54"/>
    </row>
    <row r="129" spans="1:25">
      <c r="A129" s="54"/>
      <c r="B129" s="54"/>
      <c r="C129" s="51"/>
      <c r="D129" s="52"/>
      <c r="E129" s="120"/>
      <c r="F129" s="120"/>
      <c r="G129" s="52"/>
      <c r="H129" s="52"/>
      <c r="I129" s="52"/>
      <c r="J129" s="121">
        <f>IF(OR($A129="",NOT(ISNUMBER($F129))),"",IF($F129&lt;=0,"No deposit",IF(NOT(ISNUMBER($G129)),"Enter date received",IF(AND(ISNUMBER($H129),ISNUMBER($I129)),IF(MAX($H129,$I129)-$G129&lt;=29,"OK","LATE: protected / info served after day 30"),IF(TODAY()-$G129&gt;29,"OVERDUE: not protected / info not served","Protect + serve info by "&amp;TEXT($G129+29,"dd/mm/yyyy"))))))</f>
        <v/>
      </c>
      <c r="K129" s="97">
        <f>IF(OR(NOT(ISNUMBER($E129)),NOT(ISNUMBER($F129))),"",IF($F129&lt;=$E129*12/52*5,"OK","Over 5 weeks"))</f>
        <v/>
      </c>
      <c r="L129" s="52"/>
      <c r="M129" s="52"/>
      <c r="N129" s="122">
        <f>IF(OR($A129="",NOT(ISNUMBER($L129))),IF($A129="","","Not recorded"),IF(NOT(ISNUMBER($M129)),"Checked (no follow-up)",IF($M129&lt;TODAY(),"OVERDUE: follow-up check",IF($M129-TODAY()&lt;=60,"Follow-up due "&amp;TEXT($M129,"dd/mm/yyyy"),"Checked"))))</f>
        <v/>
      </c>
      <c r="O129" s="52"/>
      <c r="P129" s="52"/>
      <c r="Q129" s="122">
        <f>IF($A129="","",IF(NOT(ISNUMBER($D129)),"Enter start date",IF($D129&gt;=DATE(2026,5,1),IF(ISNUMBER($O129),"Complete","Missing: written terms"),IF(OR(ISNUMBER($P129),ISNUMBER($O129)),"Complete","Missing: Information Sheet (was due 31/05/2026)"))))</f>
        <v/>
      </c>
      <c r="R129" s="52"/>
      <c r="S129" s="82">
        <f>IF(ISNUMBER($R129),$R129+364,IF(ISNUMBER($D129),$D129+364,""))</f>
        <v/>
      </c>
      <c r="T129" s="52"/>
      <c r="U129" s="82">
        <f>IF(ISNUMBER($T129),IF(ISNUMBER($S129),MAX(EDATE($T129,2),$S129),EDATE($T129,2)),"")</f>
        <v/>
      </c>
      <c r="V129" s="52"/>
      <c r="W129" s="52"/>
      <c r="X129" s="121">
        <f>IF(NOT(ISNUMBER($V129)),"",IF(ISNUMBER($W129),IF($W129-$V129&lt;=28,"Answered in time","LATE: answered after day 28"),IF(TODAY()-$V129&gt;28,"OVERDUE: no reply yet","Reply due by "&amp;TEXT($V129+28,"dd/mm/yyyy"))))</f>
        <v/>
      </c>
      <c r="Y129" s="54"/>
    </row>
    <row r="130" spans="1:25">
      <c r="A130" s="54"/>
      <c r="B130" s="54"/>
      <c r="C130" s="51"/>
      <c r="D130" s="52"/>
      <c r="E130" s="120"/>
      <c r="F130" s="120"/>
      <c r="G130" s="52"/>
      <c r="H130" s="52"/>
      <c r="I130" s="52"/>
      <c r="J130" s="121">
        <f>IF(OR($A130="",NOT(ISNUMBER($F130))),"",IF($F130&lt;=0,"No deposit",IF(NOT(ISNUMBER($G130)),"Enter date received",IF(AND(ISNUMBER($H130),ISNUMBER($I130)),IF(MAX($H130,$I130)-$G130&lt;=29,"OK","LATE: protected / info served after day 30"),IF(TODAY()-$G130&gt;29,"OVERDUE: not protected / info not served","Protect + serve info by "&amp;TEXT($G130+29,"dd/mm/yyyy"))))))</f>
        <v/>
      </c>
      <c r="K130" s="97">
        <f>IF(OR(NOT(ISNUMBER($E130)),NOT(ISNUMBER($F130))),"",IF($F130&lt;=$E130*12/52*5,"OK","Over 5 weeks"))</f>
        <v/>
      </c>
      <c r="L130" s="52"/>
      <c r="M130" s="52"/>
      <c r="N130" s="122">
        <f>IF(OR($A130="",NOT(ISNUMBER($L130))),IF($A130="","","Not recorded"),IF(NOT(ISNUMBER($M130)),"Checked (no follow-up)",IF($M130&lt;TODAY(),"OVERDUE: follow-up check",IF($M130-TODAY()&lt;=60,"Follow-up due "&amp;TEXT($M130,"dd/mm/yyyy"),"Checked"))))</f>
        <v/>
      </c>
      <c r="O130" s="52"/>
      <c r="P130" s="52"/>
      <c r="Q130" s="122">
        <f>IF($A130="","",IF(NOT(ISNUMBER($D130)),"Enter start date",IF($D130&gt;=DATE(2026,5,1),IF(ISNUMBER($O130),"Complete","Missing: written terms"),IF(OR(ISNUMBER($P130),ISNUMBER($O130)),"Complete","Missing: Information Sheet (was due 31/05/2026)"))))</f>
        <v/>
      </c>
      <c r="R130" s="52"/>
      <c r="S130" s="82">
        <f>IF(ISNUMBER($R130),$R130+364,IF(ISNUMBER($D130),$D130+364,""))</f>
        <v/>
      </c>
      <c r="T130" s="52"/>
      <c r="U130" s="82">
        <f>IF(ISNUMBER($T130),IF(ISNUMBER($S130),MAX(EDATE($T130,2),$S130),EDATE($T130,2)),"")</f>
        <v/>
      </c>
      <c r="V130" s="52"/>
      <c r="W130" s="52"/>
      <c r="X130" s="121">
        <f>IF(NOT(ISNUMBER($V130)),"",IF(ISNUMBER($W130),IF($W130-$V130&lt;=28,"Answered in time","LATE: answered after day 28"),IF(TODAY()-$V130&gt;28,"OVERDUE: no reply yet","Reply due by "&amp;TEXT($V130+28,"dd/mm/yyyy"))))</f>
        <v/>
      </c>
      <c r="Y130" s="54"/>
    </row>
    <row r="131" spans="1:25">
      <c r="A131" s="54"/>
      <c r="B131" s="54"/>
      <c r="C131" s="51"/>
      <c r="D131" s="52"/>
      <c r="E131" s="120"/>
      <c r="F131" s="120"/>
      <c r="G131" s="52"/>
      <c r="H131" s="52"/>
      <c r="I131" s="52"/>
      <c r="J131" s="121">
        <f>IF(OR($A131="",NOT(ISNUMBER($F131))),"",IF($F131&lt;=0,"No deposit",IF(NOT(ISNUMBER($G131)),"Enter date received",IF(AND(ISNUMBER($H131),ISNUMBER($I131)),IF(MAX($H131,$I131)-$G131&lt;=29,"OK","LATE: protected / info served after day 30"),IF(TODAY()-$G131&gt;29,"OVERDUE: not protected / info not served","Protect + serve info by "&amp;TEXT($G131+29,"dd/mm/yyyy"))))))</f>
        <v/>
      </c>
      <c r="K131" s="97">
        <f>IF(OR(NOT(ISNUMBER($E131)),NOT(ISNUMBER($F131))),"",IF($F131&lt;=$E131*12/52*5,"OK","Over 5 weeks"))</f>
        <v/>
      </c>
      <c r="L131" s="52"/>
      <c r="M131" s="52"/>
      <c r="N131" s="122">
        <f>IF(OR($A131="",NOT(ISNUMBER($L131))),IF($A131="","","Not recorded"),IF(NOT(ISNUMBER($M131)),"Checked (no follow-up)",IF($M131&lt;TODAY(),"OVERDUE: follow-up check",IF($M131-TODAY()&lt;=60,"Follow-up due "&amp;TEXT($M131,"dd/mm/yyyy"),"Checked"))))</f>
        <v/>
      </c>
      <c r="O131" s="52"/>
      <c r="P131" s="52"/>
      <c r="Q131" s="122">
        <f>IF($A131="","",IF(NOT(ISNUMBER($D131)),"Enter start date",IF($D131&gt;=DATE(2026,5,1),IF(ISNUMBER($O131),"Complete","Missing: written terms"),IF(OR(ISNUMBER($P131),ISNUMBER($O131)),"Complete","Missing: Information Sheet (was due 31/05/2026)"))))</f>
        <v/>
      </c>
      <c r="R131" s="52"/>
      <c r="S131" s="82">
        <f>IF(ISNUMBER($R131),$R131+364,IF(ISNUMBER($D131),$D131+364,""))</f>
        <v/>
      </c>
      <c r="T131" s="52"/>
      <c r="U131" s="82">
        <f>IF(ISNUMBER($T131),IF(ISNUMBER($S131),MAX(EDATE($T131,2),$S131),EDATE($T131,2)),"")</f>
        <v/>
      </c>
      <c r="V131" s="52"/>
      <c r="W131" s="52"/>
      <c r="X131" s="121">
        <f>IF(NOT(ISNUMBER($V131)),"",IF(ISNUMBER($W131),IF($W131-$V131&lt;=28,"Answered in time","LATE: answered after day 28"),IF(TODAY()-$V131&gt;28,"OVERDUE: no reply yet","Reply due by "&amp;TEXT($V131+28,"dd/mm/yyyy"))))</f>
        <v/>
      </c>
      <c r="Y131" s="54"/>
    </row>
    <row r="132" spans="1:25">
      <c r="A132" s="54"/>
      <c r="B132" s="54"/>
      <c r="C132" s="51"/>
      <c r="D132" s="52"/>
      <c r="E132" s="120"/>
      <c r="F132" s="120"/>
      <c r="G132" s="52"/>
      <c r="H132" s="52"/>
      <c r="I132" s="52"/>
      <c r="J132" s="121">
        <f>IF(OR($A132="",NOT(ISNUMBER($F132))),"",IF($F132&lt;=0,"No deposit",IF(NOT(ISNUMBER($G132)),"Enter date received",IF(AND(ISNUMBER($H132),ISNUMBER($I132)),IF(MAX($H132,$I132)-$G132&lt;=29,"OK","LATE: protected / info served after day 30"),IF(TODAY()-$G132&gt;29,"OVERDUE: not protected / info not served","Protect + serve info by "&amp;TEXT($G132+29,"dd/mm/yyyy"))))))</f>
        <v/>
      </c>
      <c r="K132" s="97">
        <f>IF(OR(NOT(ISNUMBER($E132)),NOT(ISNUMBER($F132))),"",IF($F132&lt;=$E132*12/52*5,"OK","Over 5 weeks"))</f>
        <v/>
      </c>
      <c r="L132" s="52"/>
      <c r="M132" s="52"/>
      <c r="N132" s="122">
        <f>IF(OR($A132="",NOT(ISNUMBER($L132))),IF($A132="","","Not recorded"),IF(NOT(ISNUMBER($M132)),"Checked (no follow-up)",IF($M132&lt;TODAY(),"OVERDUE: follow-up check",IF($M132-TODAY()&lt;=60,"Follow-up due "&amp;TEXT($M132,"dd/mm/yyyy"),"Checked"))))</f>
        <v/>
      </c>
      <c r="O132" s="52"/>
      <c r="P132" s="52"/>
      <c r="Q132" s="122">
        <f>IF($A132="","",IF(NOT(ISNUMBER($D132)),"Enter start date",IF($D132&gt;=DATE(2026,5,1),IF(ISNUMBER($O132),"Complete","Missing: written terms"),IF(OR(ISNUMBER($P132),ISNUMBER($O132)),"Complete","Missing: Information Sheet (was due 31/05/2026)"))))</f>
        <v/>
      </c>
      <c r="R132" s="52"/>
      <c r="S132" s="82">
        <f>IF(ISNUMBER($R132),$R132+364,IF(ISNUMBER($D132),$D132+364,""))</f>
        <v/>
      </c>
      <c r="T132" s="52"/>
      <c r="U132" s="82">
        <f>IF(ISNUMBER($T132),IF(ISNUMBER($S132),MAX(EDATE($T132,2),$S132),EDATE($T132,2)),"")</f>
        <v/>
      </c>
      <c r="V132" s="52"/>
      <c r="W132" s="52"/>
      <c r="X132" s="121">
        <f>IF(NOT(ISNUMBER($V132)),"",IF(ISNUMBER($W132),IF($W132-$V132&lt;=28,"Answered in time","LATE: answered after day 28"),IF(TODAY()-$V132&gt;28,"OVERDUE: no reply yet","Reply due by "&amp;TEXT($V132+28,"dd/mm/yyyy"))))</f>
        <v/>
      </c>
      <c r="Y132" s="54"/>
    </row>
    <row r="133" spans="1:25">
      <c r="A133" s="54"/>
      <c r="B133" s="54"/>
      <c r="C133" s="51"/>
      <c r="D133" s="52"/>
      <c r="E133" s="120"/>
      <c r="F133" s="120"/>
      <c r="G133" s="52"/>
      <c r="H133" s="52"/>
      <c r="I133" s="52"/>
      <c r="J133" s="121">
        <f>IF(OR($A133="",NOT(ISNUMBER($F133))),"",IF($F133&lt;=0,"No deposit",IF(NOT(ISNUMBER($G133)),"Enter date received",IF(AND(ISNUMBER($H133),ISNUMBER($I133)),IF(MAX($H133,$I133)-$G133&lt;=29,"OK","LATE: protected / info served after day 30"),IF(TODAY()-$G133&gt;29,"OVERDUE: not protected / info not served","Protect + serve info by "&amp;TEXT($G133+29,"dd/mm/yyyy"))))))</f>
        <v/>
      </c>
      <c r="K133" s="97">
        <f>IF(OR(NOT(ISNUMBER($E133)),NOT(ISNUMBER($F133))),"",IF($F133&lt;=$E133*12/52*5,"OK","Over 5 weeks"))</f>
        <v/>
      </c>
      <c r="L133" s="52"/>
      <c r="M133" s="52"/>
      <c r="N133" s="122">
        <f>IF(OR($A133="",NOT(ISNUMBER($L133))),IF($A133="","","Not recorded"),IF(NOT(ISNUMBER($M133)),"Checked (no follow-up)",IF($M133&lt;TODAY(),"OVERDUE: follow-up check",IF($M133-TODAY()&lt;=60,"Follow-up due "&amp;TEXT($M133,"dd/mm/yyyy"),"Checked"))))</f>
        <v/>
      </c>
      <c r="O133" s="52"/>
      <c r="P133" s="52"/>
      <c r="Q133" s="122">
        <f>IF($A133="","",IF(NOT(ISNUMBER($D133)),"Enter start date",IF($D133&gt;=DATE(2026,5,1),IF(ISNUMBER($O133),"Complete","Missing: written terms"),IF(OR(ISNUMBER($P133),ISNUMBER($O133)),"Complete","Missing: Information Sheet (was due 31/05/2026)"))))</f>
        <v/>
      </c>
      <c r="R133" s="52"/>
      <c r="S133" s="82">
        <f>IF(ISNUMBER($R133),$R133+364,IF(ISNUMBER($D133),$D133+364,""))</f>
        <v/>
      </c>
      <c r="T133" s="52"/>
      <c r="U133" s="82">
        <f>IF(ISNUMBER($T133),IF(ISNUMBER($S133),MAX(EDATE($T133,2),$S133),EDATE($T133,2)),"")</f>
        <v/>
      </c>
      <c r="V133" s="52"/>
      <c r="W133" s="52"/>
      <c r="X133" s="121">
        <f>IF(NOT(ISNUMBER($V133)),"",IF(ISNUMBER($W133),IF($W133-$V133&lt;=28,"Answered in time","LATE: answered after day 28"),IF(TODAY()-$V133&gt;28,"OVERDUE: no reply yet","Reply due by "&amp;TEXT($V133+28,"dd/mm/yyyy"))))</f>
        <v/>
      </c>
      <c r="Y133" s="54"/>
    </row>
    <row r="134" spans="1:25">
      <c r="A134" s="54"/>
      <c r="B134" s="54"/>
      <c r="C134" s="51"/>
      <c r="D134" s="52"/>
      <c r="E134" s="120"/>
      <c r="F134" s="120"/>
      <c r="G134" s="52"/>
      <c r="H134" s="52"/>
      <c r="I134" s="52"/>
      <c r="J134" s="121">
        <f>IF(OR($A134="",NOT(ISNUMBER($F134))),"",IF($F134&lt;=0,"No deposit",IF(NOT(ISNUMBER($G134)),"Enter date received",IF(AND(ISNUMBER($H134),ISNUMBER($I134)),IF(MAX($H134,$I134)-$G134&lt;=29,"OK","LATE: protected / info served after day 30"),IF(TODAY()-$G134&gt;29,"OVERDUE: not protected / info not served","Protect + serve info by "&amp;TEXT($G134+29,"dd/mm/yyyy"))))))</f>
        <v/>
      </c>
      <c r="K134" s="97">
        <f>IF(OR(NOT(ISNUMBER($E134)),NOT(ISNUMBER($F134))),"",IF($F134&lt;=$E134*12/52*5,"OK","Over 5 weeks"))</f>
        <v/>
      </c>
      <c r="L134" s="52"/>
      <c r="M134" s="52"/>
      <c r="N134" s="122">
        <f>IF(OR($A134="",NOT(ISNUMBER($L134))),IF($A134="","","Not recorded"),IF(NOT(ISNUMBER($M134)),"Checked (no follow-up)",IF($M134&lt;TODAY(),"OVERDUE: follow-up check",IF($M134-TODAY()&lt;=60,"Follow-up due "&amp;TEXT($M134,"dd/mm/yyyy"),"Checked"))))</f>
        <v/>
      </c>
      <c r="O134" s="52"/>
      <c r="P134" s="52"/>
      <c r="Q134" s="122">
        <f>IF($A134="","",IF(NOT(ISNUMBER($D134)),"Enter start date",IF($D134&gt;=DATE(2026,5,1),IF(ISNUMBER($O134),"Complete","Missing: written terms"),IF(OR(ISNUMBER($P134),ISNUMBER($O134)),"Complete","Missing: Information Sheet (was due 31/05/2026)"))))</f>
        <v/>
      </c>
      <c r="R134" s="52"/>
      <c r="S134" s="82">
        <f>IF(ISNUMBER($R134),$R134+364,IF(ISNUMBER($D134),$D134+364,""))</f>
        <v/>
      </c>
      <c r="T134" s="52"/>
      <c r="U134" s="82">
        <f>IF(ISNUMBER($T134),IF(ISNUMBER($S134),MAX(EDATE($T134,2),$S134),EDATE($T134,2)),"")</f>
        <v/>
      </c>
      <c r="V134" s="52"/>
      <c r="W134" s="52"/>
      <c r="X134" s="121">
        <f>IF(NOT(ISNUMBER($V134)),"",IF(ISNUMBER($W134),IF($W134-$V134&lt;=28,"Answered in time","LATE: answered after day 28"),IF(TODAY()-$V134&gt;28,"OVERDUE: no reply yet","Reply due by "&amp;TEXT($V134+28,"dd/mm/yyyy"))))</f>
        <v/>
      </c>
      <c r="Y134" s="54"/>
    </row>
    <row r="135" spans="1:25">
      <c r="A135" s="54"/>
      <c r="B135" s="54"/>
      <c r="C135" s="51"/>
      <c r="D135" s="52"/>
      <c r="E135" s="120"/>
      <c r="F135" s="120"/>
      <c r="G135" s="52"/>
      <c r="H135" s="52"/>
      <c r="I135" s="52"/>
      <c r="J135" s="121">
        <f>IF(OR($A135="",NOT(ISNUMBER($F135))),"",IF($F135&lt;=0,"No deposit",IF(NOT(ISNUMBER($G135)),"Enter date received",IF(AND(ISNUMBER($H135),ISNUMBER($I135)),IF(MAX($H135,$I135)-$G135&lt;=29,"OK","LATE: protected / info served after day 30"),IF(TODAY()-$G135&gt;29,"OVERDUE: not protected / info not served","Protect + serve info by "&amp;TEXT($G135+29,"dd/mm/yyyy"))))))</f>
        <v/>
      </c>
      <c r="K135" s="97">
        <f>IF(OR(NOT(ISNUMBER($E135)),NOT(ISNUMBER($F135))),"",IF($F135&lt;=$E135*12/52*5,"OK","Over 5 weeks"))</f>
        <v/>
      </c>
      <c r="L135" s="52"/>
      <c r="M135" s="52"/>
      <c r="N135" s="122">
        <f>IF(OR($A135="",NOT(ISNUMBER($L135))),IF($A135="","","Not recorded"),IF(NOT(ISNUMBER($M135)),"Checked (no follow-up)",IF($M135&lt;TODAY(),"OVERDUE: follow-up check",IF($M135-TODAY()&lt;=60,"Follow-up due "&amp;TEXT($M135,"dd/mm/yyyy"),"Checked"))))</f>
        <v/>
      </c>
      <c r="O135" s="52"/>
      <c r="P135" s="52"/>
      <c r="Q135" s="122">
        <f>IF($A135="","",IF(NOT(ISNUMBER($D135)),"Enter start date",IF($D135&gt;=DATE(2026,5,1),IF(ISNUMBER($O135),"Complete","Missing: written terms"),IF(OR(ISNUMBER($P135),ISNUMBER($O135)),"Complete","Missing: Information Sheet (was due 31/05/2026)"))))</f>
        <v/>
      </c>
      <c r="R135" s="52"/>
      <c r="S135" s="82">
        <f>IF(ISNUMBER($R135),$R135+364,IF(ISNUMBER($D135),$D135+364,""))</f>
        <v/>
      </c>
      <c r="T135" s="52"/>
      <c r="U135" s="82">
        <f>IF(ISNUMBER($T135),IF(ISNUMBER($S135),MAX(EDATE($T135,2),$S135),EDATE($T135,2)),"")</f>
        <v/>
      </c>
      <c r="V135" s="52"/>
      <c r="W135" s="52"/>
      <c r="X135" s="121">
        <f>IF(NOT(ISNUMBER($V135)),"",IF(ISNUMBER($W135),IF($W135-$V135&lt;=28,"Answered in time","LATE: answered after day 28"),IF(TODAY()-$V135&gt;28,"OVERDUE: no reply yet","Reply due by "&amp;TEXT($V135+28,"dd/mm/yyyy"))))</f>
        <v/>
      </c>
      <c r="Y135" s="54"/>
    </row>
    <row r="136" spans="1:25">
      <c r="A136" s="54"/>
      <c r="B136" s="54"/>
      <c r="C136" s="51"/>
      <c r="D136" s="52"/>
      <c r="E136" s="120"/>
      <c r="F136" s="120"/>
      <c r="G136" s="52"/>
      <c r="H136" s="52"/>
      <c r="I136" s="52"/>
      <c r="J136" s="121">
        <f>IF(OR($A136="",NOT(ISNUMBER($F136))),"",IF($F136&lt;=0,"No deposit",IF(NOT(ISNUMBER($G136)),"Enter date received",IF(AND(ISNUMBER($H136),ISNUMBER($I136)),IF(MAX($H136,$I136)-$G136&lt;=29,"OK","LATE: protected / info served after day 30"),IF(TODAY()-$G136&gt;29,"OVERDUE: not protected / info not served","Protect + serve info by "&amp;TEXT($G136+29,"dd/mm/yyyy"))))))</f>
        <v/>
      </c>
      <c r="K136" s="97">
        <f>IF(OR(NOT(ISNUMBER($E136)),NOT(ISNUMBER($F136))),"",IF($F136&lt;=$E136*12/52*5,"OK","Over 5 weeks"))</f>
        <v/>
      </c>
      <c r="L136" s="52"/>
      <c r="M136" s="52"/>
      <c r="N136" s="122">
        <f>IF(OR($A136="",NOT(ISNUMBER($L136))),IF($A136="","","Not recorded"),IF(NOT(ISNUMBER($M136)),"Checked (no follow-up)",IF($M136&lt;TODAY(),"OVERDUE: follow-up check",IF($M136-TODAY()&lt;=60,"Follow-up due "&amp;TEXT($M136,"dd/mm/yyyy"),"Checked"))))</f>
        <v/>
      </c>
      <c r="O136" s="52"/>
      <c r="P136" s="52"/>
      <c r="Q136" s="122">
        <f>IF($A136="","",IF(NOT(ISNUMBER($D136)),"Enter start date",IF($D136&gt;=DATE(2026,5,1),IF(ISNUMBER($O136),"Complete","Missing: written terms"),IF(OR(ISNUMBER($P136),ISNUMBER($O136)),"Complete","Missing: Information Sheet (was due 31/05/2026)"))))</f>
        <v/>
      </c>
      <c r="R136" s="52"/>
      <c r="S136" s="82">
        <f>IF(ISNUMBER($R136),$R136+364,IF(ISNUMBER($D136),$D136+364,""))</f>
        <v/>
      </c>
      <c r="T136" s="52"/>
      <c r="U136" s="82">
        <f>IF(ISNUMBER($T136),IF(ISNUMBER($S136),MAX(EDATE($T136,2),$S136),EDATE($T136,2)),"")</f>
        <v/>
      </c>
      <c r="V136" s="52"/>
      <c r="W136" s="52"/>
      <c r="X136" s="121">
        <f>IF(NOT(ISNUMBER($V136)),"",IF(ISNUMBER($W136),IF($W136-$V136&lt;=28,"Answered in time","LATE: answered after day 28"),IF(TODAY()-$V136&gt;28,"OVERDUE: no reply yet","Reply due by "&amp;TEXT($V136+28,"dd/mm/yyyy"))))</f>
        <v/>
      </c>
      <c r="Y136" s="54"/>
    </row>
    <row r="137" spans="1:25">
      <c r="A137" s="54"/>
      <c r="B137" s="54"/>
      <c r="C137" s="51"/>
      <c r="D137" s="52"/>
      <c r="E137" s="120"/>
      <c r="F137" s="120"/>
      <c r="G137" s="52"/>
      <c r="H137" s="52"/>
      <c r="I137" s="52"/>
      <c r="J137" s="121">
        <f>IF(OR($A137="",NOT(ISNUMBER($F137))),"",IF($F137&lt;=0,"No deposit",IF(NOT(ISNUMBER($G137)),"Enter date received",IF(AND(ISNUMBER($H137),ISNUMBER($I137)),IF(MAX($H137,$I137)-$G137&lt;=29,"OK","LATE: protected / info served after day 30"),IF(TODAY()-$G137&gt;29,"OVERDUE: not protected / info not served","Protect + serve info by "&amp;TEXT($G137+29,"dd/mm/yyyy"))))))</f>
        <v/>
      </c>
      <c r="K137" s="97">
        <f>IF(OR(NOT(ISNUMBER($E137)),NOT(ISNUMBER($F137))),"",IF($F137&lt;=$E137*12/52*5,"OK","Over 5 weeks"))</f>
        <v/>
      </c>
      <c r="L137" s="52"/>
      <c r="M137" s="52"/>
      <c r="N137" s="122">
        <f>IF(OR($A137="",NOT(ISNUMBER($L137))),IF($A137="","","Not recorded"),IF(NOT(ISNUMBER($M137)),"Checked (no follow-up)",IF($M137&lt;TODAY(),"OVERDUE: follow-up check",IF($M137-TODAY()&lt;=60,"Follow-up due "&amp;TEXT($M137,"dd/mm/yyyy"),"Checked"))))</f>
        <v/>
      </c>
      <c r="O137" s="52"/>
      <c r="P137" s="52"/>
      <c r="Q137" s="122">
        <f>IF($A137="","",IF(NOT(ISNUMBER($D137)),"Enter start date",IF($D137&gt;=DATE(2026,5,1),IF(ISNUMBER($O137),"Complete","Missing: written terms"),IF(OR(ISNUMBER($P137),ISNUMBER($O137)),"Complete","Missing: Information Sheet (was due 31/05/2026)"))))</f>
        <v/>
      </c>
      <c r="R137" s="52"/>
      <c r="S137" s="82">
        <f>IF(ISNUMBER($R137),$R137+364,IF(ISNUMBER($D137),$D137+364,""))</f>
        <v/>
      </c>
      <c r="T137" s="52"/>
      <c r="U137" s="82">
        <f>IF(ISNUMBER($T137),IF(ISNUMBER($S137),MAX(EDATE($T137,2),$S137),EDATE($T137,2)),"")</f>
        <v/>
      </c>
      <c r="V137" s="52"/>
      <c r="W137" s="52"/>
      <c r="X137" s="121">
        <f>IF(NOT(ISNUMBER($V137)),"",IF(ISNUMBER($W137),IF($W137-$V137&lt;=28,"Answered in time","LATE: answered after day 28"),IF(TODAY()-$V137&gt;28,"OVERDUE: no reply yet","Reply due by "&amp;TEXT($V137+28,"dd/mm/yyyy"))))</f>
        <v/>
      </c>
      <c r="Y137" s="54"/>
    </row>
    <row r="138" spans="1:25">
      <c r="A138" s="54"/>
      <c r="B138" s="54"/>
      <c r="C138" s="51"/>
      <c r="D138" s="52"/>
      <c r="E138" s="120"/>
      <c r="F138" s="120"/>
      <c r="G138" s="52"/>
      <c r="H138" s="52"/>
      <c r="I138" s="52"/>
      <c r="J138" s="121">
        <f>IF(OR($A138="",NOT(ISNUMBER($F138))),"",IF($F138&lt;=0,"No deposit",IF(NOT(ISNUMBER($G138)),"Enter date received",IF(AND(ISNUMBER($H138),ISNUMBER($I138)),IF(MAX($H138,$I138)-$G138&lt;=29,"OK","LATE: protected / info served after day 30"),IF(TODAY()-$G138&gt;29,"OVERDUE: not protected / info not served","Protect + serve info by "&amp;TEXT($G138+29,"dd/mm/yyyy"))))))</f>
        <v/>
      </c>
      <c r="K138" s="97">
        <f>IF(OR(NOT(ISNUMBER($E138)),NOT(ISNUMBER($F138))),"",IF($F138&lt;=$E138*12/52*5,"OK","Over 5 weeks"))</f>
        <v/>
      </c>
      <c r="L138" s="52"/>
      <c r="M138" s="52"/>
      <c r="N138" s="122">
        <f>IF(OR($A138="",NOT(ISNUMBER($L138))),IF($A138="","","Not recorded"),IF(NOT(ISNUMBER($M138)),"Checked (no follow-up)",IF($M138&lt;TODAY(),"OVERDUE: follow-up check",IF($M138-TODAY()&lt;=60,"Follow-up due "&amp;TEXT($M138,"dd/mm/yyyy"),"Checked"))))</f>
        <v/>
      </c>
      <c r="O138" s="52"/>
      <c r="P138" s="52"/>
      <c r="Q138" s="122">
        <f>IF($A138="","",IF(NOT(ISNUMBER($D138)),"Enter start date",IF($D138&gt;=DATE(2026,5,1),IF(ISNUMBER($O138),"Complete","Missing: written terms"),IF(OR(ISNUMBER($P138),ISNUMBER($O138)),"Complete","Missing: Information Sheet (was due 31/05/2026)"))))</f>
        <v/>
      </c>
      <c r="R138" s="52"/>
      <c r="S138" s="82">
        <f>IF(ISNUMBER($R138),$R138+364,IF(ISNUMBER($D138),$D138+364,""))</f>
        <v/>
      </c>
      <c r="T138" s="52"/>
      <c r="U138" s="82">
        <f>IF(ISNUMBER($T138),IF(ISNUMBER($S138),MAX(EDATE($T138,2),$S138),EDATE($T138,2)),"")</f>
        <v/>
      </c>
      <c r="V138" s="52"/>
      <c r="W138" s="52"/>
      <c r="X138" s="121">
        <f>IF(NOT(ISNUMBER($V138)),"",IF(ISNUMBER($W138),IF($W138-$V138&lt;=28,"Answered in time","LATE: answered after day 28"),IF(TODAY()-$V138&gt;28,"OVERDUE: no reply yet","Reply due by "&amp;TEXT($V138+28,"dd/mm/yyyy"))))</f>
        <v/>
      </c>
      <c r="Y138" s="54"/>
    </row>
    <row r="139" spans="1:25">
      <c r="A139" s="54"/>
      <c r="B139" s="54"/>
      <c r="C139" s="51"/>
      <c r="D139" s="52"/>
      <c r="E139" s="120"/>
      <c r="F139" s="120"/>
      <c r="G139" s="52"/>
      <c r="H139" s="52"/>
      <c r="I139" s="52"/>
      <c r="J139" s="121">
        <f>IF(OR($A139="",NOT(ISNUMBER($F139))),"",IF($F139&lt;=0,"No deposit",IF(NOT(ISNUMBER($G139)),"Enter date received",IF(AND(ISNUMBER($H139),ISNUMBER($I139)),IF(MAX($H139,$I139)-$G139&lt;=29,"OK","LATE: protected / info served after day 30"),IF(TODAY()-$G139&gt;29,"OVERDUE: not protected / info not served","Protect + serve info by "&amp;TEXT($G139+29,"dd/mm/yyyy"))))))</f>
        <v/>
      </c>
      <c r="K139" s="97">
        <f>IF(OR(NOT(ISNUMBER($E139)),NOT(ISNUMBER($F139))),"",IF($F139&lt;=$E139*12/52*5,"OK","Over 5 weeks"))</f>
        <v/>
      </c>
      <c r="L139" s="52"/>
      <c r="M139" s="52"/>
      <c r="N139" s="122">
        <f>IF(OR($A139="",NOT(ISNUMBER($L139))),IF($A139="","","Not recorded"),IF(NOT(ISNUMBER($M139)),"Checked (no follow-up)",IF($M139&lt;TODAY(),"OVERDUE: follow-up check",IF($M139-TODAY()&lt;=60,"Follow-up due "&amp;TEXT($M139,"dd/mm/yyyy"),"Checked"))))</f>
        <v/>
      </c>
      <c r="O139" s="52"/>
      <c r="P139" s="52"/>
      <c r="Q139" s="122">
        <f>IF($A139="","",IF(NOT(ISNUMBER($D139)),"Enter start date",IF($D139&gt;=DATE(2026,5,1),IF(ISNUMBER($O139),"Complete","Missing: written terms"),IF(OR(ISNUMBER($P139),ISNUMBER($O139)),"Complete","Missing: Information Sheet (was due 31/05/2026)"))))</f>
        <v/>
      </c>
      <c r="R139" s="52"/>
      <c r="S139" s="82">
        <f>IF(ISNUMBER($R139),$R139+364,IF(ISNUMBER($D139),$D139+364,""))</f>
        <v/>
      </c>
      <c r="T139" s="52"/>
      <c r="U139" s="82">
        <f>IF(ISNUMBER($T139),IF(ISNUMBER($S139),MAX(EDATE($T139,2),$S139),EDATE($T139,2)),"")</f>
        <v/>
      </c>
      <c r="V139" s="52"/>
      <c r="W139" s="52"/>
      <c r="X139" s="121">
        <f>IF(NOT(ISNUMBER($V139)),"",IF(ISNUMBER($W139),IF($W139-$V139&lt;=28,"Answered in time","LATE: answered after day 28"),IF(TODAY()-$V139&gt;28,"OVERDUE: no reply yet","Reply due by "&amp;TEXT($V139+28,"dd/mm/yyyy"))))</f>
        <v/>
      </c>
      <c r="Y139" s="54"/>
    </row>
    <row r="140" spans="1:25">
      <c r="A140" s="54"/>
      <c r="B140" s="54"/>
      <c r="C140" s="51"/>
      <c r="D140" s="52"/>
      <c r="E140" s="120"/>
      <c r="F140" s="120"/>
      <c r="G140" s="52"/>
      <c r="H140" s="52"/>
      <c r="I140" s="52"/>
      <c r="J140" s="121">
        <f>IF(OR($A140="",NOT(ISNUMBER($F140))),"",IF($F140&lt;=0,"No deposit",IF(NOT(ISNUMBER($G140)),"Enter date received",IF(AND(ISNUMBER($H140),ISNUMBER($I140)),IF(MAX($H140,$I140)-$G140&lt;=29,"OK","LATE: protected / info served after day 30"),IF(TODAY()-$G140&gt;29,"OVERDUE: not protected / info not served","Protect + serve info by "&amp;TEXT($G140+29,"dd/mm/yyyy"))))))</f>
        <v/>
      </c>
      <c r="K140" s="97">
        <f>IF(OR(NOT(ISNUMBER($E140)),NOT(ISNUMBER($F140))),"",IF($F140&lt;=$E140*12/52*5,"OK","Over 5 weeks"))</f>
        <v/>
      </c>
      <c r="L140" s="52"/>
      <c r="M140" s="52"/>
      <c r="N140" s="122">
        <f>IF(OR($A140="",NOT(ISNUMBER($L140))),IF($A140="","","Not recorded"),IF(NOT(ISNUMBER($M140)),"Checked (no follow-up)",IF($M140&lt;TODAY(),"OVERDUE: follow-up check",IF($M140-TODAY()&lt;=60,"Follow-up due "&amp;TEXT($M140,"dd/mm/yyyy"),"Checked"))))</f>
        <v/>
      </c>
      <c r="O140" s="52"/>
      <c r="P140" s="52"/>
      <c r="Q140" s="122">
        <f>IF($A140="","",IF(NOT(ISNUMBER($D140)),"Enter start date",IF($D140&gt;=DATE(2026,5,1),IF(ISNUMBER($O140),"Complete","Missing: written terms"),IF(OR(ISNUMBER($P140),ISNUMBER($O140)),"Complete","Missing: Information Sheet (was due 31/05/2026)"))))</f>
        <v/>
      </c>
      <c r="R140" s="52"/>
      <c r="S140" s="82">
        <f>IF(ISNUMBER($R140),$R140+364,IF(ISNUMBER($D140),$D140+364,""))</f>
        <v/>
      </c>
      <c r="T140" s="52"/>
      <c r="U140" s="82">
        <f>IF(ISNUMBER($T140),IF(ISNUMBER($S140),MAX(EDATE($T140,2),$S140),EDATE($T140,2)),"")</f>
        <v/>
      </c>
      <c r="V140" s="52"/>
      <c r="W140" s="52"/>
      <c r="X140" s="121">
        <f>IF(NOT(ISNUMBER($V140)),"",IF(ISNUMBER($W140),IF($W140-$V140&lt;=28,"Answered in time","LATE: answered after day 28"),IF(TODAY()-$V140&gt;28,"OVERDUE: no reply yet","Reply due by "&amp;TEXT($V140+28,"dd/mm/yyyy"))))</f>
        <v/>
      </c>
      <c r="Y140" s="54"/>
    </row>
    <row r="141" spans="1:25">
      <c r="A141" s="54"/>
      <c r="B141" s="54"/>
      <c r="C141" s="51"/>
      <c r="D141" s="52"/>
      <c r="E141" s="120"/>
      <c r="F141" s="120"/>
      <c r="G141" s="52"/>
      <c r="H141" s="52"/>
      <c r="I141" s="52"/>
      <c r="J141" s="121">
        <f>IF(OR($A141="",NOT(ISNUMBER($F141))),"",IF($F141&lt;=0,"No deposit",IF(NOT(ISNUMBER($G141)),"Enter date received",IF(AND(ISNUMBER($H141),ISNUMBER($I141)),IF(MAX($H141,$I141)-$G141&lt;=29,"OK","LATE: protected / info served after day 30"),IF(TODAY()-$G141&gt;29,"OVERDUE: not protected / info not served","Protect + serve info by "&amp;TEXT($G141+29,"dd/mm/yyyy"))))))</f>
        <v/>
      </c>
      <c r="K141" s="97">
        <f>IF(OR(NOT(ISNUMBER($E141)),NOT(ISNUMBER($F141))),"",IF($F141&lt;=$E141*12/52*5,"OK","Over 5 weeks"))</f>
        <v/>
      </c>
      <c r="L141" s="52"/>
      <c r="M141" s="52"/>
      <c r="N141" s="122">
        <f>IF(OR($A141="",NOT(ISNUMBER($L141))),IF($A141="","","Not recorded"),IF(NOT(ISNUMBER($M141)),"Checked (no follow-up)",IF($M141&lt;TODAY(),"OVERDUE: follow-up check",IF($M141-TODAY()&lt;=60,"Follow-up due "&amp;TEXT($M141,"dd/mm/yyyy"),"Checked"))))</f>
        <v/>
      </c>
      <c r="O141" s="52"/>
      <c r="P141" s="52"/>
      <c r="Q141" s="122">
        <f>IF($A141="","",IF(NOT(ISNUMBER($D141)),"Enter start date",IF($D141&gt;=DATE(2026,5,1),IF(ISNUMBER($O141),"Complete","Missing: written terms"),IF(OR(ISNUMBER($P141),ISNUMBER($O141)),"Complete","Missing: Information Sheet (was due 31/05/2026)"))))</f>
        <v/>
      </c>
      <c r="R141" s="52"/>
      <c r="S141" s="82">
        <f>IF(ISNUMBER($R141),$R141+364,IF(ISNUMBER($D141),$D141+364,""))</f>
        <v/>
      </c>
      <c r="T141" s="52"/>
      <c r="U141" s="82">
        <f>IF(ISNUMBER($T141),IF(ISNUMBER($S141),MAX(EDATE($T141,2),$S141),EDATE($T141,2)),"")</f>
        <v/>
      </c>
      <c r="V141" s="52"/>
      <c r="W141" s="52"/>
      <c r="X141" s="121">
        <f>IF(NOT(ISNUMBER($V141)),"",IF(ISNUMBER($W141),IF($W141-$V141&lt;=28,"Answered in time","LATE: answered after day 28"),IF(TODAY()-$V141&gt;28,"OVERDUE: no reply yet","Reply due by "&amp;TEXT($V141+28,"dd/mm/yyyy"))))</f>
        <v/>
      </c>
      <c r="Y141" s="54"/>
    </row>
    <row r="142" spans="1:25">
      <c r="A142" s="54"/>
      <c r="B142" s="54"/>
      <c r="C142" s="51"/>
      <c r="D142" s="52"/>
      <c r="E142" s="120"/>
      <c r="F142" s="120"/>
      <c r="G142" s="52"/>
      <c r="H142" s="52"/>
      <c r="I142" s="52"/>
      <c r="J142" s="121">
        <f>IF(OR($A142="",NOT(ISNUMBER($F142))),"",IF($F142&lt;=0,"No deposit",IF(NOT(ISNUMBER($G142)),"Enter date received",IF(AND(ISNUMBER($H142),ISNUMBER($I142)),IF(MAX($H142,$I142)-$G142&lt;=29,"OK","LATE: protected / info served after day 30"),IF(TODAY()-$G142&gt;29,"OVERDUE: not protected / info not served","Protect + serve info by "&amp;TEXT($G142+29,"dd/mm/yyyy"))))))</f>
        <v/>
      </c>
      <c r="K142" s="97">
        <f>IF(OR(NOT(ISNUMBER($E142)),NOT(ISNUMBER($F142))),"",IF($F142&lt;=$E142*12/52*5,"OK","Over 5 weeks"))</f>
        <v/>
      </c>
      <c r="L142" s="52"/>
      <c r="M142" s="52"/>
      <c r="N142" s="122">
        <f>IF(OR($A142="",NOT(ISNUMBER($L142))),IF($A142="","","Not recorded"),IF(NOT(ISNUMBER($M142)),"Checked (no follow-up)",IF($M142&lt;TODAY(),"OVERDUE: follow-up check",IF($M142-TODAY()&lt;=60,"Follow-up due "&amp;TEXT($M142,"dd/mm/yyyy"),"Checked"))))</f>
        <v/>
      </c>
      <c r="O142" s="52"/>
      <c r="P142" s="52"/>
      <c r="Q142" s="122">
        <f>IF($A142="","",IF(NOT(ISNUMBER($D142)),"Enter start date",IF($D142&gt;=DATE(2026,5,1),IF(ISNUMBER($O142),"Complete","Missing: written terms"),IF(OR(ISNUMBER($P142),ISNUMBER($O142)),"Complete","Missing: Information Sheet (was due 31/05/2026)"))))</f>
        <v/>
      </c>
      <c r="R142" s="52"/>
      <c r="S142" s="82">
        <f>IF(ISNUMBER($R142),$R142+364,IF(ISNUMBER($D142),$D142+364,""))</f>
        <v/>
      </c>
      <c r="T142" s="52"/>
      <c r="U142" s="82">
        <f>IF(ISNUMBER($T142),IF(ISNUMBER($S142),MAX(EDATE($T142,2),$S142),EDATE($T142,2)),"")</f>
        <v/>
      </c>
      <c r="V142" s="52"/>
      <c r="W142" s="52"/>
      <c r="X142" s="121">
        <f>IF(NOT(ISNUMBER($V142)),"",IF(ISNUMBER($W142),IF($W142-$V142&lt;=28,"Answered in time","LATE: answered after day 28"),IF(TODAY()-$V142&gt;28,"OVERDUE: no reply yet","Reply due by "&amp;TEXT($V142+28,"dd/mm/yyyy"))))</f>
        <v/>
      </c>
      <c r="Y142" s="54"/>
    </row>
    <row r="143" spans="1:25">
      <c r="A143" s="54"/>
      <c r="B143" s="54"/>
      <c r="C143" s="51"/>
      <c r="D143" s="52"/>
      <c r="E143" s="120"/>
      <c r="F143" s="120"/>
      <c r="G143" s="52"/>
      <c r="H143" s="52"/>
      <c r="I143" s="52"/>
      <c r="J143" s="121">
        <f>IF(OR($A143="",NOT(ISNUMBER($F143))),"",IF($F143&lt;=0,"No deposit",IF(NOT(ISNUMBER($G143)),"Enter date received",IF(AND(ISNUMBER($H143),ISNUMBER($I143)),IF(MAX($H143,$I143)-$G143&lt;=29,"OK","LATE: protected / info served after day 30"),IF(TODAY()-$G143&gt;29,"OVERDUE: not protected / info not served","Protect + serve info by "&amp;TEXT($G143+29,"dd/mm/yyyy"))))))</f>
        <v/>
      </c>
      <c r="K143" s="97">
        <f>IF(OR(NOT(ISNUMBER($E143)),NOT(ISNUMBER($F143))),"",IF($F143&lt;=$E143*12/52*5,"OK","Over 5 weeks"))</f>
        <v/>
      </c>
      <c r="L143" s="52"/>
      <c r="M143" s="52"/>
      <c r="N143" s="122">
        <f>IF(OR($A143="",NOT(ISNUMBER($L143))),IF($A143="","","Not recorded"),IF(NOT(ISNUMBER($M143)),"Checked (no follow-up)",IF($M143&lt;TODAY(),"OVERDUE: follow-up check",IF($M143-TODAY()&lt;=60,"Follow-up due "&amp;TEXT($M143,"dd/mm/yyyy"),"Checked"))))</f>
        <v/>
      </c>
      <c r="O143" s="52"/>
      <c r="P143" s="52"/>
      <c r="Q143" s="122">
        <f>IF($A143="","",IF(NOT(ISNUMBER($D143)),"Enter start date",IF($D143&gt;=DATE(2026,5,1),IF(ISNUMBER($O143),"Complete","Missing: written terms"),IF(OR(ISNUMBER($P143),ISNUMBER($O143)),"Complete","Missing: Information Sheet (was due 31/05/2026)"))))</f>
        <v/>
      </c>
      <c r="R143" s="52"/>
      <c r="S143" s="82">
        <f>IF(ISNUMBER($R143),$R143+364,IF(ISNUMBER($D143),$D143+364,""))</f>
        <v/>
      </c>
      <c r="T143" s="52"/>
      <c r="U143" s="82">
        <f>IF(ISNUMBER($T143),IF(ISNUMBER($S143),MAX(EDATE($T143,2),$S143),EDATE($T143,2)),"")</f>
        <v/>
      </c>
      <c r="V143" s="52"/>
      <c r="W143" s="52"/>
      <c r="X143" s="121">
        <f>IF(NOT(ISNUMBER($V143)),"",IF(ISNUMBER($W143),IF($W143-$V143&lt;=28,"Answered in time","LATE: answered after day 28"),IF(TODAY()-$V143&gt;28,"OVERDUE: no reply yet","Reply due by "&amp;TEXT($V143+28,"dd/mm/yyyy"))))</f>
        <v/>
      </c>
      <c r="Y143" s="54"/>
    </row>
    <row r="144" spans="1:25">
      <c r="A144" s="54"/>
      <c r="B144" s="54"/>
      <c r="C144" s="51"/>
      <c r="D144" s="52"/>
      <c r="E144" s="120"/>
      <c r="F144" s="120"/>
      <c r="G144" s="52"/>
      <c r="H144" s="52"/>
      <c r="I144" s="52"/>
      <c r="J144" s="121">
        <f>IF(OR($A144="",NOT(ISNUMBER($F144))),"",IF($F144&lt;=0,"No deposit",IF(NOT(ISNUMBER($G144)),"Enter date received",IF(AND(ISNUMBER($H144),ISNUMBER($I144)),IF(MAX($H144,$I144)-$G144&lt;=29,"OK","LATE: protected / info served after day 30"),IF(TODAY()-$G144&gt;29,"OVERDUE: not protected / info not served","Protect + serve info by "&amp;TEXT($G144+29,"dd/mm/yyyy"))))))</f>
        <v/>
      </c>
      <c r="K144" s="97">
        <f>IF(OR(NOT(ISNUMBER($E144)),NOT(ISNUMBER($F144))),"",IF($F144&lt;=$E144*12/52*5,"OK","Over 5 weeks"))</f>
        <v/>
      </c>
      <c r="L144" s="52"/>
      <c r="M144" s="52"/>
      <c r="N144" s="122">
        <f>IF(OR($A144="",NOT(ISNUMBER($L144))),IF($A144="","","Not recorded"),IF(NOT(ISNUMBER($M144)),"Checked (no follow-up)",IF($M144&lt;TODAY(),"OVERDUE: follow-up check",IF($M144-TODAY()&lt;=60,"Follow-up due "&amp;TEXT($M144,"dd/mm/yyyy"),"Checked"))))</f>
        <v/>
      </c>
      <c r="O144" s="52"/>
      <c r="P144" s="52"/>
      <c r="Q144" s="122">
        <f>IF($A144="","",IF(NOT(ISNUMBER($D144)),"Enter start date",IF($D144&gt;=DATE(2026,5,1),IF(ISNUMBER($O144),"Complete","Missing: written terms"),IF(OR(ISNUMBER($P144),ISNUMBER($O144)),"Complete","Missing: Information Sheet (was due 31/05/2026)"))))</f>
        <v/>
      </c>
      <c r="R144" s="52"/>
      <c r="S144" s="82">
        <f>IF(ISNUMBER($R144),$R144+364,IF(ISNUMBER($D144),$D144+364,""))</f>
        <v/>
      </c>
      <c r="T144" s="52"/>
      <c r="U144" s="82">
        <f>IF(ISNUMBER($T144),IF(ISNUMBER($S144),MAX(EDATE($T144,2),$S144),EDATE($T144,2)),"")</f>
        <v/>
      </c>
      <c r="V144" s="52"/>
      <c r="W144" s="52"/>
      <c r="X144" s="121">
        <f>IF(NOT(ISNUMBER($V144)),"",IF(ISNUMBER($W144),IF($W144-$V144&lt;=28,"Answered in time","LATE: answered after day 28"),IF(TODAY()-$V144&gt;28,"OVERDUE: no reply yet","Reply due by "&amp;TEXT($V144+28,"dd/mm/yyyy"))))</f>
        <v/>
      </c>
      <c r="Y144" s="54"/>
    </row>
    <row r="145" spans="1:25">
      <c r="A145" s="54"/>
      <c r="B145" s="54"/>
      <c r="C145" s="51"/>
      <c r="D145" s="52"/>
      <c r="E145" s="120"/>
      <c r="F145" s="120"/>
      <c r="G145" s="52"/>
      <c r="H145" s="52"/>
      <c r="I145" s="52"/>
      <c r="J145" s="121">
        <f>IF(OR($A145="",NOT(ISNUMBER($F145))),"",IF($F145&lt;=0,"No deposit",IF(NOT(ISNUMBER($G145)),"Enter date received",IF(AND(ISNUMBER($H145),ISNUMBER($I145)),IF(MAX($H145,$I145)-$G145&lt;=29,"OK","LATE: protected / info served after day 30"),IF(TODAY()-$G145&gt;29,"OVERDUE: not protected / info not served","Protect + serve info by "&amp;TEXT($G145+29,"dd/mm/yyyy"))))))</f>
        <v/>
      </c>
      <c r="K145" s="97">
        <f>IF(OR(NOT(ISNUMBER($E145)),NOT(ISNUMBER($F145))),"",IF($F145&lt;=$E145*12/52*5,"OK","Over 5 weeks"))</f>
        <v/>
      </c>
      <c r="L145" s="52"/>
      <c r="M145" s="52"/>
      <c r="N145" s="122">
        <f>IF(OR($A145="",NOT(ISNUMBER($L145))),IF($A145="","","Not recorded"),IF(NOT(ISNUMBER($M145)),"Checked (no follow-up)",IF($M145&lt;TODAY(),"OVERDUE: follow-up check",IF($M145-TODAY()&lt;=60,"Follow-up due "&amp;TEXT($M145,"dd/mm/yyyy"),"Checked"))))</f>
        <v/>
      </c>
      <c r="O145" s="52"/>
      <c r="P145" s="52"/>
      <c r="Q145" s="122">
        <f>IF($A145="","",IF(NOT(ISNUMBER($D145)),"Enter start date",IF($D145&gt;=DATE(2026,5,1),IF(ISNUMBER($O145),"Complete","Missing: written terms"),IF(OR(ISNUMBER($P145),ISNUMBER($O145)),"Complete","Missing: Information Sheet (was due 31/05/2026)"))))</f>
        <v/>
      </c>
      <c r="R145" s="52"/>
      <c r="S145" s="82">
        <f>IF(ISNUMBER($R145),$R145+364,IF(ISNUMBER($D145),$D145+364,""))</f>
        <v/>
      </c>
      <c r="T145" s="52"/>
      <c r="U145" s="82">
        <f>IF(ISNUMBER($T145),IF(ISNUMBER($S145),MAX(EDATE($T145,2),$S145),EDATE($T145,2)),"")</f>
        <v/>
      </c>
      <c r="V145" s="52"/>
      <c r="W145" s="52"/>
      <c r="X145" s="121">
        <f>IF(NOT(ISNUMBER($V145)),"",IF(ISNUMBER($W145),IF($W145-$V145&lt;=28,"Answered in time","LATE: answered after day 28"),IF(TODAY()-$V145&gt;28,"OVERDUE: no reply yet","Reply due by "&amp;TEXT($V145+28,"dd/mm/yyyy"))))</f>
        <v/>
      </c>
      <c r="Y145" s="54"/>
    </row>
    <row r="146" spans="1:25">
      <c r="A146" s="54"/>
      <c r="B146" s="54"/>
      <c r="C146" s="51"/>
      <c r="D146" s="52"/>
      <c r="E146" s="120"/>
      <c r="F146" s="120"/>
      <c r="G146" s="52"/>
      <c r="H146" s="52"/>
      <c r="I146" s="52"/>
      <c r="J146" s="121">
        <f>IF(OR($A146="",NOT(ISNUMBER($F146))),"",IF($F146&lt;=0,"No deposit",IF(NOT(ISNUMBER($G146)),"Enter date received",IF(AND(ISNUMBER($H146),ISNUMBER($I146)),IF(MAX($H146,$I146)-$G146&lt;=29,"OK","LATE: protected / info served after day 30"),IF(TODAY()-$G146&gt;29,"OVERDUE: not protected / info not served","Protect + serve info by "&amp;TEXT($G146+29,"dd/mm/yyyy"))))))</f>
        <v/>
      </c>
      <c r="K146" s="97">
        <f>IF(OR(NOT(ISNUMBER($E146)),NOT(ISNUMBER($F146))),"",IF($F146&lt;=$E146*12/52*5,"OK","Over 5 weeks"))</f>
        <v/>
      </c>
      <c r="L146" s="52"/>
      <c r="M146" s="52"/>
      <c r="N146" s="122">
        <f>IF(OR($A146="",NOT(ISNUMBER($L146))),IF($A146="","","Not recorded"),IF(NOT(ISNUMBER($M146)),"Checked (no follow-up)",IF($M146&lt;TODAY(),"OVERDUE: follow-up check",IF($M146-TODAY()&lt;=60,"Follow-up due "&amp;TEXT($M146,"dd/mm/yyyy"),"Checked"))))</f>
        <v/>
      </c>
      <c r="O146" s="52"/>
      <c r="P146" s="52"/>
      <c r="Q146" s="122">
        <f>IF($A146="","",IF(NOT(ISNUMBER($D146)),"Enter start date",IF($D146&gt;=DATE(2026,5,1),IF(ISNUMBER($O146),"Complete","Missing: written terms"),IF(OR(ISNUMBER($P146),ISNUMBER($O146)),"Complete","Missing: Information Sheet (was due 31/05/2026)"))))</f>
        <v/>
      </c>
      <c r="R146" s="52"/>
      <c r="S146" s="82">
        <f>IF(ISNUMBER($R146),$R146+364,IF(ISNUMBER($D146),$D146+364,""))</f>
        <v/>
      </c>
      <c r="T146" s="52"/>
      <c r="U146" s="82">
        <f>IF(ISNUMBER($T146),IF(ISNUMBER($S146),MAX(EDATE($T146,2),$S146),EDATE($T146,2)),"")</f>
        <v/>
      </c>
      <c r="V146" s="52"/>
      <c r="W146" s="52"/>
      <c r="X146" s="121">
        <f>IF(NOT(ISNUMBER($V146)),"",IF(ISNUMBER($W146),IF($W146-$V146&lt;=28,"Answered in time","LATE: answered after day 28"),IF(TODAY()-$V146&gt;28,"OVERDUE: no reply yet","Reply due by "&amp;TEXT($V146+28,"dd/mm/yyyy"))))</f>
        <v/>
      </c>
      <c r="Y146" s="54"/>
    </row>
    <row r="147" spans="1:25">
      <c r="A147" s="54"/>
      <c r="B147" s="54"/>
      <c r="C147" s="51"/>
      <c r="D147" s="52"/>
      <c r="E147" s="120"/>
      <c r="F147" s="120"/>
      <c r="G147" s="52"/>
      <c r="H147" s="52"/>
      <c r="I147" s="52"/>
      <c r="J147" s="121">
        <f>IF(OR($A147="",NOT(ISNUMBER($F147))),"",IF($F147&lt;=0,"No deposit",IF(NOT(ISNUMBER($G147)),"Enter date received",IF(AND(ISNUMBER($H147),ISNUMBER($I147)),IF(MAX($H147,$I147)-$G147&lt;=29,"OK","LATE: protected / info served after day 30"),IF(TODAY()-$G147&gt;29,"OVERDUE: not protected / info not served","Protect + serve info by "&amp;TEXT($G147+29,"dd/mm/yyyy"))))))</f>
        <v/>
      </c>
      <c r="K147" s="97">
        <f>IF(OR(NOT(ISNUMBER($E147)),NOT(ISNUMBER($F147))),"",IF($F147&lt;=$E147*12/52*5,"OK","Over 5 weeks"))</f>
        <v/>
      </c>
      <c r="L147" s="52"/>
      <c r="M147" s="52"/>
      <c r="N147" s="122">
        <f>IF(OR($A147="",NOT(ISNUMBER($L147))),IF($A147="","","Not recorded"),IF(NOT(ISNUMBER($M147)),"Checked (no follow-up)",IF($M147&lt;TODAY(),"OVERDUE: follow-up check",IF($M147-TODAY()&lt;=60,"Follow-up due "&amp;TEXT($M147,"dd/mm/yyyy"),"Checked"))))</f>
        <v/>
      </c>
      <c r="O147" s="52"/>
      <c r="P147" s="52"/>
      <c r="Q147" s="122">
        <f>IF($A147="","",IF(NOT(ISNUMBER($D147)),"Enter start date",IF($D147&gt;=DATE(2026,5,1),IF(ISNUMBER($O147),"Complete","Missing: written terms"),IF(OR(ISNUMBER($P147),ISNUMBER($O147)),"Complete","Missing: Information Sheet (was due 31/05/2026)"))))</f>
        <v/>
      </c>
      <c r="R147" s="52"/>
      <c r="S147" s="82">
        <f>IF(ISNUMBER($R147),$R147+364,IF(ISNUMBER($D147),$D147+364,""))</f>
        <v/>
      </c>
      <c r="T147" s="52"/>
      <c r="U147" s="82">
        <f>IF(ISNUMBER($T147),IF(ISNUMBER($S147),MAX(EDATE($T147,2),$S147),EDATE($T147,2)),"")</f>
        <v/>
      </c>
      <c r="V147" s="52"/>
      <c r="W147" s="52"/>
      <c r="X147" s="121">
        <f>IF(NOT(ISNUMBER($V147)),"",IF(ISNUMBER($W147),IF($W147-$V147&lt;=28,"Answered in time","LATE: answered after day 28"),IF(TODAY()-$V147&gt;28,"OVERDUE: no reply yet","Reply due by "&amp;TEXT($V147+28,"dd/mm/yyyy"))))</f>
        <v/>
      </c>
      <c r="Y147" s="54"/>
    </row>
    <row r="148" spans="1:25">
      <c r="A148" s="54"/>
      <c r="B148" s="54"/>
      <c r="C148" s="51"/>
      <c r="D148" s="52"/>
      <c r="E148" s="120"/>
      <c r="F148" s="120"/>
      <c r="G148" s="52"/>
      <c r="H148" s="52"/>
      <c r="I148" s="52"/>
      <c r="J148" s="121">
        <f>IF(OR($A148="",NOT(ISNUMBER($F148))),"",IF($F148&lt;=0,"No deposit",IF(NOT(ISNUMBER($G148)),"Enter date received",IF(AND(ISNUMBER($H148),ISNUMBER($I148)),IF(MAX($H148,$I148)-$G148&lt;=29,"OK","LATE: protected / info served after day 30"),IF(TODAY()-$G148&gt;29,"OVERDUE: not protected / info not served","Protect + serve info by "&amp;TEXT($G148+29,"dd/mm/yyyy"))))))</f>
        <v/>
      </c>
      <c r="K148" s="97">
        <f>IF(OR(NOT(ISNUMBER($E148)),NOT(ISNUMBER($F148))),"",IF($F148&lt;=$E148*12/52*5,"OK","Over 5 weeks"))</f>
        <v/>
      </c>
      <c r="L148" s="52"/>
      <c r="M148" s="52"/>
      <c r="N148" s="122">
        <f>IF(OR($A148="",NOT(ISNUMBER($L148))),IF($A148="","","Not recorded"),IF(NOT(ISNUMBER($M148)),"Checked (no follow-up)",IF($M148&lt;TODAY(),"OVERDUE: follow-up check",IF($M148-TODAY()&lt;=60,"Follow-up due "&amp;TEXT($M148,"dd/mm/yyyy"),"Checked"))))</f>
        <v/>
      </c>
      <c r="O148" s="52"/>
      <c r="P148" s="52"/>
      <c r="Q148" s="122">
        <f>IF($A148="","",IF(NOT(ISNUMBER($D148)),"Enter start date",IF($D148&gt;=DATE(2026,5,1),IF(ISNUMBER($O148),"Complete","Missing: written terms"),IF(OR(ISNUMBER($P148),ISNUMBER($O148)),"Complete","Missing: Information Sheet (was due 31/05/2026)"))))</f>
        <v/>
      </c>
      <c r="R148" s="52"/>
      <c r="S148" s="82">
        <f>IF(ISNUMBER($R148),$R148+364,IF(ISNUMBER($D148),$D148+364,""))</f>
        <v/>
      </c>
      <c r="T148" s="52"/>
      <c r="U148" s="82">
        <f>IF(ISNUMBER($T148),IF(ISNUMBER($S148),MAX(EDATE($T148,2),$S148),EDATE($T148,2)),"")</f>
        <v/>
      </c>
      <c r="V148" s="52"/>
      <c r="W148" s="52"/>
      <c r="X148" s="121">
        <f>IF(NOT(ISNUMBER($V148)),"",IF(ISNUMBER($W148),IF($W148-$V148&lt;=28,"Answered in time","LATE: answered after day 28"),IF(TODAY()-$V148&gt;28,"OVERDUE: no reply yet","Reply due by "&amp;TEXT($V148+28,"dd/mm/yyyy"))))</f>
        <v/>
      </c>
      <c r="Y148" s="54"/>
    </row>
    <row r="149" spans="1:25">
      <c r="A149" s="54"/>
      <c r="B149" s="54"/>
      <c r="C149" s="51"/>
      <c r="D149" s="52"/>
      <c r="E149" s="120"/>
      <c r="F149" s="120"/>
      <c r="G149" s="52"/>
      <c r="H149" s="52"/>
      <c r="I149" s="52"/>
      <c r="J149" s="121">
        <f>IF(OR($A149="",NOT(ISNUMBER($F149))),"",IF($F149&lt;=0,"No deposit",IF(NOT(ISNUMBER($G149)),"Enter date received",IF(AND(ISNUMBER($H149),ISNUMBER($I149)),IF(MAX($H149,$I149)-$G149&lt;=29,"OK","LATE: protected / info served after day 30"),IF(TODAY()-$G149&gt;29,"OVERDUE: not protected / info not served","Protect + serve info by "&amp;TEXT($G149+29,"dd/mm/yyyy"))))))</f>
        <v/>
      </c>
      <c r="K149" s="97">
        <f>IF(OR(NOT(ISNUMBER($E149)),NOT(ISNUMBER($F149))),"",IF($F149&lt;=$E149*12/52*5,"OK","Over 5 weeks"))</f>
        <v/>
      </c>
      <c r="L149" s="52"/>
      <c r="M149" s="52"/>
      <c r="N149" s="122">
        <f>IF(OR($A149="",NOT(ISNUMBER($L149))),IF($A149="","","Not recorded"),IF(NOT(ISNUMBER($M149)),"Checked (no follow-up)",IF($M149&lt;TODAY(),"OVERDUE: follow-up check",IF($M149-TODAY()&lt;=60,"Follow-up due "&amp;TEXT($M149,"dd/mm/yyyy"),"Checked"))))</f>
        <v/>
      </c>
      <c r="O149" s="52"/>
      <c r="P149" s="52"/>
      <c r="Q149" s="122">
        <f>IF($A149="","",IF(NOT(ISNUMBER($D149)),"Enter start date",IF($D149&gt;=DATE(2026,5,1),IF(ISNUMBER($O149),"Complete","Missing: written terms"),IF(OR(ISNUMBER($P149),ISNUMBER($O149)),"Complete","Missing: Information Sheet (was due 31/05/2026)"))))</f>
        <v/>
      </c>
      <c r="R149" s="52"/>
      <c r="S149" s="82">
        <f>IF(ISNUMBER($R149),$R149+364,IF(ISNUMBER($D149),$D149+364,""))</f>
        <v/>
      </c>
      <c r="T149" s="52"/>
      <c r="U149" s="82">
        <f>IF(ISNUMBER($T149),IF(ISNUMBER($S149),MAX(EDATE($T149,2),$S149),EDATE($T149,2)),"")</f>
        <v/>
      </c>
      <c r="V149" s="52"/>
      <c r="W149" s="52"/>
      <c r="X149" s="121">
        <f>IF(NOT(ISNUMBER($V149)),"",IF(ISNUMBER($W149),IF($W149-$V149&lt;=28,"Answered in time","LATE: answered after day 28"),IF(TODAY()-$V149&gt;28,"OVERDUE: no reply yet","Reply due by "&amp;TEXT($V149+28,"dd/mm/yyyy"))))</f>
        <v/>
      </c>
      <c r="Y149" s="54"/>
    </row>
    <row r="150" spans="1:25">
      <c r="A150" s="54"/>
      <c r="B150" s="54"/>
      <c r="C150" s="51"/>
      <c r="D150" s="52"/>
      <c r="E150" s="120"/>
      <c r="F150" s="120"/>
      <c r="G150" s="52"/>
      <c r="H150" s="52"/>
      <c r="I150" s="52"/>
      <c r="J150" s="121">
        <f>IF(OR($A150="",NOT(ISNUMBER($F150))),"",IF($F150&lt;=0,"No deposit",IF(NOT(ISNUMBER($G150)),"Enter date received",IF(AND(ISNUMBER($H150),ISNUMBER($I150)),IF(MAX($H150,$I150)-$G150&lt;=29,"OK","LATE: protected / info served after day 30"),IF(TODAY()-$G150&gt;29,"OVERDUE: not protected / info not served","Protect + serve info by "&amp;TEXT($G150+29,"dd/mm/yyyy"))))))</f>
        <v/>
      </c>
      <c r="K150" s="97">
        <f>IF(OR(NOT(ISNUMBER($E150)),NOT(ISNUMBER($F150))),"",IF($F150&lt;=$E150*12/52*5,"OK","Over 5 weeks"))</f>
        <v/>
      </c>
      <c r="L150" s="52"/>
      <c r="M150" s="52"/>
      <c r="N150" s="122">
        <f>IF(OR($A150="",NOT(ISNUMBER($L150))),IF($A150="","","Not recorded"),IF(NOT(ISNUMBER($M150)),"Checked (no follow-up)",IF($M150&lt;TODAY(),"OVERDUE: follow-up check",IF($M150-TODAY()&lt;=60,"Follow-up due "&amp;TEXT($M150,"dd/mm/yyyy"),"Checked"))))</f>
        <v/>
      </c>
      <c r="O150" s="52"/>
      <c r="P150" s="52"/>
      <c r="Q150" s="122">
        <f>IF($A150="","",IF(NOT(ISNUMBER($D150)),"Enter start date",IF($D150&gt;=DATE(2026,5,1),IF(ISNUMBER($O150),"Complete","Missing: written terms"),IF(OR(ISNUMBER($P150),ISNUMBER($O150)),"Complete","Missing: Information Sheet (was due 31/05/2026)"))))</f>
        <v/>
      </c>
      <c r="R150" s="52"/>
      <c r="S150" s="82">
        <f>IF(ISNUMBER($R150),$R150+364,IF(ISNUMBER($D150),$D150+364,""))</f>
        <v/>
      </c>
      <c r="T150" s="52"/>
      <c r="U150" s="82">
        <f>IF(ISNUMBER($T150),IF(ISNUMBER($S150),MAX(EDATE($T150,2),$S150),EDATE($T150,2)),"")</f>
        <v/>
      </c>
      <c r="V150" s="52"/>
      <c r="W150" s="52"/>
      <c r="X150" s="121">
        <f>IF(NOT(ISNUMBER($V150)),"",IF(ISNUMBER($W150),IF($W150-$V150&lt;=28,"Answered in time","LATE: answered after day 28"),IF(TODAY()-$V150&gt;28,"OVERDUE: no reply yet","Reply due by "&amp;TEXT($V150+28,"dd/mm/yyyy"))))</f>
        <v/>
      </c>
      <c r="Y150" s="54"/>
    </row>
    <row r="151" spans="1:25">
      <c r="A151" s="54"/>
      <c r="B151" s="54"/>
      <c r="C151" s="51"/>
      <c r="D151" s="52"/>
      <c r="E151" s="120"/>
      <c r="F151" s="120"/>
      <c r="G151" s="52"/>
      <c r="H151" s="52"/>
      <c r="I151" s="52"/>
      <c r="J151" s="121">
        <f>IF(OR($A151="",NOT(ISNUMBER($F151))),"",IF($F151&lt;=0,"No deposit",IF(NOT(ISNUMBER($G151)),"Enter date received",IF(AND(ISNUMBER($H151),ISNUMBER($I151)),IF(MAX($H151,$I151)-$G151&lt;=29,"OK","LATE: protected / info served after day 30"),IF(TODAY()-$G151&gt;29,"OVERDUE: not protected / info not served","Protect + serve info by "&amp;TEXT($G151+29,"dd/mm/yyyy"))))))</f>
        <v/>
      </c>
      <c r="K151" s="97">
        <f>IF(OR(NOT(ISNUMBER($E151)),NOT(ISNUMBER($F151))),"",IF($F151&lt;=$E151*12/52*5,"OK","Over 5 weeks"))</f>
        <v/>
      </c>
      <c r="L151" s="52"/>
      <c r="M151" s="52"/>
      <c r="N151" s="122">
        <f>IF(OR($A151="",NOT(ISNUMBER($L151))),IF($A151="","","Not recorded"),IF(NOT(ISNUMBER($M151)),"Checked (no follow-up)",IF($M151&lt;TODAY(),"OVERDUE: follow-up check",IF($M151-TODAY()&lt;=60,"Follow-up due "&amp;TEXT($M151,"dd/mm/yyyy"),"Checked"))))</f>
        <v/>
      </c>
      <c r="O151" s="52"/>
      <c r="P151" s="52"/>
      <c r="Q151" s="122">
        <f>IF($A151="","",IF(NOT(ISNUMBER($D151)),"Enter start date",IF($D151&gt;=DATE(2026,5,1),IF(ISNUMBER($O151),"Complete","Missing: written terms"),IF(OR(ISNUMBER($P151),ISNUMBER($O151)),"Complete","Missing: Information Sheet (was due 31/05/2026)"))))</f>
        <v/>
      </c>
      <c r="R151" s="52"/>
      <c r="S151" s="82">
        <f>IF(ISNUMBER($R151),$R151+364,IF(ISNUMBER($D151),$D151+364,""))</f>
        <v/>
      </c>
      <c r="T151" s="52"/>
      <c r="U151" s="82">
        <f>IF(ISNUMBER($T151),IF(ISNUMBER($S151),MAX(EDATE($T151,2),$S151),EDATE($T151,2)),"")</f>
        <v/>
      </c>
      <c r="V151" s="52"/>
      <c r="W151" s="52"/>
      <c r="X151" s="121">
        <f>IF(NOT(ISNUMBER($V151)),"",IF(ISNUMBER($W151),IF($W151-$V151&lt;=28,"Answered in time","LATE: answered after day 28"),IF(TODAY()-$V151&gt;28,"OVERDUE: no reply yet","Reply due by "&amp;TEXT($V151+28,"dd/mm/yyyy"))))</f>
        <v/>
      </c>
      <c r="Y151" s="54"/>
    </row>
    <row r="152" spans="1:25">
      <c r="A152" s="54"/>
      <c r="B152" s="54"/>
      <c r="C152" s="51"/>
      <c r="D152" s="52"/>
      <c r="E152" s="120"/>
      <c r="F152" s="120"/>
      <c r="G152" s="52"/>
      <c r="H152" s="52"/>
      <c r="I152" s="52"/>
      <c r="J152" s="121">
        <f>IF(OR($A152="",NOT(ISNUMBER($F152))),"",IF($F152&lt;=0,"No deposit",IF(NOT(ISNUMBER($G152)),"Enter date received",IF(AND(ISNUMBER($H152),ISNUMBER($I152)),IF(MAX($H152,$I152)-$G152&lt;=29,"OK","LATE: protected / info served after day 30"),IF(TODAY()-$G152&gt;29,"OVERDUE: not protected / info not served","Protect + serve info by "&amp;TEXT($G152+29,"dd/mm/yyyy"))))))</f>
        <v/>
      </c>
      <c r="K152" s="97">
        <f>IF(OR(NOT(ISNUMBER($E152)),NOT(ISNUMBER($F152))),"",IF($F152&lt;=$E152*12/52*5,"OK","Over 5 weeks"))</f>
        <v/>
      </c>
      <c r="L152" s="52"/>
      <c r="M152" s="52"/>
      <c r="N152" s="122">
        <f>IF(OR($A152="",NOT(ISNUMBER($L152))),IF($A152="","","Not recorded"),IF(NOT(ISNUMBER($M152)),"Checked (no follow-up)",IF($M152&lt;TODAY(),"OVERDUE: follow-up check",IF($M152-TODAY()&lt;=60,"Follow-up due "&amp;TEXT($M152,"dd/mm/yyyy"),"Checked"))))</f>
        <v/>
      </c>
      <c r="O152" s="52"/>
      <c r="P152" s="52"/>
      <c r="Q152" s="122">
        <f>IF($A152="","",IF(NOT(ISNUMBER($D152)),"Enter start date",IF($D152&gt;=DATE(2026,5,1),IF(ISNUMBER($O152),"Complete","Missing: written terms"),IF(OR(ISNUMBER($P152),ISNUMBER($O152)),"Complete","Missing: Information Sheet (was due 31/05/2026)"))))</f>
        <v/>
      </c>
      <c r="R152" s="52"/>
      <c r="S152" s="82">
        <f>IF(ISNUMBER($R152),$R152+364,IF(ISNUMBER($D152),$D152+364,""))</f>
        <v/>
      </c>
      <c r="T152" s="52"/>
      <c r="U152" s="82">
        <f>IF(ISNUMBER($T152),IF(ISNUMBER($S152),MAX(EDATE($T152,2),$S152),EDATE($T152,2)),"")</f>
        <v/>
      </c>
      <c r="V152" s="52"/>
      <c r="W152" s="52"/>
      <c r="X152" s="121">
        <f>IF(NOT(ISNUMBER($V152)),"",IF(ISNUMBER($W152),IF($W152-$V152&lt;=28,"Answered in time","LATE: answered after day 28"),IF(TODAY()-$V152&gt;28,"OVERDUE: no reply yet","Reply due by "&amp;TEXT($V152+28,"dd/mm/yyyy"))))</f>
        <v/>
      </c>
      <c r="Y152" s="54"/>
    </row>
    <row r="153" spans="1:25">
      <c r="A153" s="54"/>
      <c r="B153" s="54"/>
      <c r="C153" s="51"/>
      <c r="D153" s="52"/>
      <c r="E153" s="120"/>
      <c r="F153" s="120"/>
      <c r="G153" s="52"/>
      <c r="H153" s="52"/>
      <c r="I153" s="52"/>
      <c r="J153" s="121">
        <f>IF(OR($A153="",NOT(ISNUMBER($F153))),"",IF($F153&lt;=0,"No deposit",IF(NOT(ISNUMBER($G153)),"Enter date received",IF(AND(ISNUMBER($H153),ISNUMBER($I153)),IF(MAX($H153,$I153)-$G153&lt;=29,"OK","LATE: protected / info served after day 30"),IF(TODAY()-$G153&gt;29,"OVERDUE: not protected / info not served","Protect + serve info by "&amp;TEXT($G153+29,"dd/mm/yyyy"))))))</f>
        <v/>
      </c>
      <c r="K153" s="97">
        <f>IF(OR(NOT(ISNUMBER($E153)),NOT(ISNUMBER($F153))),"",IF($F153&lt;=$E153*12/52*5,"OK","Over 5 weeks"))</f>
        <v/>
      </c>
      <c r="L153" s="52"/>
      <c r="M153" s="52"/>
      <c r="N153" s="122">
        <f>IF(OR($A153="",NOT(ISNUMBER($L153))),IF($A153="","","Not recorded"),IF(NOT(ISNUMBER($M153)),"Checked (no follow-up)",IF($M153&lt;TODAY(),"OVERDUE: follow-up check",IF($M153-TODAY()&lt;=60,"Follow-up due "&amp;TEXT($M153,"dd/mm/yyyy"),"Checked"))))</f>
        <v/>
      </c>
      <c r="O153" s="52"/>
      <c r="P153" s="52"/>
      <c r="Q153" s="122">
        <f>IF($A153="","",IF(NOT(ISNUMBER($D153)),"Enter start date",IF($D153&gt;=DATE(2026,5,1),IF(ISNUMBER($O153),"Complete","Missing: written terms"),IF(OR(ISNUMBER($P153),ISNUMBER($O153)),"Complete","Missing: Information Sheet (was due 31/05/2026)"))))</f>
        <v/>
      </c>
      <c r="R153" s="52"/>
      <c r="S153" s="82">
        <f>IF(ISNUMBER($R153),$R153+364,IF(ISNUMBER($D153),$D153+364,""))</f>
        <v/>
      </c>
      <c r="T153" s="52"/>
      <c r="U153" s="82">
        <f>IF(ISNUMBER($T153),IF(ISNUMBER($S153),MAX(EDATE($T153,2),$S153),EDATE($T153,2)),"")</f>
        <v/>
      </c>
      <c r="V153" s="52"/>
      <c r="W153" s="52"/>
      <c r="X153" s="121">
        <f>IF(NOT(ISNUMBER($V153)),"",IF(ISNUMBER($W153),IF($W153-$V153&lt;=28,"Answered in time","LATE: answered after day 28"),IF(TODAY()-$V153&gt;28,"OVERDUE: no reply yet","Reply due by "&amp;TEXT($V153+28,"dd/mm/yyyy"))))</f>
        <v/>
      </c>
      <c r="Y153" s="54"/>
    </row>
    <row r="154" spans="1:25">
      <c r="A154" s="54"/>
      <c r="B154" s="54"/>
      <c r="C154" s="51"/>
      <c r="D154" s="52"/>
      <c r="E154" s="120"/>
      <c r="F154" s="120"/>
      <c r="G154" s="52"/>
      <c r="H154" s="52"/>
      <c r="I154" s="52"/>
      <c r="J154" s="121">
        <f>IF(OR($A154="",NOT(ISNUMBER($F154))),"",IF($F154&lt;=0,"No deposit",IF(NOT(ISNUMBER($G154)),"Enter date received",IF(AND(ISNUMBER($H154),ISNUMBER($I154)),IF(MAX($H154,$I154)-$G154&lt;=29,"OK","LATE: protected / info served after day 30"),IF(TODAY()-$G154&gt;29,"OVERDUE: not protected / info not served","Protect + serve info by "&amp;TEXT($G154+29,"dd/mm/yyyy"))))))</f>
        <v/>
      </c>
      <c r="K154" s="97">
        <f>IF(OR(NOT(ISNUMBER($E154)),NOT(ISNUMBER($F154))),"",IF($F154&lt;=$E154*12/52*5,"OK","Over 5 weeks"))</f>
        <v/>
      </c>
      <c r="L154" s="52"/>
      <c r="M154" s="52"/>
      <c r="N154" s="122">
        <f>IF(OR($A154="",NOT(ISNUMBER($L154))),IF($A154="","","Not recorded"),IF(NOT(ISNUMBER($M154)),"Checked (no follow-up)",IF($M154&lt;TODAY(),"OVERDUE: follow-up check",IF($M154-TODAY()&lt;=60,"Follow-up due "&amp;TEXT($M154,"dd/mm/yyyy"),"Checked"))))</f>
        <v/>
      </c>
      <c r="O154" s="52"/>
      <c r="P154" s="52"/>
      <c r="Q154" s="122">
        <f>IF($A154="","",IF(NOT(ISNUMBER($D154)),"Enter start date",IF($D154&gt;=DATE(2026,5,1),IF(ISNUMBER($O154),"Complete","Missing: written terms"),IF(OR(ISNUMBER($P154),ISNUMBER($O154)),"Complete","Missing: Information Sheet (was due 31/05/2026)"))))</f>
        <v/>
      </c>
      <c r="R154" s="52"/>
      <c r="S154" s="82">
        <f>IF(ISNUMBER($R154),$R154+364,IF(ISNUMBER($D154),$D154+364,""))</f>
        <v/>
      </c>
      <c r="T154" s="52"/>
      <c r="U154" s="82">
        <f>IF(ISNUMBER($T154),IF(ISNUMBER($S154),MAX(EDATE($T154,2),$S154),EDATE($T154,2)),"")</f>
        <v/>
      </c>
      <c r="V154" s="52"/>
      <c r="W154" s="52"/>
      <c r="X154" s="121">
        <f>IF(NOT(ISNUMBER($V154)),"",IF(ISNUMBER($W154),IF($W154-$V154&lt;=28,"Answered in time","LATE: answered after day 28"),IF(TODAY()-$V154&gt;28,"OVERDUE: no reply yet","Reply due by "&amp;TEXT($V154+28,"dd/mm/yyyy"))))</f>
        <v/>
      </c>
      <c r="Y154" s="54"/>
    </row>
    <row r="155" spans="1:25">
      <c r="A155" s="54"/>
      <c r="B155" s="54"/>
      <c r="C155" s="51"/>
      <c r="D155" s="52"/>
      <c r="E155" s="120"/>
      <c r="F155" s="120"/>
      <c r="G155" s="52"/>
      <c r="H155" s="52"/>
      <c r="I155" s="52"/>
      <c r="J155" s="121">
        <f>IF(OR($A155="",NOT(ISNUMBER($F155))),"",IF($F155&lt;=0,"No deposit",IF(NOT(ISNUMBER($G155)),"Enter date received",IF(AND(ISNUMBER($H155),ISNUMBER($I155)),IF(MAX($H155,$I155)-$G155&lt;=29,"OK","LATE: protected / info served after day 30"),IF(TODAY()-$G155&gt;29,"OVERDUE: not protected / info not served","Protect + serve info by "&amp;TEXT($G155+29,"dd/mm/yyyy"))))))</f>
        <v/>
      </c>
      <c r="K155" s="97">
        <f>IF(OR(NOT(ISNUMBER($E155)),NOT(ISNUMBER($F155))),"",IF($F155&lt;=$E155*12/52*5,"OK","Over 5 weeks"))</f>
        <v/>
      </c>
      <c r="L155" s="52"/>
      <c r="M155" s="52"/>
      <c r="N155" s="122">
        <f>IF(OR($A155="",NOT(ISNUMBER($L155))),IF($A155="","","Not recorded"),IF(NOT(ISNUMBER($M155)),"Checked (no follow-up)",IF($M155&lt;TODAY(),"OVERDUE: follow-up check",IF($M155-TODAY()&lt;=60,"Follow-up due "&amp;TEXT($M155,"dd/mm/yyyy"),"Checked"))))</f>
        <v/>
      </c>
      <c r="O155" s="52"/>
      <c r="P155" s="52"/>
      <c r="Q155" s="122">
        <f>IF($A155="","",IF(NOT(ISNUMBER($D155)),"Enter start date",IF($D155&gt;=DATE(2026,5,1),IF(ISNUMBER($O155),"Complete","Missing: written terms"),IF(OR(ISNUMBER($P155),ISNUMBER($O155)),"Complete","Missing: Information Sheet (was due 31/05/2026)"))))</f>
        <v/>
      </c>
      <c r="R155" s="52"/>
      <c r="S155" s="82">
        <f>IF(ISNUMBER($R155),$R155+364,IF(ISNUMBER($D155),$D155+364,""))</f>
        <v/>
      </c>
      <c r="T155" s="52"/>
      <c r="U155" s="82">
        <f>IF(ISNUMBER($T155),IF(ISNUMBER($S155),MAX(EDATE($T155,2),$S155),EDATE($T155,2)),"")</f>
        <v/>
      </c>
      <c r="V155" s="52"/>
      <c r="W155" s="52"/>
      <c r="X155" s="121">
        <f>IF(NOT(ISNUMBER($V155)),"",IF(ISNUMBER($W155),IF($W155-$V155&lt;=28,"Answered in time","LATE: answered after day 28"),IF(TODAY()-$V155&gt;28,"OVERDUE: no reply yet","Reply due by "&amp;TEXT($V155+28,"dd/mm/yyyy"))))</f>
        <v/>
      </c>
      <c r="Y155" s="54"/>
    </row>
    <row r="156" spans="1:25">
      <c r="A156" s="54"/>
      <c r="B156" s="54"/>
      <c r="C156" s="51"/>
      <c r="D156" s="52"/>
      <c r="E156" s="120"/>
      <c r="F156" s="120"/>
      <c r="G156" s="52"/>
      <c r="H156" s="52"/>
      <c r="I156" s="52"/>
      <c r="J156" s="121">
        <f>IF(OR($A156="",NOT(ISNUMBER($F156))),"",IF($F156&lt;=0,"No deposit",IF(NOT(ISNUMBER($G156)),"Enter date received",IF(AND(ISNUMBER($H156),ISNUMBER($I156)),IF(MAX($H156,$I156)-$G156&lt;=29,"OK","LATE: protected / info served after day 30"),IF(TODAY()-$G156&gt;29,"OVERDUE: not protected / info not served","Protect + serve info by "&amp;TEXT($G156+29,"dd/mm/yyyy"))))))</f>
        <v/>
      </c>
      <c r="K156" s="97">
        <f>IF(OR(NOT(ISNUMBER($E156)),NOT(ISNUMBER($F156))),"",IF($F156&lt;=$E156*12/52*5,"OK","Over 5 weeks"))</f>
        <v/>
      </c>
      <c r="L156" s="52"/>
      <c r="M156" s="52"/>
      <c r="N156" s="122">
        <f>IF(OR($A156="",NOT(ISNUMBER($L156))),IF($A156="","","Not recorded"),IF(NOT(ISNUMBER($M156)),"Checked (no follow-up)",IF($M156&lt;TODAY(),"OVERDUE: follow-up check",IF($M156-TODAY()&lt;=60,"Follow-up due "&amp;TEXT($M156,"dd/mm/yyyy"),"Checked"))))</f>
        <v/>
      </c>
      <c r="O156" s="52"/>
      <c r="P156" s="52"/>
      <c r="Q156" s="122">
        <f>IF($A156="","",IF(NOT(ISNUMBER($D156)),"Enter start date",IF($D156&gt;=DATE(2026,5,1),IF(ISNUMBER($O156),"Complete","Missing: written terms"),IF(OR(ISNUMBER($P156),ISNUMBER($O156)),"Complete","Missing: Information Sheet (was due 31/05/2026)"))))</f>
        <v/>
      </c>
      <c r="R156" s="52"/>
      <c r="S156" s="82">
        <f>IF(ISNUMBER($R156),$R156+364,IF(ISNUMBER($D156),$D156+364,""))</f>
        <v/>
      </c>
      <c r="T156" s="52"/>
      <c r="U156" s="82">
        <f>IF(ISNUMBER($T156),IF(ISNUMBER($S156),MAX(EDATE($T156,2),$S156),EDATE($T156,2)),"")</f>
        <v/>
      </c>
      <c r="V156" s="52"/>
      <c r="W156" s="52"/>
      <c r="X156" s="121">
        <f>IF(NOT(ISNUMBER($V156)),"",IF(ISNUMBER($W156),IF($W156-$V156&lt;=28,"Answered in time","LATE: answered after day 28"),IF(TODAY()-$V156&gt;28,"OVERDUE: no reply yet","Reply due by "&amp;TEXT($V156+28,"dd/mm/yyyy"))))</f>
        <v/>
      </c>
      <c r="Y156" s="54"/>
    </row>
    <row r="157" spans="1:25">
      <c r="A157" s="54"/>
      <c r="B157" s="54"/>
      <c r="C157" s="51"/>
      <c r="D157" s="52"/>
      <c r="E157" s="120"/>
      <c r="F157" s="120"/>
      <c r="G157" s="52"/>
      <c r="H157" s="52"/>
      <c r="I157" s="52"/>
      <c r="J157" s="121">
        <f>IF(OR($A157="",NOT(ISNUMBER($F157))),"",IF($F157&lt;=0,"No deposit",IF(NOT(ISNUMBER($G157)),"Enter date received",IF(AND(ISNUMBER($H157),ISNUMBER($I157)),IF(MAX($H157,$I157)-$G157&lt;=29,"OK","LATE: protected / info served after day 30"),IF(TODAY()-$G157&gt;29,"OVERDUE: not protected / info not served","Protect + serve info by "&amp;TEXT($G157+29,"dd/mm/yyyy"))))))</f>
        <v/>
      </c>
      <c r="K157" s="97">
        <f>IF(OR(NOT(ISNUMBER($E157)),NOT(ISNUMBER($F157))),"",IF($F157&lt;=$E157*12/52*5,"OK","Over 5 weeks"))</f>
        <v/>
      </c>
      <c r="L157" s="52"/>
      <c r="M157" s="52"/>
      <c r="N157" s="122">
        <f>IF(OR($A157="",NOT(ISNUMBER($L157))),IF($A157="","","Not recorded"),IF(NOT(ISNUMBER($M157)),"Checked (no follow-up)",IF($M157&lt;TODAY(),"OVERDUE: follow-up check",IF($M157-TODAY()&lt;=60,"Follow-up due "&amp;TEXT($M157,"dd/mm/yyyy"),"Checked"))))</f>
        <v/>
      </c>
      <c r="O157" s="52"/>
      <c r="P157" s="52"/>
      <c r="Q157" s="122">
        <f>IF($A157="","",IF(NOT(ISNUMBER($D157)),"Enter start date",IF($D157&gt;=DATE(2026,5,1),IF(ISNUMBER($O157),"Complete","Missing: written terms"),IF(OR(ISNUMBER($P157),ISNUMBER($O157)),"Complete","Missing: Information Sheet (was due 31/05/2026)"))))</f>
        <v/>
      </c>
      <c r="R157" s="52"/>
      <c r="S157" s="82">
        <f>IF(ISNUMBER($R157),$R157+364,IF(ISNUMBER($D157),$D157+364,""))</f>
        <v/>
      </c>
      <c r="T157" s="52"/>
      <c r="U157" s="82">
        <f>IF(ISNUMBER($T157),IF(ISNUMBER($S157),MAX(EDATE($T157,2),$S157),EDATE($T157,2)),"")</f>
        <v/>
      </c>
      <c r="V157" s="52"/>
      <c r="W157" s="52"/>
      <c r="X157" s="121">
        <f>IF(NOT(ISNUMBER($V157)),"",IF(ISNUMBER($W157),IF($W157-$V157&lt;=28,"Answered in time","LATE: answered after day 28"),IF(TODAY()-$V157&gt;28,"OVERDUE: no reply yet","Reply due by "&amp;TEXT($V157+28,"dd/mm/yyyy"))))</f>
        <v/>
      </c>
      <c r="Y157" s="54"/>
    </row>
    <row r="158" spans="1:25">
      <c r="A158" s="54"/>
      <c r="B158" s="54"/>
      <c r="C158" s="51"/>
      <c r="D158" s="52"/>
      <c r="E158" s="120"/>
      <c r="F158" s="120"/>
      <c r="G158" s="52"/>
      <c r="H158" s="52"/>
      <c r="I158" s="52"/>
      <c r="J158" s="121">
        <f>IF(OR($A158="",NOT(ISNUMBER($F158))),"",IF($F158&lt;=0,"No deposit",IF(NOT(ISNUMBER($G158)),"Enter date received",IF(AND(ISNUMBER($H158),ISNUMBER($I158)),IF(MAX($H158,$I158)-$G158&lt;=29,"OK","LATE: protected / info served after day 30"),IF(TODAY()-$G158&gt;29,"OVERDUE: not protected / info not served","Protect + serve info by "&amp;TEXT($G158+29,"dd/mm/yyyy"))))))</f>
        <v/>
      </c>
      <c r="K158" s="97">
        <f>IF(OR(NOT(ISNUMBER($E158)),NOT(ISNUMBER($F158))),"",IF($F158&lt;=$E158*12/52*5,"OK","Over 5 weeks"))</f>
        <v/>
      </c>
      <c r="L158" s="52"/>
      <c r="M158" s="52"/>
      <c r="N158" s="122">
        <f>IF(OR($A158="",NOT(ISNUMBER($L158))),IF($A158="","","Not recorded"),IF(NOT(ISNUMBER($M158)),"Checked (no follow-up)",IF($M158&lt;TODAY(),"OVERDUE: follow-up check",IF($M158-TODAY()&lt;=60,"Follow-up due "&amp;TEXT($M158,"dd/mm/yyyy"),"Checked"))))</f>
        <v/>
      </c>
      <c r="O158" s="52"/>
      <c r="P158" s="52"/>
      <c r="Q158" s="122">
        <f>IF($A158="","",IF(NOT(ISNUMBER($D158)),"Enter start date",IF($D158&gt;=DATE(2026,5,1),IF(ISNUMBER($O158),"Complete","Missing: written terms"),IF(OR(ISNUMBER($P158),ISNUMBER($O158)),"Complete","Missing: Information Sheet (was due 31/05/2026)"))))</f>
        <v/>
      </c>
      <c r="R158" s="52"/>
      <c r="S158" s="82">
        <f>IF(ISNUMBER($R158),$R158+364,IF(ISNUMBER($D158),$D158+364,""))</f>
        <v/>
      </c>
      <c r="T158" s="52"/>
      <c r="U158" s="82">
        <f>IF(ISNUMBER($T158),IF(ISNUMBER($S158),MAX(EDATE($T158,2),$S158),EDATE($T158,2)),"")</f>
        <v/>
      </c>
      <c r="V158" s="52"/>
      <c r="W158" s="52"/>
      <c r="X158" s="121">
        <f>IF(NOT(ISNUMBER($V158)),"",IF(ISNUMBER($W158),IF($W158-$V158&lt;=28,"Answered in time","LATE: answered after day 28"),IF(TODAY()-$V158&gt;28,"OVERDUE: no reply yet","Reply due by "&amp;TEXT($V158+28,"dd/mm/yyyy"))))</f>
        <v/>
      </c>
      <c r="Y158" s="54"/>
    </row>
    <row r="159" spans="1:25">
      <c r="A159" s="54"/>
      <c r="B159" s="54"/>
      <c r="C159" s="51"/>
      <c r="D159" s="52"/>
      <c r="E159" s="120"/>
      <c r="F159" s="120"/>
      <c r="G159" s="52"/>
      <c r="H159" s="52"/>
      <c r="I159" s="52"/>
      <c r="J159" s="121">
        <f>IF(OR($A159="",NOT(ISNUMBER($F159))),"",IF($F159&lt;=0,"No deposit",IF(NOT(ISNUMBER($G159)),"Enter date received",IF(AND(ISNUMBER($H159),ISNUMBER($I159)),IF(MAX($H159,$I159)-$G159&lt;=29,"OK","LATE: protected / info served after day 30"),IF(TODAY()-$G159&gt;29,"OVERDUE: not protected / info not served","Protect + serve info by "&amp;TEXT($G159+29,"dd/mm/yyyy"))))))</f>
        <v/>
      </c>
      <c r="K159" s="97">
        <f>IF(OR(NOT(ISNUMBER($E159)),NOT(ISNUMBER($F159))),"",IF($F159&lt;=$E159*12/52*5,"OK","Over 5 weeks"))</f>
        <v/>
      </c>
      <c r="L159" s="52"/>
      <c r="M159" s="52"/>
      <c r="N159" s="122">
        <f>IF(OR($A159="",NOT(ISNUMBER($L159))),IF($A159="","","Not recorded"),IF(NOT(ISNUMBER($M159)),"Checked (no follow-up)",IF($M159&lt;TODAY(),"OVERDUE: follow-up check",IF($M159-TODAY()&lt;=60,"Follow-up due "&amp;TEXT($M159,"dd/mm/yyyy"),"Checked"))))</f>
        <v/>
      </c>
      <c r="O159" s="52"/>
      <c r="P159" s="52"/>
      <c r="Q159" s="122">
        <f>IF($A159="","",IF(NOT(ISNUMBER($D159)),"Enter start date",IF($D159&gt;=DATE(2026,5,1),IF(ISNUMBER($O159),"Complete","Missing: written terms"),IF(OR(ISNUMBER($P159),ISNUMBER($O159)),"Complete","Missing: Information Sheet (was due 31/05/2026)"))))</f>
        <v/>
      </c>
      <c r="R159" s="52"/>
      <c r="S159" s="82">
        <f>IF(ISNUMBER($R159),$R159+364,IF(ISNUMBER($D159),$D159+364,""))</f>
        <v/>
      </c>
      <c r="T159" s="52"/>
      <c r="U159" s="82">
        <f>IF(ISNUMBER($T159),IF(ISNUMBER($S159),MAX(EDATE($T159,2),$S159),EDATE($T159,2)),"")</f>
        <v/>
      </c>
      <c r="V159" s="52"/>
      <c r="W159" s="52"/>
      <c r="X159" s="121">
        <f>IF(NOT(ISNUMBER($V159)),"",IF(ISNUMBER($W159),IF($W159-$V159&lt;=28,"Answered in time","LATE: answered after day 28"),IF(TODAY()-$V159&gt;28,"OVERDUE: no reply yet","Reply due by "&amp;TEXT($V159+28,"dd/mm/yyyy"))))</f>
        <v/>
      </c>
      <c r="Y159" s="54"/>
    </row>
    <row r="160" spans="1:25">
      <c r="A160" s="54"/>
      <c r="B160" s="54"/>
      <c r="C160" s="51"/>
      <c r="D160" s="52"/>
      <c r="E160" s="120"/>
      <c r="F160" s="120"/>
      <c r="G160" s="52"/>
      <c r="H160" s="52"/>
      <c r="I160" s="52"/>
      <c r="J160" s="121">
        <f>IF(OR($A160="",NOT(ISNUMBER($F160))),"",IF($F160&lt;=0,"No deposit",IF(NOT(ISNUMBER($G160)),"Enter date received",IF(AND(ISNUMBER($H160),ISNUMBER($I160)),IF(MAX($H160,$I160)-$G160&lt;=29,"OK","LATE: protected / info served after day 30"),IF(TODAY()-$G160&gt;29,"OVERDUE: not protected / info not served","Protect + serve info by "&amp;TEXT($G160+29,"dd/mm/yyyy"))))))</f>
        <v/>
      </c>
      <c r="K160" s="97">
        <f>IF(OR(NOT(ISNUMBER($E160)),NOT(ISNUMBER($F160))),"",IF($F160&lt;=$E160*12/52*5,"OK","Over 5 weeks"))</f>
        <v/>
      </c>
      <c r="L160" s="52"/>
      <c r="M160" s="52"/>
      <c r="N160" s="122">
        <f>IF(OR($A160="",NOT(ISNUMBER($L160))),IF($A160="","","Not recorded"),IF(NOT(ISNUMBER($M160)),"Checked (no follow-up)",IF($M160&lt;TODAY(),"OVERDUE: follow-up check",IF($M160-TODAY()&lt;=60,"Follow-up due "&amp;TEXT($M160,"dd/mm/yyyy"),"Checked"))))</f>
        <v/>
      </c>
      <c r="O160" s="52"/>
      <c r="P160" s="52"/>
      <c r="Q160" s="122">
        <f>IF($A160="","",IF(NOT(ISNUMBER($D160)),"Enter start date",IF($D160&gt;=DATE(2026,5,1),IF(ISNUMBER($O160),"Complete","Missing: written terms"),IF(OR(ISNUMBER($P160),ISNUMBER($O160)),"Complete","Missing: Information Sheet (was due 31/05/2026)"))))</f>
        <v/>
      </c>
      <c r="R160" s="52"/>
      <c r="S160" s="82">
        <f>IF(ISNUMBER($R160),$R160+364,IF(ISNUMBER($D160),$D160+364,""))</f>
        <v/>
      </c>
      <c r="T160" s="52"/>
      <c r="U160" s="82">
        <f>IF(ISNUMBER($T160),IF(ISNUMBER($S160),MAX(EDATE($T160,2),$S160),EDATE($T160,2)),"")</f>
        <v/>
      </c>
      <c r="V160" s="52"/>
      <c r="W160" s="52"/>
      <c r="X160" s="121">
        <f>IF(NOT(ISNUMBER($V160)),"",IF(ISNUMBER($W160),IF($W160-$V160&lt;=28,"Answered in time","LATE: answered after day 28"),IF(TODAY()-$V160&gt;28,"OVERDUE: no reply yet","Reply due by "&amp;TEXT($V160+28,"dd/mm/yyyy"))))</f>
        <v/>
      </c>
      <c r="Y160" s="54"/>
    </row>
    <row r="161" spans="1:25">
      <c r="A161" s="54"/>
      <c r="B161" s="54"/>
      <c r="C161" s="51"/>
      <c r="D161" s="52"/>
      <c r="E161" s="120"/>
      <c r="F161" s="120"/>
      <c r="G161" s="52"/>
      <c r="H161" s="52"/>
      <c r="I161" s="52"/>
      <c r="J161" s="121">
        <f>IF(OR($A161="",NOT(ISNUMBER($F161))),"",IF($F161&lt;=0,"No deposit",IF(NOT(ISNUMBER($G161)),"Enter date received",IF(AND(ISNUMBER($H161),ISNUMBER($I161)),IF(MAX($H161,$I161)-$G161&lt;=29,"OK","LATE: protected / info served after day 30"),IF(TODAY()-$G161&gt;29,"OVERDUE: not protected / info not served","Protect + serve info by "&amp;TEXT($G161+29,"dd/mm/yyyy"))))))</f>
        <v/>
      </c>
      <c r="K161" s="97">
        <f>IF(OR(NOT(ISNUMBER($E161)),NOT(ISNUMBER($F161))),"",IF($F161&lt;=$E161*12/52*5,"OK","Over 5 weeks"))</f>
        <v/>
      </c>
      <c r="L161" s="52"/>
      <c r="M161" s="52"/>
      <c r="N161" s="122">
        <f>IF(OR($A161="",NOT(ISNUMBER($L161))),IF($A161="","","Not recorded"),IF(NOT(ISNUMBER($M161)),"Checked (no follow-up)",IF($M161&lt;TODAY(),"OVERDUE: follow-up check",IF($M161-TODAY()&lt;=60,"Follow-up due "&amp;TEXT($M161,"dd/mm/yyyy"),"Checked"))))</f>
        <v/>
      </c>
      <c r="O161" s="52"/>
      <c r="P161" s="52"/>
      <c r="Q161" s="122">
        <f>IF($A161="","",IF(NOT(ISNUMBER($D161)),"Enter start date",IF($D161&gt;=DATE(2026,5,1),IF(ISNUMBER($O161),"Complete","Missing: written terms"),IF(OR(ISNUMBER($P161),ISNUMBER($O161)),"Complete","Missing: Information Sheet (was due 31/05/2026)"))))</f>
        <v/>
      </c>
      <c r="R161" s="52"/>
      <c r="S161" s="82">
        <f>IF(ISNUMBER($R161),$R161+364,IF(ISNUMBER($D161),$D161+364,""))</f>
        <v/>
      </c>
      <c r="T161" s="52"/>
      <c r="U161" s="82">
        <f>IF(ISNUMBER($T161),IF(ISNUMBER($S161),MAX(EDATE($T161,2),$S161),EDATE($T161,2)),"")</f>
        <v/>
      </c>
      <c r="V161" s="52"/>
      <c r="W161" s="52"/>
      <c r="X161" s="121">
        <f>IF(NOT(ISNUMBER($V161)),"",IF(ISNUMBER($W161),IF($W161-$V161&lt;=28,"Answered in time","LATE: answered after day 28"),IF(TODAY()-$V161&gt;28,"OVERDUE: no reply yet","Reply due by "&amp;TEXT($V161+28,"dd/mm/yyyy"))))</f>
        <v/>
      </c>
      <c r="Y161" s="54"/>
    </row>
    <row r="162" spans="1:25">
      <c r="A162" s="54"/>
      <c r="B162" s="54"/>
      <c r="C162" s="51"/>
      <c r="D162" s="52"/>
      <c r="E162" s="120"/>
      <c r="F162" s="120"/>
      <c r="G162" s="52"/>
      <c r="H162" s="52"/>
      <c r="I162" s="52"/>
      <c r="J162" s="121">
        <f>IF(OR($A162="",NOT(ISNUMBER($F162))),"",IF($F162&lt;=0,"No deposit",IF(NOT(ISNUMBER($G162)),"Enter date received",IF(AND(ISNUMBER($H162),ISNUMBER($I162)),IF(MAX($H162,$I162)-$G162&lt;=29,"OK","LATE: protected / info served after day 30"),IF(TODAY()-$G162&gt;29,"OVERDUE: not protected / info not served","Protect + serve info by "&amp;TEXT($G162+29,"dd/mm/yyyy"))))))</f>
        <v/>
      </c>
      <c r="K162" s="97">
        <f>IF(OR(NOT(ISNUMBER($E162)),NOT(ISNUMBER($F162))),"",IF($F162&lt;=$E162*12/52*5,"OK","Over 5 weeks"))</f>
        <v/>
      </c>
      <c r="L162" s="52"/>
      <c r="M162" s="52"/>
      <c r="N162" s="122">
        <f>IF(OR($A162="",NOT(ISNUMBER($L162))),IF($A162="","","Not recorded"),IF(NOT(ISNUMBER($M162)),"Checked (no follow-up)",IF($M162&lt;TODAY(),"OVERDUE: follow-up check",IF($M162-TODAY()&lt;=60,"Follow-up due "&amp;TEXT($M162,"dd/mm/yyyy"),"Checked"))))</f>
        <v/>
      </c>
      <c r="O162" s="52"/>
      <c r="P162" s="52"/>
      <c r="Q162" s="122">
        <f>IF($A162="","",IF(NOT(ISNUMBER($D162)),"Enter start date",IF($D162&gt;=DATE(2026,5,1),IF(ISNUMBER($O162),"Complete","Missing: written terms"),IF(OR(ISNUMBER($P162),ISNUMBER($O162)),"Complete","Missing: Information Sheet (was due 31/05/2026)"))))</f>
        <v/>
      </c>
      <c r="R162" s="52"/>
      <c r="S162" s="82">
        <f>IF(ISNUMBER($R162),$R162+364,IF(ISNUMBER($D162),$D162+364,""))</f>
        <v/>
      </c>
      <c r="T162" s="52"/>
      <c r="U162" s="82">
        <f>IF(ISNUMBER($T162),IF(ISNUMBER($S162),MAX(EDATE($T162,2),$S162),EDATE($T162,2)),"")</f>
        <v/>
      </c>
      <c r="V162" s="52"/>
      <c r="W162" s="52"/>
      <c r="X162" s="121">
        <f>IF(NOT(ISNUMBER($V162)),"",IF(ISNUMBER($W162),IF($W162-$V162&lt;=28,"Answered in time","LATE: answered after day 28"),IF(TODAY()-$V162&gt;28,"OVERDUE: no reply yet","Reply due by "&amp;TEXT($V162+28,"dd/mm/yyyy"))))</f>
        <v/>
      </c>
      <c r="Y162" s="54"/>
    </row>
    <row r="163" spans="1:25">
      <c r="A163" s="54"/>
      <c r="B163" s="54"/>
      <c r="C163" s="51"/>
      <c r="D163" s="52"/>
      <c r="E163" s="120"/>
      <c r="F163" s="120"/>
      <c r="G163" s="52"/>
      <c r="H163" s="52"/>
      <c r="I163" s="52"/>
      <c r="J163" s="121">
        <f>IF(OR($A163="",NOT(ISNUMBER($F163))),"",IF($F163&lt;=0,"No deposit",IF(NOT(ISNUMBER($G163)),"Enter date received",IF(AND(ISNUMBER($H163),ISNUMBER($I163)),IF(MAX($H163,$I163)-$G163&lt;=29,"OK","LATE: protected / info served after day 30"),IF(TODAY()-$G163&gt;29,"OVERDUE: not protected / info not served","Protect + serve info by "&amp;TEXT($G163+29,"dd/mm/yyyy"))))))</f>
        <v/>
      </c>
      <c r="K163" s="97">
        <f>IF(OR(NOT(ISNUMBER($E163)),NOT(ISNUMBER($F163))),"",IF($F163&lt;=$E163*12/52*5,"OK","Over 5 weeks"))</f>
        <v/>
      </c>
      <c r="L163" s="52"/>
      <c r="M163" s="52"/>
      <c r="N163" s="122">
        <f>IF(OR($A163="",NOT(ISNUMBER($L163))),IF($A163="","","Not recorded"),IF(NOT(ISNUMBER($M163)),"Checked (no follow-up)",IF($M163&lt;TODAY(),"OVERDUE: follow-up check",IF($M163-TODAY()&lt;=60,"Follow-up due "&amp;TEXT($M163,"dd/mm/yyyy"),"Checked"))))</f>
        <v/>
      </c>
      <c r="O163" s="52"/>
      <c r="P163" s="52"/>
      <c r="Q163" s="122">
        <f>IF($A163="","",IF(NOT(ISNUMBER($D163)),"Enter start date",IF($D163&gt;=DATE(2026,5,1),IF(ISNUMBER($O163),"Complete","Missing: written terms"),IF(OR(ISNUMBER($P163),ISNUMBER($O163)),"Complete","Missing: Information Sheet (was due 31/05/2026)"))))</f>
        <v/>
      </c>
      <c r="R163" s="52"/>
      <c r="S163" s="82">
        <f>IF(ISNUMBER($R163),$R163+364,IF(ISNUMBER($D163),$D163+364,""))</f>
        <v/>
      </c>
      <c r="T163" s="52"/>
      <c r="U163" s="82">
        <f>IF(ISNUMBER($T163),IF(ISNUMBER($S163),MAX(EDATE($T163,2),$S163),EDATE($T163,2)),"")</f>
        <v/>
      </c>
      <c r="V163" s="52"/>
      <c r="W163" s="52"/>
      <c r="X163" s="121">
        <f>IF(NOT(ISNUMBER($V163)),"",IF(ISNUMBER($W163),IF($W163-$V163&lt;=28,"Answered in time","LATE: answered after day 28"),IF(TODAY()-$V163&gt;28,"OVERDUE: no reply yet","Reply due by "&amp;TEXT($V163+28,"dd/mm/yyyy"))))</f>
        <v/>
      </c>
      <c r="Y163" s="54"/>
    </row>
    <row r="164" spans="1:25">
      <c r="A164" s="54"/>
      <c r="B164" s="54"/>
      <c r="C164" s="51"/>
      <c r="D164" s="52"/>
      <c r="E164" s="120"/>
      <c r="F164" s="120"/>
      <c r="G164" s="52"/>
      <c r="H164" s="52"/>
      <c r="I164" s="52"/>
      <c r="J164" s="121">
        <f>IF(OR($A164="",NOT(ISNUMBER($F164))),"",IF($F164&lt;=0,"No deposit",IF(NOT(ISNUMBER($G164)),"Enter date received",IF(AND(ISNUMBER($H164),ISNUMBER($I164)),IF(MAX($H164,$I164)-$G164&lt;=29,"OK","LATE: protected / info served after day 30"),IF(TODAY()-$G164&gt;29,"OVERDUE: not protected / info not served","Protect + serve info by "&amp;TEXT($G164+29,"dd/mm/yyyy"))))))</f>
        <v/>
      </c>
      <c r="K164" s="97">
        <f>IF(OR(NOT(ISNUMBER($E164)),NOT(ISNUMBER($F164))),"",IF($F164&lt;=$E164*12/52*5,"OK","Over 5 weeks"))</f>
        <v/>
      </c>
      <c r="L164" s="52"/>
      <c r="M164" s="52"/>
      <c r="N164" s="122">
        <f>IF(OR($A164="",NOT(ISNUMBER($L164))),IF($A164="","","Not recorded"),IF(NOT(ISNUMBER($M164)),"Checked (no follow-up)",IF($M164&lt;TODAY(),"OVERDUE: follow-up check",IF($M164-TODAY()&lt;=60,"Follow-up due "&amp;TEXT($M164,"dd/mm/yyyy"),"Checked"))))</f>
        <v/>
      </c>
      <c r="O164" s="52"/>
      <c r="P164" s="52"/>
      <c r="Q164" s="122">
        <f>IF($A164="","",IF(NOT(ISNUMBER($D164)),"Enter start date",IF($D164&gt;=DATE(2026,5,1),IF(ISNUMBER($O164),"Complete","Missing: written terms"),IF(OR(ISNUMBER($P164),ISNUMBER($O164)),"Complete","Missing: Information Sheet (was due 31/05/2026)"))))</f>
        <v/>
      </c>
      <c r="R164" s="52"/>
      <c r="S164" s="82">
        <f>IF(ISNUMBER($R164),$R164+364,IF(ISNUMBER($D164),$D164+364,""))</f>
        <v/>
      </c>
      <c r="T164" s="52"/>
      <c r="U164" s="82">
        <f>IF(ISNUMBER($T164),IF(ISNUMBER($S164),MAX(EDATE($T164,2),$S164),EDATE($T164,2)),"")</f>
        <v/>
      </c>
      <c r="V164" s="52"/>
      <c r="W164" s="52"/>
      <c r="X164" s="121">
        <f>IF(NOT(ISNUMBER($V164)),"",IF(ISNUMBER($W164),IF($W164-$V164&lt;=28,"Answered in time","LATE: answered after day 28"),IF(TODAY()-$V164&gt;28,"OVERDUE: no reply yet","Reply due by "&amp;TEXT($V164+28,"dd/mm/yyyy"))))</f>
        <v/>
      </c>
      <c r="Y164" s="54"/>
    </row>
    <row r="165" spans="1:25">
      <c r="A165" s="54"/>
      <c r="B165" s="54"/>
      <c r="C165" s="51"/>
      <c r="D165" s="52"/>
      <c r="E165" s="120"/>
      <c r="F165" s="120"/>
      <c r="G165" s="52"/>
      <c r="H165" s="52"/>
      <c r="I165" s="52"/>
      <c r="J165" s="121">
        <f>IF(OR($A165="",NOT(ISNUMBER($F165))),"",IF($F165&lt;=0,"No deposit",IF(NOT(ISNUMBER($G165)),"Enter date received",IF(AND(ISNUMBER($H165),ISNUMBER($I165)),IF(MAX($H165,$I165)-$G165&lt;=29,"OK","LATE: protected / info served after day 30"),IF(TODAY()-$G165&gt;29,"OVERDUE: not protected / info not served","Protect + serve info by "&amp;TEXT($G165+29,"dd/mm/yyyy"))))))</f>
        <v/>
      </c>
      <c r="K165" s="97">
        <f>IF(OR(NOT(ISNUMBER($E165)),NOT(ISNUMBER($F165))),"",IF($F165&lt;=$E165*12/52*5,"OK","Over 5 weeks"))</f>
        <v/>
      </c>
      <c r="L165" s="52"/>
      <c r="M165" s="52"/>
      <c r="N165" s="122">
        <f>IF(OR($A165="",NOT(ISNUMBER($L165))),IF($A165="","","Not recorded"),IF(NOT(ISNUMBER($M165)),"Checked (no follow-up)",IF($M165&lt;TODAY(),"OVERDUE: follow-up check",IF($M165-TODAY()&lt;=60,"Follow-up due "&amp;TEXT($M165,"dd/mm/yyyy"),"Checked"))))</f>
        <v/>
      </c>
      <c r="O165" s="52"/>
      <c r="P165" s="52"/>
      <c r="Q165" s="122">
        <f>IF($A165="","",IF(NOT(ISNUMBER($D165)),"Enter start date",IF($D165&gt;=DATE(2026,5,1),IF(ISNUMBER($O165),"Complete","Missing: written terms"),IF(OR(ISNUMBER($P165),ISNUMBER($O165)),"Complete","Missing: Information Sheet (was due 31/05/2026)"))))</f>
        <v/>
      </c>
      <c r="R165" s="52"/>
      <c r="S165" s="82">
        <f>IF(ISNUMBER($R165),$R165+364,IF(ISNUMBER($D165),$D165+364,""))</f>
        <v/>
      </c>
      <c r="T165" s="52"/>
      <c r="U165" s="82">
        <f>IF(ISNUMBER($T165),IF(ISNUMBER($S165),MAX(EDATE($T165,2),$S165),EDATE($T165,2)),"")</f>
        <v/>
      </c>
      <c r="V165" s="52"/>
      <c r="W165" s="52"/>
      <c r="X165" s="121">
        <f>IF(NOT(ISNUMBER($V165)),"",IF(ISNUMBER($W165),IF($W165-$V165&lt;=28,"Answered in time","LATE: answered after day 28"),IF(TODAY()-$V165&gt;28,"OVERDUE: no reply yet","Reply due by "&amp;TEXT($V165+28,"dd/mm/yyyy"))))</f>
        <v/>
      </c>
      <c r="Y165" s="54"/>
    </row>
    <row r="166" spans="1:25">
      <c r="A166" s="54"/>
      <c r="B166" s="54"/>
      <c r="C166" s="51"/>
      <c r="D166" s="52"/>
      <c r="E166" s="120"/>
      <c r="F166" s="120"/>
      <c r="G166" s="52"/>
      <c r="H166" s="52"/>
      <c r="I166" s="52"/>
      <c r="J166" s="121">
        <f>IF(OR($A166="",NOT(ISNUMBER($F166))),"",IF($F166&lt;=0,"No deposit",IF(NOT(ISNUMBER($G166)),"Enter date received",IF(AND(ISNUMBER($H166),ISNUMBER($I166)),IF(MAX($H166,$I166)-$G166&lt;=29,"OK","LATE: protected / info served after day 30"),IF(TODAY()-$G166&gt;29,"OVERDUE: not protected / info not served","Protect + serve info by "&amp;TEXT($G166+29,"dd/mm/yyyy"))))))</f>
        <v/>
      </c>
      <c r="K166" s="97">
        <f>IF(OR(NOT(ISNUMBER($E166)),NOT(ISNUMBER($F166))),"",IF($F166&lt;=$E166*12/52*5,"OK","Over 5 weeks"))</f>
        <v/>
      </c>
      <c r="L166" s="52"/>
      <c r="M166" s="52"/>
      <c r="N166" s="122">
        <f>IF(OR($A166="",NOT(ISNUMBER($L166))),IF($A166="","","Not recorded"),IF(NOT(ISNUMBER($M166)),"Checked (no follow-up)",IF($M166&lt;TODAY(),"OVERDUE: follow-up check",IF($M166-TODAY()&lt;=60,"Follow-up due "&amp;TEXT($M166,"dd/mm/yyyy"),"Checked"))))</f>
        <v/>
      </c>
      <c r="O166" s="52"/>
      <c r="P166" s="52"/>
      <c r="Q166" s="122">
        <f>IF($A166="","",IF(NOT(ISNUMBER($D166)),"Enter start date",IF($D166&gt;=DATE(2026,5,1),IF(ISNUMBER($O166),"Complete","Missing: written terms"),IF(OR(ISNUMBER($P166),ISNUMBER($O166)),"Complete","Missing: Information Sheet (was due 31/05/2026)"))))</f>
        <v/>
      </c>
      <c r="R166" s="52"/>
      <c r="S166" s="82">
        <f>IF(ISNUMBER($R166),$R166+364,IF(ISNUMBER($D166),$D166+364,""))</f>
        <v/>
      </c>
      <c r="T166" s="52"/>
      <c r="U166" s="82">
        <f>IF(ISNUMBER($T166),IF(ISNUMBER($S166),MAX(EDATE($T166,2),$S166),EDATE($T166,2)),"")</f>
        <v/>
      </c>
      <c r="V166" s="52"/>
      <c r="W166" s="52"/>
      <c r="X166" s="121">
        <f>IF(NOT(ISNUMBER($V166)),"",IF(ISNUMBER($W166),IF($W166-$V166&lt;=28,"Answered in time","LATE: answered after day 28"),IF(TODAY()-$V166&gt;28,"OVERDUE: no reply yet","Reply due by "&amp;TEXT($V166+28,"dd/mm/yyyy"))))</f>
        <v/>
      </c>
      <c r="Y166" s="54"/>
    </row>
    <row r="167" spans="1:25">
      <c r="A167" s="54"/>
      <c r="B167" s="54"/>
      <c r="C167" s="51"/>
      <c r="D167" s="52"/>
      <c r="E167" s="120"/>
      <c r="F167" s="120"/>
      <c r="G167" s="52"/>
      <c r="H167" s="52"/>
      <c r="I167" s="52"/>
      <c r="J167" s="121">
        <f>IF(OR($A167="",NOT(ISNUMBER($F167))),"",IF($F167&lt;=0,"No deposit",IF(NOT(ISNUMBER($G167)),"Enter date received",IF(AND(ISNUMBER($H167),ISNUMBER($I167)),IF(MAX($H167,$I167)-$G167&lt;=29,"OK","LATE: protected / info served after day 30"),IF(TODAY()-$G167&gt;29,"OVERDUE: not protected / info not served","Protect + serve info by "&amp;TEXT($G167+29,"dd/mm/yyyy"))))))</f>
        <v/>
      </c>
      <c r="K167" s="97">
        <f>IF(OR(NOT(ISNUMBER($E167)),NOT(ISNUMBER($F167))),"",IF($F167&lt;=$E167*12/52*5,"OK","Over 5 weeks"))</f>
        <v/>
      </c>
      <c r="L167" s="52"/>
      <c r="M167" s="52"/>
      <c r="N167" s="122">
        <f>IF(OR($A167="",NOT(ISNUMBER($L167))),IF($A167="","","Not recorded"),IF(NOT(ISNUMBER($M167)),"Checked (no follow-up)",IF($M167&lt;TODAY(),"OVERDUE: follow-up check",IF($M167-TODAY()&lt;=60,"Follow-up due "&amp;TEXT($M167,"dd/mm/yyyy"),"Checked"))))</f>
        <v/>
      </c>
      <c r="O167" s="52"/>
      <c r="P167" s="52"/>
      <c r="Q167" s="122">
        <f>IF($A167="","",IF(NOT(ISNUMBER($D167)),"Enter start date",IF($D167&gt;=DATE(2026,5,1),IF(ISNUMBER($O167),"Complete","Missing: written terms"),IF(OR(ISNUMBER($P167),ISNUMBER($O167)),"Complete","Missing: Information Sheet (was due 31/05/2026)"))))</f>
        <v/>
      </c>
      <c r="R167" s="52"/>
      <c r="S167" s="82">
        <f>IF(ISNUMBER($R167),$R167+364,IF(ISNUMBER($D167),$D167+364,""))</f>
        <v/>
      </c>
      <c r="T167" s="52"/>
      <c r="U167" s="82">
        <f>IF(ISNUMBER($T167),IF(ISNUMBER($S167),MAX(EDATE($T167,2),$S167),EDATE($T167,2)),"")</f>
        <v/>
      </c>
      <c r="V167" s="52"/>
      <c r="W167" s="52"/>
      <c r="X167" s="121">
        <f>IF(NOT(ISNUMBER($V167)),"",IF(ISNUMBER($W167),IF($W167-$V167&lt;=28,"Answered in time","LATE: answered after day 28"),IF(TODAY()-$V167&gt;28,"OVERDUE: no reply yet","Reply due by "&amp;TEXT($V167+28,"dd/mm/yyyy"))))</f>
        <v/>
      </c>
      <c r="Y167" s="54"/>
    </row>
    <row r="168" spans="1:25">
      <c r="A168" s="54"/>
      <c r="B168" s="54"/>
      <c r="C168" s="51"/>
      <c r="D168" s="52"/>
      <c r="E168" s="120"/>
      <c r="F168" s="120"/>
      <c r="G168" s="52"/>
      <c r="H168" s="52"/>
      <c r="I168" s="52"/>
      <c r="J168" s="121">
        <f>IF(OR($A168="",NOT(ISNUMBER($F168))),"",IF($F168&lt;=0,"No deposit",IF(NOT(ISNUMBER($G168)),"Enter date received",IF(AND(ISNUMBER($H168),ISNUMBER($I168)),IF(MAX($H168,$I168)-$G168&lt;=29,"OK","LATE: protected / info served after day 30"),IF(TODAY()-$G168&gt;29,"OVERDUE: not protected / info not served","Protect + serve info by "&amp;TEXT($G168+29,"dd/mm/yyyy"))))))</f>
        <v/>
      </c>
      <c r="K168" s="97">
        <f>IF(OR(NOT(ISNUMBER($E168)),NOT(ISNUMBER($F168))),"",IF($F168&lt;=$E168*12/52*5,"OK","Over 5 weeks"))</f>
        <v/>
      </c>
      <c r="L168" s="52"/>
      <c r="M168" s="52"/>
      <c r="N168" s="122">
        <f>IF(OR($A168="",NOT(ISNUMBER($L168))),IF($A168="","","Not recorded"),IF(NOT(ISNUMBER($M168)),"Checked (no follow-up)",IF($M168&lt;TODAY(),"OVERDUE: follow-up check",IF($M168-TODAY()&lt;=60,"Follow-up due "&amp;TEXT($M168,"dd/mm/yyyy"),"Checked"))))</f>
        <v/>
      </c>
      <c r="O168" s="52"/>
      <c r="P168" s="52"/>
      <c r="Q168" s="122">
        <f>IF($A168="","",IF(NOT(ISNUMBER($D168)),"Enter start date",IF($D168&gt;=DATE(2026,5,1),IF(ISNUMBER($O168),"Complete","Missing: written terms"),IF(OR(ISNUMBER($P168),ISNUMBER($O168)),"Complete","Missing: Information Sheet (was due 31/05/2026)"))))</f>
        <v/>
      </c>
      <c r="R168" s="52"/>
      <c r="S168" s="82">
        <f>IF(ISNUMBER($R168),$R168+364,IF(ISNUMBER($D168),$D168+364,""))</f>
        <v/>
      </c>
      <c r="T168" s="52"/>
      <c r="U168" s="82">
        <f>IF(ISNUMBER($T168),IF(ISNUMBER($S168),MAX(EDATE($T168,2),$S168),EDATE($T168,2)),"")</f>
        <v/>
      </c>
      <c r="V168" s="52"/>
      <c r="W168" s="52"/>
      <c r="X168" s="121">
        <f>IF(NOT(ISNUMBER($V168)),"",IF(ISNUMBER($W168),IF($W168-$V168&lt;=28,"Answered in time","LATE: answered after day 28"),IF(TODAY()-$V168&gt;28,"OVERDUE: no reply yet","Reply due by "&amp;TEXT($V168+28,"dd/mm/yyyy"))))</f>
        <v/>
      </c>
      <c r="Y168" s="54"/>
    </row>
    <row r="169" spans="1:25">
      <c r="A169" s="54"/>
      <c r="B169" s="54"/>
      <c r="C169" s="51"/>
      <c r="D169" s="52"/>
      <c r="E169" s="120"/>
      <c r="F169" s="120"/>
      <c r="G169" s="52"/>
      <c r="H169" s="52"/>
      <c r="I169" s="52"/>
      <c r="J169" s="121">
        <f>IF(OR($A169="",NOT(ISNUMBER($F169))),"",IF($F169&lt;=0,"No deposit",IF(NOT(ISNUMBER($G169)),"Enter date received",IF(AND(ISNUMBER($H169),ISNUMBER($I169)),IF(MAX($H169,$I169)-$G169&lt;=29,"OK","LATE: protected / info served after day 30"),IF(TODAY()-$G169&gt;29,"OVERDUE: not protected / info not served","Protect + serve info by "&amp;TEXT($G169+29,"dd/mm/yyyy"))))))</f>
        <v/>
      </c>
      <c r="K169" s="97">
        <f>IF(OR(NOT(ISNUMBER($E169)),NOT(ISNUMBER($F169))),"",IF($F169&lt;=$E169*12/52*5,"OK","Over 5 weeks"))</f>
        <v/>
      </c>
      <c r="L169" s="52"/>
      <c r="M169" s="52"/>
      <c r="N169" s="122">
        <f>IF(OR($A169="",NOT(ISNUMBER($L169))),IF($A169="","","Not recorded"),IF(NOT(ISNUMBER($M169)),"Checked (no follow-up)",IF($M169&lt;TODAY(),"OVERDUE: follow-up check",IF($M169-TODAY()&lt;=60,"Follow-up due "&amp;TEXT($M169,"dd/mm/yyyy"),"Checked"))))</f>
        <v/>
      </c>
      <c r="O169" s="52"/>
      <c r="P169" s="52"/>
      <c r="Q169" s="122">
        <f>IF($A169="","",IF(NOT(ISNUMBER($D169)),"Enter start date",IF($D169&gt;=DATE(2026,5,1),IF(ISNUMBER($O169),"Complete","Missing: written terms"),IF(OR(ISNUMBER($P169),ISNUMBER($O169)),"Complete","Missing: Information Sheet (was due 31/05/2026)"))))</f>
        <v/>
      </c>
      <c r="R169" s="52"/>
      <c r="S169" s="82">
        <f>IF(ISNUMBER($R169),$R169+364,IF(ISNUMBER($D169),$D169+364,""))</f>
        <v/>
      </c>
      <c r="T169" s="52"/>
      <c r="U169" s="82">
        <f>IF(ISNUMBER($T169),IF(ISNUMBER($S169),MAX(EDATE($T169,2),$S169),EDATE($T169,2)),"")</f>
        <v/>
      </c>
      <c r="V169" s="52"/>
      <c r="W169" s="52"/>
      <c r="X169" s="121">
        <f>IF(NOT(ISNUMBER($V169)),"",IF(ISNUMBER($W169),IF($W169-$V169&lt;=28,"Answered in time","LATE: answered after day 28"),IF(TODAY()-$V169&gt;28,"OVERDUE: no reply yet","Reply due by "&amp;TEXT($V169+28,"dd/mm/yyyy"))))</f>
        <v/>
      </c>
      <c r="Y169" s="54"/>
    </row>
    <row r="170" spans="1:25">
      <c r="A170" s="54"/>
      <c r="B170" s="54"/>
      <c r="C170" s="51"/>
      <c r="D170" s="52"/>
      <c r="E170" s="120"/>
      <c r="F170" s="120"/>
      <c r="G170" s="52"/>
      <c r="H170" s="52"/>
      <c r="I170" s="52"/>
      <c r="J170" s="121">
        <f>IF(OR($A170="",NOT(ISNUMBER($F170))),"",IF($F170&lt;=0,"No deposit",IF(NOT(ISNUMBER($G170)),"Enter date received",IF(AND(ISNUMBER($H170),ISNUMBER($I170)),IF(MAX($H170,$I170)-$G170&lt;=29,"OK","LATE: protected / info served after day 30"),IF(TODAY()-$G170&gt;29,"OVERDUE: not protected / info not served","Protect + serve info by "&amp;TEXT($G170+29,"dd/mm/yyyy"))))))</f>
        <v/>
      </c>
      <c r="K170" s="97">
        <f>IF(OR(NOT(ISNUMBER($E170)),NOT(ISNUMBER($F170))),"",IF($F170&lt;=$E170*12/52*5,"OK","Over 5 weeks"))</f>
        <v/>
      </c>
      <c r="L170" s="52"/>
      <c r="M170" s="52"/>
      <c r="N170" s="122">
        <f>IF(OR($A170="",NOT(ISNUMBER($L170))),IF($A170="","","Not recorded"),IF(NOT(ISNUMBER($M170)),"Checked (no follow-up)",IF($M170&lt;TODAY(),"OVERDUE: follow-up check",IF($M170-TODAY()&lt;=60,"Follow-up due "&amp;TEXT($M170,"dd/mm/yyyy"),"Checked"))))</f>
        <v/>
      </c>
      <c r="O170" s="52"/>
      <c r="P170" s="52"/>
      <c r="Q170" s="122">
        <f>IF($A170="","",IF(NOT(ISNUMBER($D170)),"Enter start date",IF($D170&gt;=DATE(2026,5,1),IF(ISNUMBER($O170),"Complete","Missing: written terms"),IF(OR(ISNUMBER($P170),ISNUMBER($O170)),"Complete","Missing: Information Sheet (was due 31/05/2026)"))))</f>
        <v/>
      </c>
      <c r="R170" s="52"/>
      <c r="S170" s="82">
        <f>IF(ISNUMBER($R170),$R170+364,IF(ISNUMBER($D170),$D170+364,""))</f>
        <v/>
      </c>
      <c r="T170" s="52"/>
      <c r="U170" s="82">
        <f>IF(ISNUMBER($T170),IF(ISNUMBER($S170),MAX(EDATE($T170,2),$S170),EDATE($T170,2)),"")</f>
        <v/>
      </c>
      <c r="V170" s="52"/>
      <c r="W170" s="52"/>
      <c r="X170" s="121">
        <f>IF(NOT(ISNUMBER($V170)),"",IF(ISNUMBER($W170),IF($W170-$V170&lt;=28,"Answered in time","LATE: answered after day 28"),IF(TODAY()-$V170&gt;28,"OVERDUE: no reply yet","Reply due by "&amp;TEXT($V170+28,"dd/mm/yyyy"))))</f>
        <v/>
      </c>
      <c r="Y170" s="54"/>
    </row>
    <row r="171" spans="1:25">
      <c r="A171" s="54"/>
      <c r="B171" s="54"/>
      <c r="C171" s="51"/>
      <c r="D171" s="52"/>
      <c r="E171" s="120"/>
      <c r="F171" s="120"/>
      <c r="G171" s="52"/>
      <c r="H171" s="52"/>
      <c r="I171" s="52"/>
      <c r="J171" s="121">
        <f>IF(OR($A171="",NOT(ISNUMBER($F171))),"",IF($F171&lt;=0,"No deposit",IF(NOT(ISNUMBER($G171)),"Enter date received",IF(AND(ISNUMBER($H171),ISNUMBER($I171)),IF(MAX($H171,$I171)-$G171&lt;=29,"OK","LATE: protected / info served after day 30"),IF(TODAY()-$G171&gt;29,"OVERDUE: not protected / info not served","Protect + serve info by "&amp;TEXT($G171+29,"dd/mm/yyyy"))))))</f>
        <v/>
      </c>
      <c r="K171" s="97">
        <f>IF(OR(NOT(ISNUMBER($E171)),NOT(ISNUMBER($F171))),"",IF($F171&lt;=$E171*12/52*5,"OK","Over 5 weeks"))</f>
        <v/>
      </c>
      <c r="L171" s="52"/>
      <c r="M171" s="52"/>
      <c r="N171" s="122">
        <f>IF(OR($A171="",NOT(ISNUMBER($L171))),IF($A171="","","Not recorded"),IF(NOT(ISNUMBER($M171)),"Checked (no follow-up)",IF($M171&lt;TODAY(),"OVERDUE: follow-up check",IF($M171-TODAY()&lt;=60,"Follow-up due "&amp;TEXT($M171,"dd/mm/yyyy"),"Checked"))))</f>
        <v/>
      </c>
      <c r="O171" s="52"/>
      <c r="P171" s="52"/>
      <c r="Q171" s="122">
        <f>IF($A171="","",IF(NOT(ISNUMBER($D171)),"Enter start date",IF($D171&gt;=DATE(2026,5,1),IF(ISNUMBER($O171),"Complete","Missing: written terms"),IF(OR(ISNUMBER($P171),ISNUMBER($O171)),"Complete","Missing: Information Sheet (was due 31/05/2026)"))))</f>
        <v/>
      </c>
      <c r="R171" s="52"/>
      <c r="S171" s="82">
        <f>IF(ISNUMBER($R171),$R171+364,IF(ISNUMBER($D171),$D171+364,""))</f>
        <v/>
      </c>
      <c r="T171" s="52"/>
      <c r="U171" s="82">
        <f>IF(ISNUMBER($T171),IF(ISNUMBER($S171),MAX(EDATE($T171,2),$S171),EDATE($T171,2)),"")</f>
        <v/>
      </c>
      <c r="V171" s="52"/>
      <c r="W171" s="52"/>
      <c r="X171" s="121">
        <f>IF(NOT(ISNUMBER($V171)),"",IF(ISNUMBER($W171),IF($W171-$V171&lt;=28,"Answered in time","LATE: answered after day 28"),IF(TODAY()-$V171&gt;28,"OVERDUE: no reply yet","Reply due by "&amp;TEXT($V171+28,"dd/mm/yyyy"))))</f>
        <v/>
      </c>
      <c r="Y171" s="54"/>
    </row>
    <row r="172" spans="1:25">
      <c r="A172" s="54"/>
      <c r="B172" s="54"/>
      <c r="C172" s="51"/>
      <c r="D172" s="52"/>
      <c r="E172" s="120"/>
      <c r="F172" s="120"/>
      <c r="G172" s="52"/>
      <c r="H172" s="52"/>
      <c r="I172" s="52"/>
      <c r="J172" s="121">
        <f>IF(OR($A172="",NOT(ISNUMBER($F172))),"",IF($F172&lt;=0,"No deposit",IF(NOT(ISNUMBER($G172)),"Enter date received",IF(AND(ISNUMBER($H172),ISNUMBER($I172)),IF(MAX($H172,$I172)-$G172&lt;=29,"OK","LATE: protected / info served after day 30"),IF(TODAY()-$G172&gt;29,"OVERDUE: not protected / info not served","Protect + serve info by "&amp;TEXT($G172+29,"dd/mm/yyyy"))))))</f>
        <v/>
      </c>
      <c r="K172" s="97">
        <f>IF(OR(NOT(ISNUMBER($E172)),NOT(ISNUMBER($F172))),"",IF($F172&lt;=$E172*12/52*5,"OK","Over 5 weeks"))</f>
        <v/>
      </c>
      <c r="L172" s="52"/>
      <c r="M172" s="52"/>
      <c r="N172" s="122">
        <f>IF(OR($A172="",NOT(ISNUMBER($L172))),IF($A172="","","Not recorded"),IF(NOT(ISNUMBER($M172)),"Checked (no follow-up)",IF($M172&lt;TODAY(),"OVERDUE: follow-up check",IF($M172-TODAY()&lt;=60,"Follow-up due "&amp;TEXT($M172,"dd/mm/yyyy"),"Checked"))))</f>
        <v/>
      </c>
      <c r="O172" s="52"/>
      <c r="P172" s="52"/>
      <c r="Q172" s="122">
        <f>IF($A172="","",IF(NOT(ISNUMBER($D172)),"Enter start date",IF($D172&gt;=DATE(2026,5,1),IF(ISNUMBER($O172),"Complete","Missing: written terms"),IF(OR(ISNUMBER($P172),ISNUMBER($O172)),"Complete","Missing: Information Sheet (was due 31/05/2026)"))))</f>
        <v/>
      </c>
      <c r="R172" s="52"/>
      <c r="S172" s="82">
        <f>IF(ISNUMBER($R172),$R172+364,IF(ISNUMBER($D172),$D172+364,""))</f>
        <v/>
      </c>
      <c r="T172" s="52"/>
      <c r="U172" s="82">
        <f>IF(ISNUMBER($T172),IF(ISNUMBER($S172),MAX(EDATE($T172,2),$S172),EDATE($T172,2)),"")</f>
        <v/>
      </c>
      <c r="V172" s="52"/>
      <c r="W172" s="52"/>
      <c r="X172" s="121">
        <f>IF(NOT(ISNUMBER($V172)),"",IF(ISNUMBER($W172),IF($W172-$V172&lt;=28,"Answered in time","LATE: answered after day 28"),IF(TODAY()-$V172&gt;28,"OVERDUE: no reply yet","Reply due by "&amp;TEXT($V172+28,"dd/mm/yyyy"))))</f>
        <v/>
      </c>
      <c r="Y172" s="54"/>
    </row>
    <row r="173" spans="1:25">
      <c r="A173" s="54"/>
      <c r="B173" s="54"/>
      <c r="C173" s="51"/>
      <c r="D173" s="52"/>
      <c r="E173" s="120"/>
      <c r="F173" s="120"/>
      <c r="G173" s="52"/>
      <c r="H173" s="52"/>
      <c r="I173" s="52"/>
      <c r="J173" s="121">
        <f>IF(OR($A173="",NOT(ISNUMBER($F173))),"",IF($F173&lt;=0,"No deposit",IF(NOT(ISNUMBER($G173)),"Enter date received",IF(AND(ISNUMBER($H173),ISNUMBER($I173)),IF(MAX($H173,$I173)-$G173&lt;=29,"OK","LATE: protected / info served after day 30"),IF(TODAY()-$G173&gt;29,"OVERDUE: not protected / info not served","Protect + serve info by "&amp;TEXT($G173+29,"dd/mm/yyyy"))))))</f>
        <v/>
      </c>
      <c r="K173" s="97">
        <f>IF(OR(NOT(ISNUMBER($E173)),NOT(ISNUMBER($F173))),"",IF($F173&lt;=$E173*12/52*5,"OK","Over 5 weeks"))</f>
        <v/>
      </c>
      <c r="L173" s="52"/>
      <c r="M173" s="52"/>
      <c r="N173" s="122">
        <f>IF(OR($A173="",NOT(ISNUMBER($L173))),IF($A173="","","Not recorded"),IF(NOT(ISNUMBER($M173)),"Checked (no follow-up)",IF($M173&lt;TODAY(),"OVERDUE: follow-up check",IF($M173-TODAY()&lt;=60,"Follow-up due "&amp;TEXT($M173,"dd/mm/yyyy"),"Checked"))))</f>
        <v/>
      </c>
      <c r="O173" s="52"/>
      <c r="P173" s="52"/>
      <c r="Q173" s="122">
        <f>IF($A173="","",IF(NOT(ISNUMBER($D173)),"Enter start date",IF($D173&gt;=DATE(2026,5,1),IF(ISNUMBER($O173),"Complete","Missing: written terms"),IF(OR(ISNUMBER($P173),ISNUMBER($O173)),"Complete","Missing: Information Sheet (was due 31/05/2026)"))))</f>
        <v/>
      </c>
      <c r="R173" s="52"/>
      <c r="S173" s="82">
        <f>IF(ISNUMBER($R173),$R173+364,IF(ISNUMBER($D173),$D173+364,""))</f>
        <v/>
      </c>
      <c r="T173" s="52"/>
      <c r="U173" s="82">
        <f>IF(ISNUMBER($T173),IF(ISNUMBER($S173),MAX(EDATE($T173,2),$S173),EDATE($T173,2)),"")</f>
        <v/>
      </c>
      <c r="V173" s="52"/>
      <c r="W173" s="52"/>
      <c r="X173" s="121">
        <f>IF(NOT(ISNUMBER($V173)),"",IF(ISNUMBER($W173),IF($W173-$V173&lt;=28,"Answered in time","LATE: answered after day 28"),IF(TODAY()-$V173&gt;28,"OVERDUE: no reply yet","Reply due by "&amp;TEXT($V173+28,"dd/mm/yyyy"))))</f>
        <v/>
      </c>
      <c r="Y173" s="54"/>
    </row>
    <row r="174" spans="1:25">
      <c r="A174" s="54"/>
      <c r="B174" s="54"/>
      <c r="C174" s="51"/>
      <c r="D174" s="52"/>
      <c r="E174" s="120"/>
      <c r="F174" s="120"/>
      <c r="G174" s="52"/>
      <c r="H174" s="52"/>
      <c r="I174" s="52"/>
      <c r="J174" s="121">
        <f>IF(OR($A174="",NOT(ISNUMBER($F174))),"",IF($F174&lt;=0,"No deposit",IF(NOT(ISNUMBER($G174)),"Enter date received",IF(AND(ISNUMBER($H174),ISNUMBER($I174)),IF(MAX($H174,$I174)-$G174&lt;=29,"OK","LATE: protected / info served after day 30"),IF(TODAY()-$G174&gt;29,"OVERDUE: not protected / info not served","Protect + serve info by "&amp;TEXT($G174+29,"dd/mm/yyyy"))))))</f>
        <v/>
      </c>
      <c r="K174" s="97">
        <f>IF(OR(NOT(ISNUMBER($E174)),NOT(ISNUMBER($F174))),"",IF($F174&lt;=$E174*12/52*5,"OK","Over 5 weeks"))</f>
        <v/>
      </c>
      <c r="L174" s="52"/>
      <c r="M174" s="52"/>
      <c r="N174" s="122">
        <f>IF(OR($A174="",NOT(ISNUMBER($L174))),IF($A174="","","Not recorded"),IF(NOT(ISNUMBER($M174)),"Checked (no follow-up)",IF($M174&lt;TODAY(),"OVERDUE: follow-up check",IF($M174-TODAY()&lt;=60,"Follow-up due "&amp;TEXT($M174,"dd/mm/yyyy"),"Checked"))))</f>
        <v/>
      </c>
      <c r="O174" s="52"/>
      <c r="P174" s="52"/>
      <c r="Q174" s="122">
        <f>IF($A174="","",IF(NOT(ISNUMBER($D174)),"Enter start date",IF($D174&gt;=DATE(2026,5,1),IF(ISNUMBER($O174),"Complete","Missing: written terms"),IF(OR(ISNUMBER($P174),ISNUMBER($O174)),"Complete","Missing: Information Sheet (was due 31/05/2026)"))))</f>
        <v/>
      </c>
      <c r="R174" s="52"/>
      <c r="S174" s="82">
        <f>IF(ISNUMBER($R174),$R174+364,IF(ISNUMBER($D174),$D174+364,""))</f>
        <v/>
      </c>
      <c r="T174" s="52"/>
      <c r="U174" s="82">
        <f>IF(ISNUMBER($T174),IF(ISNUMBER($S174),MAX(EDATE($T174,2),$S174),EDATE($T174,2)),"")</f>
        <v/>
      </c>
      <c r="V174" s="52"/>
      <c r="W174" s="52"/>
      <c r="X174" s="121">
        <f>IF(NOT(ISNUMBER($V174)),"",IF(ISNUMBER($W174),IF($W174-$V174&lt;=28,"Answered in time","LATE: answered after day 28"),IF(TODAY()-$V174&gt;28,"OVERDUE: no reply yet","Reply due by "&amp;TEXT($V174+28,"dd/mm/yyyy"))))</f>
        <v/>
      </c>
      <c r="Y174" s="54"/>
    </row>
    <row r="175" spans="1:25">
      <c r="A175" s="54"/>
      <c r="B175" s="54"/>
      <c r="C175" s="51"/>
      <c r="D175" s="52"/>
      <c r="E175" s="120"/>
      <c r="F175" s="120"/>
      <c r="G175" s="52"/>
      <c r="H175" s="52"/>
      <c r="I175" s="52"/>
      <c r="J175" s="121">
        <f>IF(OR($A175="",NOT(ISNUMBER($F175))),"",IF($F175&lt;=0,"No deposit",IF(NOT(ISNUMBER($G175)),"Enter date received",IF(AND(ISNUMBER($H175),ISNUMBER($I175)),IF(MAX($H175,$I175)-$G175&lt;=29,"OK","LATE: protected / info served after day 30"),IF(TODAY()-$G175&gt;29,"OVERDUE: not protected / info not served","Protect + serve info by "&amp;TEXT($G175+29,"dd/mm/yyyy"))))))</f>
        <v/>
      </c>
      <c r="K175" s="97">
        <f>IF(OR(NOT(ISNUMBER($E175)),NOT(ISNUMBER($F175))),"",IF($F175&lt;=$E175*12/52*5,"OK","Over 5 weeks"))</f>
        <v/>
      </c>
      <c r="L175" s="52"/>
      <c r="M175" s="52"/>
      <c r="N175" s="122">
        <f>IF(OR($A175="",NOT(ISNUMBER($L175))),IF($A175="","","Not recorded"),IF(NOT(ISNUMBER($M175)),"Checked (no follow-up)",IF($M175&lt;TODAY(),"OVERDUE: follow-up check",IF($M175-TODAY()&lt;=60,"Follow-up due "&amp;TEXT($M175,"dd/mm/yyyy"),"Checked"))))</f>
        <v/>
      </c>
      <c r="O175" s="52"/>
      <c r="P175" s="52"/>
      <c r="Q175" s="122">
        <f>IF($A175="","",IF(NOT(ISNUMBER($D175)),"Enter start date",IF($D175&gt;=DATE(2026,5,1),IF(ISNUMBER($O175),"Complete","Missing: written terms"),IF(OR(ISNUMBER($P175),ISNUMBER($O175)),"Complete","Missing: Information Sheet (was due 31/05/2026)"))))</f>
        <v/>
      </c>
      <c r="R175" s="52"/>
      <c r="S175" s="82">
        <f>IF(ISNUMBER($R175),$R175+364,IF(ISNUMBER($D175),$D175+364,""))</f>
        <v/>
      </c>
      <c r="T175" s="52"/>
      <c r="U175" s="82">
        <f>IF(ISNUMBER($T175),IF(ISNUMBER($S175),MAX(EDATE($T175,2),$S175),EDATE($T175,2)),"")</f>
        <v/>
      </c>
      <c r="V175" s="52"/>
      <c r="W175" s="52"/>
      <c r="X175" s="121">
        <f>IF(NOT(ISNUMBER($V175)),"",IF(ISNUMBER($W175),IF($W175-$V175&lt;=28,"Answered in time","LATE: answered after day 28"),IF(TODAY()-$V175&gt;28,"OVERDUE: no reply yet","Reply due by "&amp;TEXT($V175+28,"dd/mm/yyyy"))))</f>
        <v/>
      </c>
      <c r="Y175" s="54"/>
    </row>
    <row r="176" spans="1:25">
      <c r="A176" s="54"/>
      <c r="B176" s="54"/>
      <c r="C176" s="51"/>
      <c r="D176" s="52"/>
      <c r="E176" s="120"/>
      <c r="F176" s="120"/>
      <c r="G176" s="52"/>
      <c r="H176" s="52"/>
      <c r="I176" s="52"/>
      <c r="J176" s="121">
        <f>IF(OR($A176="",NOT(ISNUMBER($F176))),"",IF($F176&lt;=0,"No deposit",IF(NOT(ISNUMBER($G176)),"Enter date received",IF(AND(ISNUMBER($H176),ISNUMBER($I176)),IF(MAX($H176,$I176)-$G176&lt;=29,"OK","LATE: protected / info served after day 30"),IF(TODAY()-$G176&gt;29,"OVERDUE: not protected / info not served","Protect + serve info by "&amp;TEXT($G176+29,"dd/mm/yyyy"))))))</f>
        <v/>
      </c>
      <c r="K176" s="97">
        <f>IF(OR(NOT(ISNUMBER($E176)),NOT(ISNUMBER($F176))),"",IF($F176&lt;=$E176*12/52*5,"OK","Over 5 weeks"))</f>
        <v/>
      </c>
      <c r="L176" s="52"/>
      <c r="M176" s="52"/>
      <c r="N176" s="122">
        <f>IF(OR($A176="",NOT(ISNUMBER($L176))),IF($A176="","","Not recorded"),IF(NOT(ISNUMBER($M176)),"Checked (no follow-up)",IF($M176&lt;TODAY(),"OVERDUE: follow-up check",IF($M176-TODAY()&lt;=60,"Follow-up due "&amp;TEXT($M176,"dd/mm/yyyy"),"Checked"))))</f>
        <v/>
      </c>
      <c r="O176" s="52"/>
      <c r="P176" s="52"/>
      <c r="Q176" s="122">
        <f>IF($A176="","",IF(NOT(ISNUMBER($D176)),"Enter start date",IF($D176&gt;=DATE(2026,5,1),IF(ISNUMBER($O176),"Complete","Missing: written terms"),IF(OR(ISNUMBER($P176),ISNUMBER($O176)),"Complete","Missing: Information Sheet (was due 31/05/2026)"))))</f>
        <v/>
      </c>
      <c r="R176" s="52"/>
      <c r="S176" s="82">
        <f>IF(ISNUMBER($R176),$R176+364,IF(ISNUMBER($D176),$D176+364,""))</f>
        <v/>
      </c>
      <c r="T176" s="52"/>
      <c r="U176" s="82">
        <f>IF(ISNUMBER($T176),IF(ISNUMBER($S176),MAX(EDATE($T176,2),$S176),EDATE($T176,2)),"")</f>
        <v/>
      </c>
      <c r="V176" s="52"/>
      <c r="W176" s="52"/>
      <c r="X176" s="121">
        <f>IF(NOT(ISNUMBER($V176)),"",IF(ISNUMBER($W176),IF($W176-$V176&lt;=28,"Answered in time","LATE: answered after day 28"),IF(TODAY()-$V176&gt;28,"OVERDUE: no reply yet","Reply due by "&amp;TEXT($V176+28,"dd/mm/yyyy"))))</f>
        <v/>
      </c>
      <c r="Y176" s="54"/>
    </row>
    <row r="177" spans="1:25">
      <c r="A177" s="54"/>
      <c r="B177" s="54"/>
      <c r="C177" s="51"/>
      <c r="D177" s="52"/>
      <c r="E177" s="120"/>
      <c r="F177" s="120"/>
      <c r="G177" s="52"/>
      <c r="H177" s="52"/>
      <c r="I177" s="52"/>
      <c r="J177" s="121">
        <f>IF(OR($A177="",NOT(ISNUMBER($F177))),"",IF($F177&lt;=0,"No deposit",IF(NOT(ISNUMBER($G177)),"Enter date received",IF(AND(ISNUMBER($H177),ISNUMBER($I177)),IF(MAX($H177,$I177)-$G177&lt;=29,"OK","LATE: protected / info served after day 30"),IF(TODAY()-$G177&gt;29,"OVERDUE: not protected / info not served","Protect + serve info by "&amp;TEXT($G177+29,"dd/mm/yyyy"))))))</f>
        <v/>
      </c>
      <c r="K177" s="97">
        <f>IF(OR(NOT(ISNUMBER($E177)),NOT(ISNUMBER($F177))),"",IF($F177&lt;=$E177*12/52*5,"OK","Over 5 weeks"))</f>
        <v/>
      </c>
      <c r="L177" s="52"/>
      <c r="M177" s="52"/>
      <c r="N177" s="122">
        <f>IF(OR($A177="",NOT(ISNUMBER($L177))),IF($A177="","","Not recorded"),IF(NOT(ISNUMBER($M177)),"Checked (no follow-up)",IF($M177&lt;TODAY(),"OVERDUE: follow-up check",IF($M177-TODAY()&lt;=60,"Follow-up due "&amp;TEXT($M177,"dd/mm/yyyy"),"Checked"))))</f>
        <v/>
      </c>
      <c r="O177" s="52"/>
      <c r="P177" s="52"/>
      <c r="Q177" s="122">
        <f>IF($A177="","",IF(NOT(ISNUMBER($D177)),"Enter start date",IF($D177&gt;=DATE(2026,5,1),IF(ISNUMBER($O177),"Complete","Missing: written terms"),IF(OR(ISNUMBER($P177),ISNUMBER($O177)),"Complete","Missing: Information Sheet (was due 31/05/2026)"))))</f>
        <v/>
      </c>
      <c r="R177" s="52"/>
      <c r="S177" s="82">
        <f>IF(ISNUMBER($R177),$R177+364,IF(ISNUMBER($D177),$D177+364,""))</f>
        <v/>
      </c>
      <c r="T177" s="52"/>
      <c r="U177" s="82">
        <f>IF(ISNUMBER($T177),IF(ISNUMBER($S177),MAX(EDATE($T177,2),$S177),EDATE($T177,2)),"")</f>
        <v/>
      </c>
      <c r="V177" s="52"/>
      <c r="W177" s="52"/>
      <c r="X177" s="121">
        <f>IF(NOT(ISNUMBER($V177)),"",IF(ISNUMBER($W177),IF($W177-$V177&lt;=28,"Answered in time","LATE: answered after day 28"),IF(TODAY()-$V177&gt;28,"OVERDUE: no reply yet","Reply due by "&amp;TEXT($V177+28,"dd/mm/yyyy"))))</f>
        <v/>
      </c>
      <c r="Y177" s="54"/>
    </row>
    <row r="178" spans="1:25">
      <c r="A178" s="54"/>
      <c r="B178" s="54"/>
      <c r="C178" s="51"/>
      <c r="D178" s="52"/>
      <c r="E178" s="120"/>
      <c r="F178" s="120"/>
      <c r="G178" s="52"/>
      <c r="H178" s="52"/>
      <c r="I178" s="52"/>
      <c r="J178" s="121">
        <f>IF(OR($A178="",NOT(ISNUMBER($F178))),"",IF($F178&lt;=0,"No deposit",IF(NOT(ISNUMBER($G178)),"Enter date received",IF(AND(ISNUMBER($H178),ISNUMBER($I178)),IF(MAX($H178,$I178)-$G178&lt;=29,"OK","LATE: protected / info served after day 30"),IF(TODAY()-$G178&gt;29,"OVERDUE: not protected / info not served","Protect + serve info by "&amp;TEXT($G178+29,"dd/mm/yyyy"))))))</f>
        <v/>
      </c>
      <c r="K178" s="97">
        <f>IF(OR(NOT(ISNUMBER($E178)),NOT(ISNUMBER($F178))),"",IF($F178&lt;=$E178*12/52*5,"OK","Over 5 weeks"))</f>
        <v/>
      </c>
      <c r="L178" s="52"/>
      <c r="M178" s="52"/>
      <c r="N178" s="122">
        <f>IF(OR($A178="",NOT(ISNUMBER($L178))),IF($A178="","","Not recorded"),IF(NOT(ISNUMBER($M178)),"Checked (no follow-up)",IF($M178&lt;TODAY(),"OVERDUE: follow-up check",IF($M178-TODAY()&lt;=60,"Follow-up due "&amp;TEXT($M178,"dd/mm/yyyy"),"Checked"))))</f>
        <v/>
      </c>
      <c r="O178" s="52"/>
      <c r="P178" s="52"/>
      <c r="Q178" s="122">
        <f>IF($A178="","",IF(NOT(ISNUMBER($D178)),"Enter start date",IF($D178&gt;=DATE(2026,5,1),IF(ISNUMBER($O178),"Complete","Missing: written terms"),IF(OR(ISNUMBER($P178),ISNUMBER($O178)),"Complete","Missing: Information Sheet (was due 31/05/2026)"))))</f>
        <v/>
      </c>
      <c r="R178" s="52"/>
      <c r="S178" s="82">
        <f>IF(ISNUMBER($R178),$R178+364,IF(ISNUMBER($D178),$D178+364,""))</f>
        <v/>
      </c>
      <c r="T178" s="52"/>
      <c r="U178" s="82">
        <f>IF(ISNUMBER($T178),IF(ISNUMBER($S178),MAX(EDATE($T178,2),$S178),EDATE($T178,2)),"")</f>
        <v/>
      </c>
      <c r="V178" s="52"/>
      <c r="W178" s="52"/>
      <c r="X178" s="121">
        <f>IF(NOT(ISNUMBER($V178)),"",IF(ISNUMBER($W178),IF($W178-$V178&lt;=28,"Answered in time","LATE: answered after day 28"),IF(TODAY()-$V178&gt;28,"OVERDUE: no reply yet","Reply due by "&amp;TEXT($V178+28,"dd/mm/yyyy"))))</f>
        <v/>
      </c>
      <c r="Y178" s="54"/>
    </row>
    <row r="179" spans="1:25">
      <c r="A179" s="54"/>
      <c r="B179" s="54"/>
      <c r="C179" s="51"/>
      <c r="D179" s="52"/>
      <c r="E179" s="120"/>
      <c r="F179" s="120"/>
      <c r="G179" s="52"/>
      <c r="H179" s="52"/>
      <c r="I179" s="52"/>
      <c r="J179" s="121">
        <f>IF(OR($A179="",NOT(ISNUMBER($F179))),"",IF($F179&lt;=0,"No deposit",IF(NOT(ISNUMBER($G179)),"Enter date received",IF(AND(ISNUMBER($H179),ISNUMBER($I179)),IF(MAX($H179,$I179)-$G179&lt;=29,"OK","LATE: protected / info served after day 30"),IF(TODAY()-$G179&gt;29,"OVERDUE: not protected / info not served","Protect + serve info by "&amp;TEXT($G179+29,"dd/mm/yyyy"))))))</f>
        <v/>
      </c>
      <c r="K179" s="97">
        <f>IF(OR(NOT(ISNUMBER($E179)),NOT(ISNUMBER($F179))),"",IF($F179&lt;=$E179*12/52*5,"OK","Over 5 weeks"))</f>
        <v/>
      </c>
      <c r="L179" s="52"/>
      <c r="M179" s="52"/>
      <c r="N179" s="122">
        <f>IF(OR($A179="",NOT(ISNUMBER($L179))),IF($A179="","","Not recorded"),IF(NOT(ISNUMBER($M179)),"Checked (no follow-up)",IF($M179&lt;TODAY(),"OVERDUE: follow-up check",IF($M179-TODAY()&lt;=60,"Follow-up due "&amp;TEXT($M179,"dd/mm/yyyy"),"Checked"))))</f>
        <v/>
      </c>
      <c r="O179" s="52"/>
      <c r="P179" s="52"/>
      <c r="Q179" s="122">
        <f>IF($A179="","",IF(NOT(ISNUMBER($D179)),"Enter start date",IF($D179&gt;=DATE(2026,5,1),IF(ISNUMBER($O179),"Complete","Missing: written terms"),IF(OR(ISNUMBER($P179),ISNUMBER($O179)),"Complete","Missing: Information Sheet (was due 31/05/2026)"))))</f>
        <v/>
      </c>
      <c r="R179" s="52"/>
      <c r="S179" s="82">
        <f>IF(ISNUMBER($R179),$R179+364,IF(ISNUMBER($D179),$D179+364,""))</f>
        <v/>
      </c>
      <c r="T179" s="52"/>
      <c r="U179" s="82">
        <f>IF(ISNUMBER($T179),IF(ISNUMBER($S179),MAX(EDATE($T179,2),$S179),EDATE($T179,2)),"")</f>
        <v/>
      </c>
      <c r="V179" s="52"/>
      <c r="W179" s="52"/>
      <c r="X179" s="121">
        <f>IF(NOT(ISNUMBER($V179)),"",IF(ISNUMBER($W179),IF($W179-$V179&lt;=28,"Answered in time","LATE: answered after day 28"),IF(TODAY()-$V179&gt;28,"OVERDUE: no reply yet","Reply due by "&amp;TEXT($V179+28,"dd/mm/yyyy"))))</f>
        <v/>
      </c>
      <c r="Y179" s="54"/>
    </row>
    <row r="180" spans="1:25">
      <c r="A180" s="54"/>
      <c r="B180" s="54"/>
      <c r="C180" s="51"/>
      <c r="D180" s="52"/>
      <c r="E180" s="120"/>
      <c r="F180" s="120"/>
      <c r="G180" s="52"/>
      <c r="H180" s="52"/>
      <c r="I180" s="52"/>
      <c r="J180" s="121">
        <f>IF(OR($A180="",NOT(ISNUMBER($F180))),"",IF($F180&lt;=0,"No deposit",IF(NOT(ISNUMBER($G180)),"Enter date received",IF(AND(ISNUMBER($H180),ISNUMBER($I180)),IF(MAX($H180,$I180)-$G180&lt;=29,"OK","LATE: protected / info served after day 30"),IF(TODAY()-$G180&gt;29,"OVERDUE: not protected / info not served","Protect + serve info by "&amp;TEXT($G180+29,"dd/mm/yyyy"))))))</f>
        <v/>
      </c>
      <c r="K180" s="97">
        <f>IF(OR(NOT(ISNUMBER($E180)),NOT(ISNUMBER($F180))),"",IF($F180&lt;=$E180*12/52*5,"OK","Over 5 weeks"))</f>
        <v/>
      </c>
      <c r="L180" s="52"/>
      <c r="M180" s="52"/>
      <c r="N180" s="122">
        <f>IF(OR($A180="",NOT(ISNUMBER($L180))),IF($A180="","","Not recorded"),IF(NOT(ISNUMBER($M180)),"Checked (no follow-up)",IF($M180&lt;TODAY(),"OVERDUE: follow-up check",IF($M180-TODAY()&lt;=60,"Follow-up due "&amp;TEXT($M180,"dd/mm/yyyy"),"Checked"))))</f>
        <v/>
      </c>
      <c r="O180" s="52"/>
      <c r="P180" s="52"/>
      <c r="Q180" s="122">
        <f>IF($A180="","",IF(NOT(ISNUMBER($D180)),"Enter start date",IF($D180&gt;=DATE(2026,5,1),IF(ISNUMBER($O180),"Complete","Missing: written terms"),IF(OR(ISNUMBER($P180),ISNUMBER($O180)),"Complete","Missing: Information Sheet (was due 31/05/2026)"))))</f>
        <v/>
      </c>
      <c r="R180" s="52"/>
      <c r="S180" s="82">
        <f>IF(ISNUMBER($R180),$R180+364,IF(ISNUMBER($D180),$D180+364,""))</f>
        <v/>
      </c>
      <c r="T180" s="52"/>
      <c r="U180" s="82">
        <f>IF(ISNUMBER($T180),IF(ISNUMBER($S180),MAX(EDATE($T180,2),$S180),EDATE($T180,2)),"")</f>
        <v/>
      </c>
      <c r="V180" s="52"/>
      <c r="W180" s="52"/>
      <c r="X180" s="121">
        <f>IF(NOT(ISNUMBER($V180)),"",IF(ISNUMBER($W180),IF($W180-$V180&lt;=28,"Answered in time","LATE: answered after day 28"),IF(TODAY()-$V180&gt;28,"OVERDUE: no reply yet","Reply due by "&amp;TEXT($V180+28,"dd/mm/yyyy"))))</f>
        <v/>
      </c>
      <c r="Y180" s="54"/>
    </row>
    <row r="181" spans="1:25">
      <c r="A181" s="54"/>
      <c r="B181" s="54"/>
      <c r="C181" s="51"/>
      <c r="D181" s="52"/>
      <c r="E181" s="120"/>
      <c r="F181" s="120"/>
      <c r="G181" s="52"/>
      <c r="H181" s="52"/>
      <c r="I181" s="52"/>
      <c r="J181" s="121">
        <f>IF(OR($A181="",NOT(ISNUMBER($F181))),"",IF($F181&lt;=0,"No deposit",IF(NOT(ISNUMBER($G181)),"Enter date received",IF(AND(ISNUMBER($H181),ISNUMBER($I181)),IF(MAX($H181,$I181)-$G181&lt;=29,"OK","LATE: protected / info served after day 30"),IF(TODAY()-$G181&gt;29,"OVERDUE: not protected / info not served","Protect + serve info by "&amp;TEXT($G181+29,"dd/mm/yyyy"))))))</f>
        <v/>
      </c>
      <c r="K181" s="97">
        <f>IF(OR(NOT(ISNUMBER($E181)),NOT(ISNUMBER($F181))),"",IF($F181&lt;=$E181*12/52*5,"OK","Over 5 weeks"))</f>
        <v/>
      </c>
      <c r="L181" s="52"/>
      <c r="M181" s="52"/>
      <c r="N181" s="122">
        <f>IF(OR($A181="",NOT(ISNUMBER($L181))),IF($A181="","","Not recorded"),IF(NOT(ISNUMBER($M181)),"Checked (no follow-up)",IF($M181&lt;TODAY(),"OVERDUE: follow-up check",IF($M181-TODAY()&lt;=60,"Follow-up due "&amp;TEXT($M181,"dd/mm/yyyy"),"Checked"))))</f>
        <v/>
      </c>
      <c r="O181" s="52"/>
      <c r="P181" s="52"/>
      <c r="Q181" s="122">
        <f>IF($A181="","",IF(NOT(ISNUMBER($D181)),"Enter start date",IF($D181&gt;=DATE(2026,5,1),IF(ISNUMBER($O181),"Complete","Missing: written terms"),IF(OR(ISNUMBER($P181),ISNUMBER($O181)),"Complete","Missing: Information Sheet (was due 31/05/2026)"))))</f>
        <v/>
      </c>
      <c r="R181" s="52"/>
      <c r="S181" s="82">
        <f>IF(ISNUMBER($R181),$R181+364,IF(ISNUMBER($D181),$D181+364,""))</f>
        <v/>
      </c>
      <c r="T181" s="52"/>
      <c r="U181" s="82">
        <f>IF(ISNUMBER($T181),IF(ISNUMBER($S181),MAX(EDATE($T181,2),$S181),EDATE($T181,2)),"")</f>
        <v/>
      </c>
      <c r="V181" s="52"/>
      <c r="W181" s="52"/>
      <c r="X181" s="121">
        <f>IF(NOT(ISNUMBER($V181)),"",IF(ISNUMBER($W181),IF($W181-$V181&lt;=28,"Answered in time","LATE: answered after day 28"),IF(TODAY()-$V181&gt;28,"OVERDUE: no reply yet","Reply due by "&amp;TEXT($V181+28,"dd/mm/yyyy"))))</f>
        <v/>
      </c>
      <c r="Y181" s="54"/>
    </row>
    <row r="182" spans="1:25">
      <c r="A182" s="54"/>
      <c r="B182" s="54"/>
      <c r="C182" s="51"/>
      <c r="D182" s="52"/>
      <c r="E182" s="120"/>
      <c r="F182" s="120"/>
      <c r="G182" s="52"/>
      <c r="H182" s="52"/>
      <c r="I182" s="52"/>
      <c r="J182" s="121">
        <f>IF(OR($A182="",NOT(ISNUMBER($F182))),"",IF($F182&lt;=0,"No deposit",IF(NOT(ISNUMBER($G182)),"Enter date received",IF(AND(ISNUMBER($H182),ISNUMBER($I182)),IF(MAX($H182,$I182)-$G182&lt;=29,"OK","LATE: protected / info served after day 30"),IF(TODAY()-$G182&gt;29,"OVERDUE: not protected / info not served","Protect + serve info by "&amp;TEXT($G182+29,"dd/mm/yyyy"))))))</f>
        <v/>
      </c>
      <c r="K182" s="97">
        <f>IF(OR(NOT(ISNUMBER($E182)),NOT(ISNUMBER($F182))),"",IF($F182&lt;=$E182*12/52*5,"OK","Over 5 weeks"))</f>
        <v/>
      </c>
      <c r="L182" s="52"/>
      <c r="M182" s="52"/>
      <c r="N182" s="122">
        <f>IF(OR($A182="",NOT(ISNUMBER($L182))),IF($A182="","","Not recorded"),IF(NOT(ISNUMBER($M182)),"Checked (no follow-up)",IF($M182&lt;TODAY(),"OVERDUE: follow-up check",IF($M182-TODAY()&lt;=60,"Follow-up due "&amp;TEXT($M182,"dd/mm/yyyy"),"Checked"))))</f>
        <v/>
      </c>
      <c r="O182" s="52"/>
      <c r="P182" s="52"/>
      <c r="Q182" s="122">
        <f>IF($A182="","",IF(NOT(ISNUMBER($D182)),"Enter start date",IF($D182&gt;=DATE(2026,5,1),IF(ISNUMBER($O182),"Complete","Missing: written terms"),IF(OR(ISNUMBER($P182),ISNUMBER($O182)),"Complete","Missing: Information Sheet (was due 31/05/2026)"))))</f>
        <v/>
      </c>
      <c r="R182" s="52"/>
      <c r="S182" s="82">
        <f>IF(ISNUMBER($R182),$R182+364,IF(ISNUMBER($D182),$D182+364,""))</f>
        <v/>
      </c>
      <c r="T182" s="52"/>
      <c r="U182" s="82">
        <f>IF(ISNUMBER($T182),IF(ISNUMBER($S182),MAX(EDATE($T182,2),$S182),EDATE($T182,2)),"")</f>
        <v/>
      </c>
      <c r="V182" s="52"/>
      <c r="W182" s="52"/>
      <c r="X182" s="121">
        <f>IF(NOT(ISNUMBER($V182)),"",IF(ISNUMBER($W182),IF($W182-$V182&lt;=28,"Answered in time","LATE: answered after day 28"),IF(TODAY()-$V182&gt;28,"OVERDUE: no reply yet","Reply due by "&amp;TEXT($V182+28,"dd/mm/yyyy"))))</f>
        <v/>
      </c>
      <c r="Y182" s="54"/>
    </row>
    <row r="183" spans="1:25">
      <c r="A183" s="54"/>
      <c r="B183" s="54"/>
      <c r="C183" s="51"/>
      <c r="D183" s="52"/>
      <c r="E183" s="120"/>
      <c r="F183" s="120"/>
      <c r="G183" s="52"/>
      <c r="H183" s="52"/>
      <c r="I183" s="52"/>
      <c r="J183" s="121">
        <f>IF(OR($A183="",NOT(ISNUMBER($F183))),"",IF($F183&lt;=0,"No deposit",IF(NOT(ISNUMBER($G183)),"Enter date received",IF(AND(ISNUMBER($H183),ISNUMBER($I183)),IF(MAX($H183,$I183)-$G183&lt;=29,"OK","LATE: protected / info served after day 30"),IF(TODAY()-$G183&gt;29,"OVERDUE: not protected / info not served","Protect + serve info by "&amp;TEXT($G183+29,"dd/mm/yyyy"))))))</f>
        <v/>
      </c>
      <c r="K183" s="97">
        <f>IF(OR(NOT(ISNUMBER($E183)),NOT(ISNUMBER($F183))),"",IF($F183&lt;=$E183*12/52*5,"OK","Over 5 weeks"))</f>
        <v/>
      </c>
      <c r="L183" s="52"/>
      <c r="M183" s="52"/>
      <c r="N183" s="122">
        <f>IF(OR($A183="",NOT(ISNUMBER($L183))),IF($A183="","","Not recorded"),IF(NOT(ISNUMBER($M183)),"Checked (no follow-up)",IF($M183&lt;TODAY(),"OVERDUE: follow-up check",IF($M183-TODAY()&lt;=60,"Follow-up due "&amp;TEXT($M183,"dd/mm/yyyy"),"Checked"))))</f>
        <v/>
      </c>
      <c r="O183" s="52"/>
      <c r="P183" s="52"/>
      <c r="Q183" s="122">
        <f>IF($A183="","",IF(NOT(ISNUMBER($D183)),"Enter start date",IF($D183&gt;=DATE(2026,5,1),IF(ISNUMBER($O183),"Complete","Missing: written terms"),IF(OR(ISNUMBER($P183),ISNUMBER($O183)),"Complete","Missing: Information Sheet (was due 31/05/2026)"))))</f>
        <v/>
      </c>
      <c r="R183" s="52"/>
      <c r="S183" s="82">
        <f>IF(ISNUMBER($R183),$R183+364,IF(ISNUMBER($D183),$D183+364,""))</f>
        <v/>
      </c>
      <c r="T183" s="52"/>
      <c r="U183" s="82">
        <f>IF(ISNUMBER($T183),IF(ISNUMBER($S183),MAX(EDATE($T183,2),$S183),EDATE($T183,2)),"")</f>
        <v/>
      </c>
      <c r="V183" s="52"/>
      <c r="W183" s="52"/>
      <c r="X183" s="121">
        <f>IF(NOT(ISNUMBER($V183)),"",IF(ISNUMBER($W183),IF($W183-$V183&lt;=28,"Answered in time","LATE: answered after day 28"),IF(TODAY()-$V183&gt;28,"OVERDUE: no reply yet","Reply due by "&amp;TEXT($V183+28,"dd/mm/yyyy"))))</f>
        <v/>
      </c>
      <c r="Y183" s="54"/>
    </row>
    <row r="184" spans="1:25">
      <c r="A184" s="54"/>
      <c r="B184" s="54"/>
      <c r="C184" s="51"/>
      <c r="D184" s="52"/>
      <c r="E184" s="120"/>
      <c r="F184" s="120"/>
      <c r="G184" s="52"/>
      <c r="H184" s="52"/>
      <c r="I184" s="52"/>
      <c r="J184" s="121">
        <f>IF(OR($A184="",NOT(ISNUMBER($F184))),"",IF($F184&lt;=0,"No deposit",IF(NOT(ISNUMBER($G184)),"Enter date received",IF(AND(ISNUMBER($H184),ISNUMBER($I184)),IF(MAX($H184,$I184)-$G184&lt;=29,"OK","LATE: protected / info served after day 30"),IF(TODAY()-$G184&gt;29,"OVERDUE: not protected / info not served","Protect + serve info by "&amp;TEXT($G184+29,"dd/mm/yyyy"))))))</f>
        <v/>
      </c>
      <c r="K184" s="97">
        <f>IF(OR(NOT(ISNUMBER($E184)),NOT(ISNUMBER($F184))),"",IF($F184&lt;=$E184*12/52*5,"OK","Over 5 weeks"))</f>
        <v/>
      </c>
      <c r="L184" s="52"/>
      <c r="M184" s="52"/>
      <c r="N184" s="122">
        <f>IF(OR($A184="",NOT(ISNUMBER($L184))),IF($A184="","","Not recorded"),IF(NOT(ISNUMBER($M184)),"Checked (no follow-up)",IF($M184&lt;TODAY(),"OVERDUE: follow-up check",IF($M184-TODAY()&lt;=60,"Follow-up due "&amp;TEXT($M184,"dd/mm/yyyy"),"Checked"))))</f>
        <v/>
      </c>
      <c r="O184" s="52"/>
      <c r="P184" s="52"/>
      <c r="Q184" s="122">
        <f>IF($A184="","",IF(NOT(ISNUMBER($D184)),"Enter start date",IF($D184&gt;=DATE(2026,5,1),IF(ISNUMBER($O184),"Complete","Missing: written terms"),IF(OR(ISNUMBER($P184),ISNUMBER($O184)),"Complete","Missing: Information Sheet (was due 31/05/2026)"))))</f>
        <v/>
      </c>
      <c r="R184" s="52"/>
      <c r="S184" s="82">
        <f>IF(ISNUMBER($R184),$R184+364,IF(ISNUMBER($D184),$D184+364,""))</f>
        <v/>
      </c>
      <c r="T184" s="52"/>
      <c r="U184" s="82">
        <f>IF(ISNUMBER($T184),IF(ISNUMBER($S184),MAX(EDATE($T184,2),$S184),EDATE($T184,2)),"")</f>
        <v/>
      </c>
      <c r="V184" s="52"/>
      <c r="W184" s="52"/>
      <c r="X184" s="121">
        <f>IF(NOT(ISNUMBER($V184)),"",IF(ISNUMBER($W184),IF($W184-$V184&lt;=28,"Answered in time","LATE: answered after day 28"),IF(TODAY()-$V184&gt;28,"OVERDUE: no reply yet","Reply due by "&amp;TEXT($V184+28,"dd/mm/yyyy"))))</f>
        <v/>
      </c>
      <c r="Y184" s="54"/>
    </row>
    <row r="185" spans="1:25">
      <c r="A185" s="54"/>
      <c r="B185" s="54"/>
      <c r="C185" s="51"/>
      <c r="D185" s="52"/>
      <c r="E185" s="120"/>
      <c r="F185" s="120"/>
      <c r="G185" s="52"/>
      <c r="H185" s="52"/>
      <c r="I185" s="52"/>
      <c r="J185" s="121">
        <f>IF(OR($A185="",NOT(ISNUMBER($F185))),"",IF($F185&lt;=0,"No deposit",IF(NOT(ISNUMBER($G185)),"Enter date received",IF(AND(ISNUMBER($H185),ISNUMBER($I185)),IF(MAX($H185,$I185)-$G185&lt;=29,"OK","LATE: protected / info served after day 30"),IF(TODAY()-$G185&gt;29,"OVERDUE: not protected / info not served","Protect + serve info by "&amp;TEXT($G185+29,"dd/mm/yyyy"))))))</f>
        <v/>
      </c>
      <c r="K185" s="97">
        <f>IF(OR(NOT(ISNUMBER($E185)),NOT(ISNUMBER($F185))),"",IF($F185&lt;=$E185*12/52*5,"OK","Over 5 weeks"))</f>
        <v/>
      </c>
      <c r="L185" s="52"/>
      <c r="M185" s="52"/>
      <c r="N185" s="122">
        <f>IF(OR($A185="",NOT(ISNUMBER($L185))),IF($A185="","","Not recorded"),IF(NOT(ISNUMBER($M185)),"Checked (no follow-up)",IF($M185&lt;TODAY(),"OVERDUE: follow-up check",IF($M185-TODAY()&lt;=60,"Follow-up due "&amp;TEXT($M185,"dd/mm/yyyy"),"Checked"))))</f>
        <v/>
      </c>
      <c r="O185" s="52"/>
      <c r="P185" s="52"/>
      <c r="Q185" s="122">
        <f>IF($A185="","",IF(NOT(ISNUMBER($D185)),"Enter start date",IF($D185&gt;=DATE(2026,5,1),IF(ISNUMBER($O185),"Complete","Missing: written terms"),IF(OR(ISNUMBER($P185),ISNUMBER($O185)),"Complete","Missing: Information Sheet (was due 31/05/2026)"))))</f>
        <v/>
      </c>
      <c r="R185" s="52"/>
      <c r="S185" s="82">
        <f>IF(ISNUMBER($R185),$R185+364,IF(ISNUMBER($D185),$D185+364,""))</f>
        <v/>
      </c>
      <c r="T185" s="52"/>
      <c r="U185" s="82">
        <f>IF(ISNUMBER($T185),IF(ISNUMBER($S185),MAX(EDATE($T185,2),$S185),EDATE($T185,2)),"")</f>
        <v/>
      </c>
      <c r="V185" s="52"/>
      <c r="W185" s="52"/>
      <c r="X185" s="121">
        <f>IF(NOT(ISNUMBER($V185)),"",IF(ISNUMBER($W185),IF($W185-$V185&lt;=28,"Answered in time","LATE: answered after day 28"),IF(TODAY()-$V185&gt;28,"OVERDUE: no reply yet","Reply due by "&amp;TEXT($V185+28,"dd/mm/yyyy"))))</f>
        <v/>
      </c>
      <c r="Y185" s="54"/>
    </row>
    <row r="186" spans="1:25">
      <c r="A186" s="54"/>
      <c r="B186" s="54"/>
      <c r="C186" s="51"/>
      <c r="D186" s="52"/>
      <c r="E186" s="120"/>
      <c r="F186" s="120"/>
      <c r="G186" s="52"/>
      <c r="H186" s="52"/>
      <c r="I186" s="52"/>
      <c r="J186" s="121">
        <f>IF(OR($A186="",NOT(ISNUMBER($F186))),"",IF($F186&lt;=0,"No deposit",IF(NOT(ISNUMBER($G186)),"Enter date received",IF(AND(ISNUMBER($H186),ISNUMBER($I186)),IF(MAX($H186,$I186)-$G186&lt;=29,"OK","LATE: protected / info served after day 30"),IF(TODAY()-$G186&gt;29,"OVERDUE: not protected / info not served","Protect + serve info by "&amp;TEXT($G186+29,"dd/mm/yyyy"))))))</f>
        <v/>
      </c>
      <c r="K186" s="97">
        <f>IF(OR(NOT(ISNUMBER($E186)),NOT(ISNUMBER($F186))),"",IF($F186&lt;=$E186*12/52*5,"OK","Over 5 weeks"))</f>
        <v/>
      </c>
      <c r="L186" s="52"/>
      <c r="M186" s="52"/>
      <c r="N186" s="122">
        <f>IF(OR($A186="",NOT(ISNUMBER($L186))),IF($A186="","","Not recorded"),IF(NOT(ISNUMBER($M186)),"Checked (no follow-up)",IF($M186&lt;TODAY(),"OVERDUE: follow-up check",IF($M186-TODAY()&lt;=60,"Follow-up due "&amp;TEXT($M186,"dd/mm/yyyy"),"Checked"))))</f>
        <v/>
      </c>
      <c r="O186" s="52"/>
      <c r="P186" s="52"/>
      <c r="Q186" s="122">
        <f>IF($A186="","",IF(NOT(ISNUMBER($D186)),"Enter start date",IF($D186&gt;=DATE(2026,5,1),IF(ISNUMBER($O186),"Complete","Missing: written terms"),IF(OR(ISNUMBER($P186),ISNUMBER($O186)),"Complete","Missing: Information Sheet (was due 31/05/2026)"))))</f>
        <v/>
      </c>
      <c r="R186" s="52"/>
      <c r="S186" s="82">
        <f>IF(ISNUMBER($R186),$R186+364,IF(ISNUMBER($D186),$D186+364,""))</f>
        <v/>
      </c>
      <c r="T186" s="52"/>
      <c r="U186" s="82">
        <f>IF(ISNUMBER($T186),IF(ISNUMBER($S186),MAX(EDATE($T186,2),$S186),EDATE($T186,2)),"")</f>
        <v/>
      </c>
      <c r="V186" s="52"/>
      <c r="W186" s="52"/>
      <c r="X186" s="121">
        <f>IF(NOT(ISNUMBER($V186)),"",IF(ISNUMBER($W186),IF($W186-$V186&lt;=28,"Answered in time","LATE: answered after day 28"),IF(TODAY()-$V186&gt;28,"OVERDUE: no reply yet","Reply due by "&amp;TEXT($V186+28,"dd/mm/yyyy"))))</f>
        <v/>
      </c>
      <c r="Y186" s="54"/>
    </row>
    <row r="187" spans="1:25">
      <c r="A187" s="54"/>
      <c r="B187" s="54"/>
      <c r="C187" s="51"/>
      <c r="D187" s="52"/>
      <c r="E187" s="120"/>
      <c r="F187" s="120"/>
      <c r="G187" s="52"/>
      <c r="H187" s="52"/>
      <c r="I187" s="52"/>
      <c r="J187" s="121">
        <f>IF(OR($A187="",NOT(ISNUMBER($F187))),"",IF($F187&lt;=0,"No deposit",IF(NOT(ISNUMBER($G187)),"Enter date received",IF(AND(ISNUMBER($H187),ISNUMBER($I187)),IF(MAX($H187,$I187)-$G187&lt;=29,"OK","LATE: protected / info served after day 30"),IF(TODAY()-$G187&gt;29,"OVERDUE: not protected / info not served","Protect + serve info by "&amp;TEXT($G187+29,"dd/mm/yyyy"))))))</f>
        <v/>
      </c>
      <c r="K187" s="97">
        <f>IF(OR(NOT(ISNUMBER($E187)),NOT(ISNUMBER($F187))),"",IF($F187&lt;=$E187*12/52*5,"OK","Over 5 weeks"))</f>
        <v/>
      </c>
      <c r="L187" s="52"/>
      <c r="M187" s="52"/>
      <c r="N187" s="122">
        <f>IF(OR($A187="",NOT(ISNUMBER($L187))),IF($A187="","","Not recorded"),IF(NOT(ISNUMBER($M187)),"Checked (no follow-up)",IF($M187&lt;TODAY(),"OVERDUE: follow-up check",IF($M187-TODAY()&lt;=60,"Follow-up due "&amp;TEXT($M187,"dd/mm/yyyy"),"Checked"))))</f>
        <v/>
      </c>
      <c r="O187" s="52"/>
      <c r="P187" s="52"/>
      <c r="Q187" s="122">
        <f>IF($A187="","",IF(NOT(ISNUMBER($D187)),"Enter start date",IF($D187&gt;=DATE(2026,5,1),IF(ISNUMBER($O187),"Complete","Missing: written terms"),IF(OR(ISNUMBER($P187),ISNUMBER($O187)),"Complete","Missing: Information Sheet (was due 31/05/2026)"))))</f>
        <v/>
      </c>
      <c r="R187" s="52"/>
      <c r="S187" s="82">
        <f>IF(ISNUMBER($R187),$R187+364,IF(ISNUMBER($D187),$D187+364,""))</f>
        <v/>
      </c>
      <c r="T187" s="52"/>
      <c r="U187" s="82">
        <f>IF(ISNUMBER($T187),IF(ISNUMBER($S187),MAX(EDATE($T187,2),$S187),EDATE($T187,2)),"")</f>
        <v/>
      </c>
      <c r="V187" s="52"/>
      <c r="W187" s="52"/>
      <c r="X187" s="121">
        <f>IF(NOT(ISNUMBER($V187)),"",IF(ISNUMBER($W187),IF($W187-$V187&lt;=28,"Answered in time","LATE: answered after day 28"),IF(TODAY()-$V187&gt;28,"OVERDUE: no reply yet","Reply due by "&amp;TEXT($V187+28,"dd/mm/yyyy"))))</f>
        <v/>
      </c>
      <c r="Y187" s="54"/>
    </row>
    <row r="188" spans="1:25">
      <c r="A188" s="54"/>
      <c r="B188" s="54"/>
      <c r="C188" s="51"/>
      <c r="D188" s="52"/>
      <c r="E188" s="120"/>
      <c r="F188" s="120"/>
      <c r="G188" s="52"/>
      <c r="H188" s="52"/>
      <c r="I188" s="52"/>
      <c r="J188" s="121">
        <f>IF(OR($A188="",NOT(ISNUMBER($F188))),"",IF($F188&lt;=0,"No deposit",IF(NOT(ISNUMBER($G188)),"Enter date received",IF(AND(ISNUMBER($H188),ISNUMBER($I188)),IF(MAX($H188,$I188)-$G188&lt;=29,"OK","LATE: protected / info served after day 30"),IF(TODAY()-$G188&gt;29,"OVERDUE: not protected / info not served","Protect + serve info by "&amp;TEXT($G188+29,"dd/mm/yyyy"))))))</f>
        <v/>
      </c>
      <c r="K188" s="97">
        <f>IF(OR(NOT(ISNUMBER($E188)),NOT(ISNUMBER($F188))),"",IF($F188&lt;=$E188*12/52*5,"OK","Over 5 weeks"))</f>
        <v/>
      </c>
      <c r="L188" s="52"/>
      <c r="M188" s="52"/>
      <c r="N188" s="122">
        <f>IF(OR($A188="",NOT(ISNUMBER($L188))),IF($A188="","","Not recorded"),IF(NOT(ISNUMBER($M188)),"Checked (no follow-up)",IF($M188&lt;TODAY(),"OVERDUE: follow-up check",IF($M188-TODAY()&lt;=60,"Follow-up due "&amp;TEXT($M188,"dd/mm/yyyy"),"Checked"))))</f>
        <v/>
      </c>
      <c r="O188" s="52"/>
      <c r="P188" s="52"/>
      <c r="Q188" s="122">
        <f>IF($A188="","",IF(NOT(ISNUMBER($D188)),"Enter start date",IF($D188&gt;=DATE(2026,5,1),IF(ISNUMBER($O188),"Complete","Missing: written terms"),IF(OR(ISNUMBER($P188),ISNUMBER($O188)),"Complete","Missing: Information Sheet (was due 31/05/2026)"))))</f>
        <v/>
      </c>
      <c r="R188" s="52"/>
      <c r="S188" s="82">
        <f>IF(ISNUMBER($R188),$R188+364,IF(ISNUMBER($D188),$D188+364,""))</f>
        <v/>
      </c>
      <c r="T188" s="52"/>
      <c r="U188" s="82">
        <f>IF(ISNUMBER($T188),IF(ISNUMBER($S188),MAX(EDATE($T188,2),$S188),EDATE($T188,2)),"")</f>
        <v/>
      </c>
      <c r="V188" s="52"/>
      <c r="W188" s="52"/>
      <c r="X188" s="121">
        <f>IF(NOT(ISNUMBER($V188)),"",IF(ISNUMBER($W188),IF($W188-$V188&lt;=28,"Answered in time","LATE: answered after day 28"),IF(TODAY()-$V188&gt;28,"OVERDUE: no reply yet","Reply due by "&amp;TEXT($V188+28,"dd/mm/yyyy"))))</f>
        <v/>
      </c>
      <c r="Y188" s="54"/>
    </row>
    <row r="189" spans="1:25">
      <c r="A189" s="54"/>
      <c r="B189" s="54"/>
      <c r="C189" s="51"/>
      <c r="D189" s="52"/>
      <c r="E189" s="120"/>
      <c r="F189" s="120"/>
      <c r="G189" s="52"/>
      <c r="H189" s="52"/>
      <c r="I189" s="52"/>
      <c r="J189" s="121">
        <f>IF(OR($A189="",NOT(ISNUMBER($F189))),"",IF($F189&lt;=0,"No deposit",IF(NOT(ISNUMBER($G189)),"Enter date received",IF(AND(ISNUMBER($H189),ISNUMBER($I189)),IF(MAX($H189,$I189)-$G189&lt;=29,"OK","LATE: protected / info served after day 30"),IF(TODAY()-$G189&gt;29,"OVERDUE: not protected / info not served","Protect + serve info by "&amp;TEXT($G189+29,"dd/mm/yyyy"))))))</f>
        <v/>
      </c>
      <c r="K189" s="97">
        <f>IF(OR(NOT(ISNUMBER($E189)),NOT(ISNUMBER($F189))),"",IF($F189&lt;=$E189*12/52*5,"OK","Over 5 weeks"))</f>
        <v/>
      </c>
      <c r="L189" s="52"/>
      <c r="M189" s="52"/>
      <c r="N189" s="122">
        <f>IF(OR($A189="",NOT(ISNUMBER($L189))),IF($A189="","","Not recorded"),IF(NOT(ISNUMBER($M189)),"Checked (no follow-up)",IF($M189&lt;TODAY(),"OVERDUE: follow-up check",IF($M189-TODAY()&lt;=60,"Follow-up due "&amp;TEXT($M189,"dd/mm/yyyy"),"Checked"))))</f>
        <v/>
      </c>
      <c r="O189" s="52"/>
      <c r="P189" s="52"/>
      <c r="Q189" s="122">
        <f>IF($A189="","",IF(NOT(ISNUMBER($D189)),"Enter start date",IF($D189&gt;=DATE(2026,5,1),IF(ISNUMBER($O189),"Complete","Missing: written terms"),IF(OR(ISNUMBER($P189),ISNUMBER($O189)),"Complete","Missing: Information Sheet (was due 31/05/2026)"))))</f>
        <v/>
      </c>
      <c r="R189" s="52"/>
      <c r="S189" s="82">
        <f>IF(ISNUMBER($R189),$R189+364,IF(ISNUMBER($D189),$D189+364,""))</f>
        <v/>
      </c>
      <c r="T189" s="52"/>
      <c r="U189" s="82">
        <f>IF(ISNUMBER($T189),IF(ISNUMBER($S189),MAX(EDATE($T189,2),$S189),EDATE($T189,2)),"")</f>
        <v/>
      </c>
      <c r="V189" s="52"/>
      <c r="W189" s="52"/>
      <c r="X189" s="121">
        <f>IF(NOT(ISNUMBER($V189)),"",IF(ISNUMBER($W189),IF($W189-$V189&lt;=28,"Answered in time","LATE: answered after day 28"),IF(TODAY()-$V189&gt;28,"OVERDUE: no reply yet","Reply due by "&amp;TEXT($V189+28,"dd/mm/yyyy"))))</f>
        <v/>
      </c>
      <c r="Y189" s="54"/>
    </row>
    <row r="190" spans="1:25">
      <c r="A190" s="54"/>
      <c r="B190" s="54"/>
      <c r="C190" s="51"/>
      <c r="D190" s="52"/>
      <c r="E190" s="120"/>
      <c r="F190" s="120"/>
      <c r="G190" s="52"/>
      <c r="H190" s="52"/>
      <c r="I190" s="52"/>
      <c r="J190" s="121">
        <f>IF(OR($A190="",NOT(ISNUMBER($F190))),"",IF($F190&lt;=0,"No deposit",IF(NOT(ISNUMBER($G190)),"Enter date received",IF(AND(ISNUMBER($H190),ISNUMBER($I190)),IF(MAX($H190,$I190)-$G190&lt;=29,"OK","LATE: protected / info served after day 30"),IF(TODAY()-$G190&gt;29,"OVERDUE: not protected / info not served","Protect + serve info by "&amp;TEXT($G190+29,"dd/mm/yyyy"))))))</f>
        <v/>
      </c>
      <c r="K190" s="97">
        <f>IF(OR(NOT(ISNUMBER($E190)),NOT(ISNUMBER($F190))),"",IF($F190&lt;=$E190*12/52*5,"OK","Over 5 weeks"))</f>
        <v/>
      </c>
      <c r="L190" s="52"/>
      <c r="M190" s="52"/>
      <c r="N190" s="122">
        <f>IF(OR($A190="",NOT(ISNUMBER($L190))),IF($A190="","","Not recorded"),IF(NOT(ISNUMBER($M190)),"Checked (no follow-up)",IF($M190&lt;TODAY(),"OVERDUE: follow-up check",IF($M190-TODAY()&lt;=60,"Follow-up due "&amp;TEXT($M190,"dd/mm/yyyy"),"Checked"))))</f>
        <v/>
      </c>
      <c r="O190" s="52"/>
      <c r="P190" s="52"/>
      <c r="Q190" s="122">
        <f>IF($A190="","",IF(NOT(ISNUMBER($D190)),"Enter start date",IF($D190&gt;=DATE(2026,5,1),IF(ISNUMBER($O190),"Complete","Missing: written terms"),IF(OR(ISNUMBER($P190),ISNUMBER($O190)),"Complete","Missing: Information Sheet (was due 31/05/2026)"))))</f>
        <v/>
      </c>
      <c r="R190" s="52"/>
      <c r="S190" s="82">
        <f>IF(ISNUMBER($R190),$R190+364,IF(ISNUMBER($D190),$D190+364,""))</f>
        <v/>
      </c>
      <c r="T190" s="52"/>
      <c r="U190" s="82">
        <f>IF(ISNUMBER($T190),IF(ISNUMBER($S190),MAX(EDATE($T190,2),$S190),EDATE($T190,2)),"")</f>
        <v/>
      </c>
      <c r="V190" s="52"/>
      <c r="W190" s="52"/>
      <c r="X190" s="121">
        <f>IF(NOT(ISNUMBER($V190)),"",IF(ISNUMBER($W190),IF($W190-$V190&lt;=28,"Answered in time","LATE: answered after day 28"),IF(TODAY()-$V190&gt;28,"OVERDUE: no reply yet","Reply due by "&amp;TEXT($V190+28,"dd/mm/yyyy"))))</f>
        <v/>
      </c>
      <c r="Y190" s="54"/>
    </row>
    <row r="191" spans="1:25">
      <c r="A191" s="54"/>
      <c r="B191" s="54"/>
      <c r="C191" s="51"/>
      <c r="D191" s="52"/>
      <c r="E191" s="120"/>
      <c r="F191" s="120"/>
      <c r="G191" s="52"/>
      <c r="H191" s="52"/>
      <c r="I191" s="52"/>
      <c r="J191" s="121">
        <f>IF(OR($A191="",NOT(ISNUMBER($F191))),"",IF($F191&lt;=0,"No deposit",IF(NOT(ISNUMBER($G191)),"Enter date received",IF(AND(ISNUMBER($H191),ISNUMBER($I191)),IF(MAX($H191,$I191)-$G191&lt;=29,"OK","LATE: protected / info served after day 30"),IF(TODAY()-$G191&gt;29,"OVERDUE: not protected / info not served","Protect + serve info by "&amp;TEXT($G191+29,"dd/mm/yyyy"))))))</f>
        <v/>
      </c>
      <c r="K191" s="97">
        <f>IF(OR(NOT(ISNUMBER($E191)),NOT(ISNUMBER($F191))),"",IF($F191&lt;=$E191*12/52*5,"OK","Over 5 weeks"))</f>
        <v/>
      </c>
      <c r="L191" s="52"/>
      <c r="M191" s="52"/>
      <c r="N191" s="122">
        <f>IF(OR($A191="",NOT(ISNUMBER($L191))),IF($A191="","","Not recorded"),IF(NOT(ISNUMBER($M191)),"Checked (no follow-up)",IF($M191&lt;TODAY(),"OVERDUE: follow-up check",IF($M191-TODAY()&lt;=60,"Follow-up due "&amp;TEXT($M191,"dd/mm/yyyy"),"Checked"))))</f>
        <v/>
      </c>
      <c r="O191" s="52"/>
      <c r="P191" s="52"/>
      <c r="Q191" s="122">
        <f>IF($A191="","",IF(NOT(ISNUMBER($D191)),"Enter start date",IF($D191&gt;=DATE(2026,5,1),IF(ISNUMBER($O191),"Complete","Missing: written terms"),IF(OR(ISNUMBER($P191),ISNUMBER($O191)),"Complete","Missing: Information Sheet (was due 31/05/2026)"))))</f>
        <v/>
      </c>
      <c r="R191" s="52"/>
      <c r="S191" s="82">
        <f>IF(ISNUMBER($R191),$R191+364,IF(ISNUMBER($D191),$D191+364,""))</f>
        <v/>
      </c>
      <c r="T191" s="52"/>
      <c r="U191" s="82">
        <f>IF(ISNUMBER($T191),IF(ISNUMBER($S191),MAX(EDATE($T191,2),$S191),EDATE($T191,2)),"")</f>
        <v/>
      </c>
      <c r="V191" s="52"/>
      <c r="W191" s="52"/>
      <c r="X191" s="121">
        <f>IF(NOT(ISNUMBER($V191)),"",IF(ISNUMBER($W191),IF($W191-$V191&lt;=28,"Answered in time","LATE: answered after day 28"),IF(TODAY()-$V191&gt;28,"OVERDUE: no reply yet","Reply due by "&amp;TEXT($V191+28,"dd/mm/yyyy"))))</f>
        <v/>
      </c>
      <c r="Y191" s="54"/>
    </row>
    <row r="192" spans="1:25">
      <c r="A192" s="54"/>
      <c r="B192" s="54"/>
      <c r="C192" s="51"/>
      <c r="D192" s="52"/>
      <c r="E192" s="120"/>
      <c r="F192" s="120"/>
      <c r="G192" s="52"/>
      <c r="H192" s="52"/>
      <c r="I192" s="52"/>
      <c r="J192" s="121">
        <f>IF(OR($A192="",NOT(ISNUMBER($F192))),"",IF($F192&lt;=0,"No deposit",IF(NOT(ISNUMBER($G192)),"Enter date received",IF(AND(ISNUMBER($H192),ISNUMBER($I192)),IF(MAX($H192,$I192)-$G192&lt;=29,"OK","LATE: protected / info served after day 30"),IF(TODAY()-$G192&gt;29,"OVERDUE: not protected / info not served","Protect + serve info by "&amp;TEXT($G192+29,"dd/mm/yyyy"))))))</f>
        <v/>
      </c>
      <c r="K192" s="97">
        <f>IF(OR(NOT(ISNUMBER($E192)),NOT(ISNUMBER($F192))),"",IF($F192&lt;=$E192*12/52*5,"OK","Over 5 weeks"))</f>
        <v/>
      </c>
      <c r="L192" s="52"/>
      <c r="M192" s="52"/>
      <c r="N192" s="122">
        <f>IF(OR($A192="",NOT(ISNUMBER($L192))),IF($A192="","","Not recorded"),IF(NOT(ISNUMBER($M192)),"Checked (no follow-up)",IF($M192&lt;TODAY(),"OVERDUE: follow-up check",IF($M192-TODAY()&lt;=60,"Follow-up due "&amp;TEXT($M192,"dd/mm/yyyy"),"Checked"))))</f>
        <v/>
      </c>
      <c r="O192" s="52"/>
      <c r="P192" s="52"/>
      <c r="Q192" s="122">
        <f>IF($A192="","",IF(NOT(ISNUMBER($D192)),"Enter start date",IF($D192&gt;=DATE(2026,5,1),IF(ISNUMBER($O192),"Complete","Missing: written terms"),IF(OR(ISNUMBER($P192),ISNUMBER($O192)),"Complete","Missing: Information Sheet (was due 31/05/2026)"))))</f>
        <v/>
      </c>
      <c r="R192" s="52"/>
      <c r="S192" s="82">
        <f>IF(ISNUMBER($R192),$R192+364,IF(ISNUMBER($D192),$D192+364,""))</f>
        <v/>
      </c>
      <c r="T192" s="52"/>
      <c r="U192" s="82">
        <f>IF(ISNUMBER($T192),IF(ISNUMBER($S192),MAX(EDATE($T192,2),$S192),EDATE($T192,2)),"")</f>
        <v/>
      </c>
      <c r="V192" s="52"/>
      <c r="W192" s="52"/>
      <c r="X192" s="121">
        <f>IF(NOT(ISNUMBER($V192)),"",IF(ISNUMBER($W192),IF($W192-$V192&lt;=28,"Answered in time","LATE: answered after day 28"),IF(TODAY()-$V192&gt;28,"OVERDUE: no reply yet","Reply due by "&amp;TEXT($V192+28,"dd/mm/yyyy"))))</f>
        <v/>
      </c>
      <c r="Y192" s="54"/>
    </row>
    <row r="193" spans="1:25">
      <c r="A193" s="54"/>
      <c r="B193" s="54"/>
      <c r="C193" s="51"/>
      <c r="D193" s="52"/>
      <c r="E193" s="120"/>
      <c r="F193" s="120"/>
      <c r="G193" s="52"/>
      <c r="H193" s="52"/>
      <c r="I193" s="52"/>
      <c r="J193" s="121">
        <f>IF(OR($A193="",NOT(ISNUMBER($F193))),"",IF($F193&lt;=0,"No deposit",IF(NOT(ISNUMBER($G193)),"Enter date received",IF(AND(ISNUMBER($H193),ISNUMBER($I193)),IF(MAX($H193,$I193)-$G193&lt;=29,"OK","LATE: protected / info served after day 30"),IF(TODAY()-$G193&gt;29,"OVERDUE: not protected / info not served","Protect + serve info by "&amp;TEXT($G193+29,"dd/mm/yyyy"))))))</f>
        <v/>
      </c>
      <c r="K193" s="97">
        <f>IF(OR(NOT(ISNUMBER($E193)),NOT(ISNUMBER($F193))),"",IF($F193&lt;=$E193*12/52*5,"OK","Over 5 weeks"))</f>
        <v/>
      </c>
      <c r="L193" s="52"/>
      <c r="M193" s="52"/>
      <c r="N193" s="122">
        <f>IF(OR($A193="",NOT(ISNUMBER($L193))),IF($A193="","","Not recorded"),IF(NOT(ISNUMBER($M193)),"Checked (no follow-up)",IF($M193&lt;TODAY(),"OVERDUE: follow-up check",IF($M193-TODAY()&lt;=60,"Follow-up due "&amp;TEXT($M193,"dd/mm/yyyy"),"Checked"))))</f>
        <v/>
      </c>
      <c r="O193" s="52"/>
      <c r="P193" s="52"/>
      <c r="Q193" s="122">
        <f>IF($A193="","",IF(NOT(ISNUMBER($D193)),"Enter start date",IF($D193&gt;=DATE(2026,5,1),IF(ISNUMBER($O193),"Complete","Missing: written terms"),IF(OR(ISNUMBER($P193),ISNUMBER($O193)),"Complete","Missing: Information Sheet (was due 31/05/2026)"))))</f>
        <v/>
      </c>
      <c r="R193" s="52"/>
      <c r="S193" s="82">
        <f>IF(ISNUMBER($R193),$R193+364,IF(ISNUMBER($D193),$D193+364,""))</f>
        <v/>
      </c>
      <c r="T193" s="52"/>
      <c r="U193" s="82">
        <f>IF(ISNUMBER($T193),IF(ISNUMBER($S193),MAX(EDATE($T193,2),$S193),EDATE($T193,2)),"")</f>
        <v/>
      </c>
      <c r="V193" s="52"/>
      <c r="W193" s="52"/>
      <c r="X193" s="121">
        <f>IF(NOT(ISNUMBER($V193)),"",IF(ISNUMBER($W193),IF($W193-$V193&lt;=28,"Answered in time","LATE: answered after day 28"),IF(TODAY()-$V193&gt;28,"OVERDUE: no reply yet","Reply due by "&amp;TEXT($V193+28,"dd/mm/yyyy"))))</f>
        <v/>
      </c>
      <c r="Y193" s="54"/>
    </row>
    <row r="194" spans="1:25">
      <c r="A194" s="54"/>
      <c r="B194" s="54"/>
      <c r="C194" s="51"/>
      <c r="D194" s="52"/>
      <c r="E194" s="120"/>
      <c r="F194" s="120"/>
      <c r="G194" s="52"/>
      <c r="H194" s="52"/>
      <c r="I194" s="52"/>
      <c r="J194" s="121">
        <f>IF(OR($A194="",NOT(ISNUMBER($F194))),"",IF($F194&lt;=0,"No deposit",IF(NOT(ISNUMBER($G194)),"Enter date received",IF(AND(ISNUMBER($H194),ISNUMBER($I194)),IF(MAX($H194,$I194)-$G194&lt;=29,"OK","LATE: protected / info served after day 30"),IF(TODAY()-$G194&gt;29,"OVERDUE: not protected / info not served","Protect + serve info by "&amp;TEXT($G194+29,"dd/mm/yyyy"))))))</f>
        <v/>
      </c>
      <c r="K194" s="97">
        <f>IF(OR(NOT(ISNUMBER($E194)),NOT(ISNUMBER($F194))),"",IF($F194&lt;=$E194*12/52*5,"OK","Over 5 weeks"))</f>
        <v/>
      </c>
      <c r="L194" s="52"/>
      <c r="M194" s="52"/>
      <c r="N194" s="122">
        <f>IF(OR($A194="",NOT(ISNUMBER($L194))),IF($A194="","","Not recorded"),IF(NOT(ISNUMBER($M194)),"Checked (no follow-up)",IF($M194&lt;TODAY(),"OVERDUE: follow-up check",IF($M194-TODAY()&lt;=60,"Follow-up due "&amp;TEXT($M194,"dd/mm/yyyy"),"Checked"))))</f>
        <v/>
      </c>
      <c r="O194" s="52"/>
      <c r="P194" s="52"/>
      <c r="Q194" s="122">
        <f>IF($A194="","",IF(NOT(ISNUMBER($D194)),"Enter start date",IF($D194&gt;=DATE(2026,5,1),IF(ISNUMBER($O194),"Complete","Missing: written terms"),IF(OR(ISNUMBER($P194),ISNUMBER($O194)),"Complete","Missing: Information Sheet (was due 31/05/2026)"))))</f>
        <v/>
      </c>
      <c r="R194" s="52"/>
      <c r="S194" s="82">
        <f>IF(ISNUMBER($R194),$R194+364,IF(ISNUMBER($D194),$D194+364,""))</f>
        <v/>
      </c>
      <c r="T194" s="52"/>
      <c r="U194" s="82">
        <f>IF(ISNUMBER($T194),IF(ISNUMBER($S194),MAX(EDATE($T194,2),$S194),EDATE($T194,2)),"")</f>
        <v/>
      </c>
      <c r="V194" s="52"/>
      <c r="W194" s="52"/>
      <c r="X194" s="121">
        <f>IF(NOT(ISNUMBER($V194)),"",IF(ISNUMBER($W194),IF($W194-$V194&lt;=28,"Answered in time","LATE: answered after day 28"),IF(TODAY()-$V194&gt;28,"OVERDUE: no reply yet","Reply due by "&amp;TEXT($V194+28,"dd/mm/yyyy"))))</f>
        <v/>
      </c>
      <c r="Y194" s="54"/>
    </row>
    <row r="195" spans="1:25">
      <c r="A195" s="54"/>
      <c r="B195" s="54"/>
      <c r="C195" s="51"/>
      <c r="D195" s="52"/>
      <c r="E195" s="120"/>
      <c r="F195" s="120"/>
      <c r="G195" s="52"/>
      <c r="H195" s="52"/>
      <c r="I195" s="52"/>
      <c r="J195" s="121">
        <f>IF(OR($A195="",NOT(ISNUMBER($F195))),"",IF($F195&lt;=0,"No deposit",IF(NOT(ISNUMBER($G195)),"Enter date received",IF(AND(ISNUMBER($H195),ISNUMBER($I195)),IF(MAX($H195,$I195)-$G195&lt;=29,"OK","LATE: protected / info served after day 30"),IF(TODAY()-$G195&gt;29,"OVERDUE: not protected / info not served","Protect + serve info by "&amp;TEXT($G195+29,"dd/mm/yyyy"))))))</f>
        <v/>
      </c>
      <c r="K195" s="97">
        <f>IF(OR(NOT(ISNUMBER($E195)),NOT(ISNUMBER($F195))),"",IF($F195&lt;=$E195*12/52*5,"OK","Over 5 weeks"))</f>
        <v/>
      </c>
      <c r="L195" s="52"/>
      <c r="M195" s="52"/>
      <c r="N195" s="122">
        <f>IF(OR($A195="",NOT(ISNUMBER($L195))),IF($A195="","","Not recorded"),IF(NOT(ISNUMBER($M195)),"Checked (no follow-up)",IF($M195&lt;TODAY(),"OVERDUE: follow-up check",IF($M195-TODAY()&lt;=60,"Follow-up due "&amp;TEXT($M195,"dd/mm/yyyy"),"Checked"))))</f>
        <v/>
      </c>
      <c r="O195" s="52"/>
      <c r="P195" s="52"/>
      <c r="Q195" s="122">
        <f>IF($A195="","",IF(NOT(ISNUMBER($D195)),"Enter start date",IF($D195&gt;=DATE(2026,5,1),IF(ISNUMBER($O195),"Complete","Missing: written terms"),IF(OR(ISNUMBER($P195),ISNUMBER($O195)),"Complete","Missing: Information Sheet (was due 31/05/2026)"))))</f>
        <v/>
      </c>
      <c r="R195" s="52"/>
      <c r="S195" s="82">
        <f>IF(ISNUMBER($R195),$R195+364,IF(ISNUMBER($D195),$D195+364,""))</f>
        <v/>
      </c>
      <c r="T195" s="52"/>
      <c r="U195" s="82">
        <f>IF(ISNUMBER($T195),IF(ISNUMBER($S195),MAX(EDATE($T195,2),$S195),EDATE($T195,2)),"")</f>
        <v/>
      </c>
      <c r="V195" s="52"/>
      <c r="W195" s="52"/>
      <c r="X195" s="121">
        <f>IF(NOT(ISNUMBER($V195)),"",IF(ISNUMBER($W195),IF($W195-$V195&lt;=28,"Answered in time","LATE: answered after day 28"),IF(TODAY()-$V195&gt;28,"OVERDUE: no reply yet","Reply due by "&amp;TEXT($V195+28,"dd/mm/yyyy"))))</f>
        <v/>
      </c>
      <c r="Y195" s="54"/>
    </row>
    <row r="196" spans="1:25">
      <c r="A196" s="54"/>
      <c r="B196" s="54"/>
      <c r="C196" s="51"/>
      <c r="D196" s="52"/>
      <c r="E196" s="120"/>
      <c r="F196" s="120"/>
      <c r="G196" s="52"/>
      <c r="H196" s="52"/>
      <c r="I196" s="52"/>
      <c r="J196" s="121">
        <f>IF(OR($A196="",NOT(ISNUMBER($F196))),"",IF($F196&lt;=0,"No deposit",IF(NOT(ISNUMBER($G196)),"Enter date received",IF(AND(ISNUMBER($H196),ISNUMBER($I196)),IF(MAX($H196,$I196)-$G196&lt;=29,"OK","LATE: protected / info served after day 30"),IF(TODAY()-$G196&gt;29,"OVERDUE: not protected / info not served","Protect + serve info by "&amp;TEXT($G196+29,"dd/mm/yyyy"))))))</f>
        <v/>
      </c>
      <c r="K196" s="97">
        <f>IF(OR(NOT(ISNUMBER($E196)),NOT(ISNUMBER($F196))),"",IF($F196&lt;=$E196*12/52*5,"OK","Over 5 weeks"))</f>
        <v/>
      </c>
      <c r="L196" s="52"/>
      <c r="M196" s="52"/>
      <c r="N196" s="122">
        <f>IF(OR($A196="",NOT(ISNUMBER($L196))),IF($A196="","","Not recorded"),IF(NOT(ISNUMBER($M196)),"Checked (no follow-up)",IF($M196&lt;TODAY(),"OVERDUE: follow-up check",IF($M196-TODAY()&lt;=60,"Follow-up due "&amp;TEXT($M196,"dd/mm/yyyy"),"Checked"))))</f>
        <v/>
      </c>
      <c r="O196" s="52"/>
      <c r="P196" s="52"/>
      <c r="Q196" s="122">
        <f>IF($A196="","",IF(NOT(ISNUMBER($D196)),"Enter start date",IF($D196&gt;=DATE(2026,5,1),IF(ISNUMBER($O196),"Complete","Missing: written terms"),IF(OR(ISNUMBER($P196),ISNUMBER($O196)),"Complete","Missing: Information Sheet (was due 31/05/2026)"))))</f>
        <v/>
      </c>
      <c r="R196" s="52"/>
      <c r="S196" s="82">
        <f>IF(ISNUMBER($R196),$R196+364,IF(ISNUMBER($D196),$D196+364,""))</f>
        <v/>
      </c>
      <c r="T196" s="52"/>
      <c r="U196" s="82">
        <f>IF(ISNUMBER($T196),IF(ISNUMBER($S196),MAX(EDATE($T196,2),$S196),EDATE($T196,2)),"")</f>
        <v/>
      </c>
      <c r="V196" s="52"/>
      <c r="W196" s="52"/>
      <c r="X196" s="121">
        <f>IF(NOT(ISNUMBER($V196)),"",IF(ISNUMBER($W196),IF($W196-$V196&lt;=28,"Answered in time","LATE: answered after day 28"),IF(TODAY()-$V196&gt;28,"OVERDUE: no reply yet","Reply due by "&amp;TEXT($V196+28,"dd/mm/yyyy"))))</f>
        <v/>
      </c>
      <c r="Y196" s="54"/>
    </row>
    <row r="197" spans="1:25">
      <c r="A197" s="54"/>
      <c r="B197" s="54"/>
      <c r="C197" s="51"/>
      <c r="D197" s="52"/>
      <c r="E197" s="120"/>
      <c r="F197" s="120"/>
      <c r="G197" s="52"/>
      <c r="H197" s="52"/>
      <c r="I197" s="52"/>
      <c r="J197" s="121">
        <f>IF(OR($A197="",NOT(ISNUMBER($F197))),"",IF($F197&lt;=0,"No deposit",IF(NOT(ISNUMBER($G197)),"Enter date received",IF(AND(ISNUMBER($H197),ISNUMBER($I197)),IF(MAX($H197,$I197)-$G197&lt;=29,"OK","LATE: protected / info served after day 30"),IF(TODAY()-$G197&gt;29,"OVERDUE: not protected / info not served","Protect + serve info by "&amp;TEXT($G197+29,"dd/mm/yyyy"))))))</f>
        <v/>
      </c>
      <c r="K197" s="97">
        <f>IF(OR(NOT(ISNUMBER($E197)),NOT(ISNUMBER($F197))),"",IF($F197&lt;=$E197*12/52*5,"OK","Over 5 weeks"))</f>
        <v/>
      </c>
      <c r="L197" s="52"/>
      <c r="M197" s="52"/>
      <c r="N197" s="122">
        <f>IF(OR($A197="",NOT(ISNUMBER($L197))),IF($A197="","","Not recorded"),IF(NOT(ISNUMBER($M197)),"Checked (no follow-up)",IF($M197&lt;TODAY(),"OVERDUE: follow-up check",IF($M197-TODAY()&lt;=60,"Follow-up due "&amp;TEXT($M197,"dd/mm/yyyy"),"Checked"))))</f>
        <v/>
      </c>
      <c r="O197" s="52"/>
      <c r="P197" s="52"/>
      <c r="Q197" s="122">
        <f>IF($A197="","",IF(NOT(ISNUMBER($D197)),"Enter start date",IF($D197&gt;=DATE(2026,5,1),IF(ISNUMBER($O197),"Complete","Missing: written terms"),IF(OR(ISNUMBER($P197),ISNUMBER($O197)),"Complete","Missing: Information Sheet (was due 31/05/2026)"))))</f>
        <v/>
      </c>
      <c r="R197" s="52"/>
      <c r="S197" s="82">
        <f>IF(ISNUMBER($R197),$R197+364,IF(ISNUMBER($D197),$D197+364,""))</f>
        <v/>
      </c>
      <c r="T197" s="52"/>
      <c r="U197" s="82">
        <f>IF(ISNUMBER($T197),IF(ISNUMBER($S197),MAX(EDATE($T197,2),$S197),EDATE($T197,2)),"")</f>
        <v/>
      </c>
      <c r="V197" s="52"/>
      <c r="W197" s="52"/>
      <c r="X197" s="121">
        <f>IF(NOT(ISNUMBER($V197)),"",IF(ISNUMBER($W197),IF($W197-$V197&lt;=28,"Answered in time","LATE: answered after day 28"),IF(TODAY()-$V197&gt;28,"OVERDUE: no reply yet","Reply due by "&amp;TEXT($V197+28,"dd/mm/yyyy"))))</f>
        <v/>
      </c>
      <c r="Y197" s="54"/>
    </row>
    <row r="198" spans="1:25">
      <c r="A198" s="54"/>
      <c r="B198" s="54"/>
      <c r="C198" s="51"/>
      <c r="D198" s="52"/>
      <c r="E198" s="120"/>
      <c r="F198" s="120"/>
      <c r="G198" s="52"/>
      <c r="H198" s="52"/>
      <c r="I198" s="52"/>
      <c r="J198" s="121">
        <f>IF(OR($A198="",NOT(ISNUMBER($F198))),"",IF($F198&lt;=0,"No deposit",IF(NOT(ISNUMBER($G198)),"Enter date received",IF(AND(ISNUMBER($H198),ISNUMBER($I198)),IF(MAX($H198,$I198)-$G198&lt;=29,"OK","LATE: protected / info served after day 30"),IF(TODAY()-$G198&gt;29,"OVERDUE: not protected / info not served","Protect + serve info by "&amp;TEXT($G198+29,"dd/mm/yyyy"))))))</f>
        <v/>
      </c>
      <c r="K198" s="97">
        <f>IF(OR(NOT(ISNUMBER($E198)),NOT(ISNUMBER($F198))),"",IF($F198&lt;=$E198*12/52*5,"OK","Over 5 weeks"))</f>
        <v/>
      </c>
      <c r="L198" s="52"/>
      <c r="M198" s="52"/>
      <c r="N198" s="122">
        <f>IF(OR($A198="",NOT(ISNUMBER($L198))),IF($A198="","","Not recorded"),IF(NOT(ISNUMBER($M198)),"Checked (no follow-up)",IF($M198&lt;TODAY(),"OVERDUE: follow-up check",IF($M198-TODAY()&lt;=60,"Follow-up due "&amp;TEXT($M198,"dd/mm/yyyy"),"Checked"))))</f>
        <v/>
      </c>
      <c r="O198" s="52"/>
      <c r="P198" s="52"/>
      <c r="Q198" s="122">
        <f>IF($A198="","",IF(NOT(ISNUMBER($D198)),"Enter start date",IF($D198&gt;=DATE(2026,5,1),IF(ISNUMBER($O198),"Complete","Missing: written terms"),IF(OR(ISNUMBER($P198),ISNUMBER($O198)),"Complete","Missing: Information Sheet (was due 31/05/2026)"))))</f>
        <v/>
      </c>
      <c r="R198" s="52"/>
      <c r="S198" s="82">
        <f>IF(ISNUMBER($R198),$R198+364,IF(ISNUMBER($D198),$D198+364,""))</f>
        <v/>
      </c>
      <c r="T198" s="52"/>
      <c r="U198" s="82">
        <f>IF(ISNUMBER($T198),IF(ISNUMBER($S198),MAX(EDATE($T198,2),$S198),EDATE($T198,2)),"")</f>
        <v/>
      </c>
      <c r="V198" s="52"/>
      <c r="W198" s="52"/>
      <c r="X198" s="121">
        <f>IF(NOT(ISNUMBER($V198)),"",IF(ISNUMBER($W198),IF($W198-$V198&lt;=28,"Answered in time","LATE: answered after day 28"),IF(TODAY()-$V198&gt;28,"OVERDUE: no reply yet","Reply due by "&amp;TEXT($V198+28,"dd/mm/yyyy"))))</f>
        <v/>
      </c>
      <c r="Y198" s="54"/>
    </row>
    <row r="199" spans="1:25">
      <c r="A199" s="54"/>
      <c r="B199" s="54"/>
      <c r="C199" s="51"/>
      <c r="D199" s="52"/>
      <c r="E199" s="120"/>
      <c r="F199" s="120"/>
      <c r="G199" s="52"/>
      <c r="H199" s="52"/>
      <c r="I199" s="52"/>
      <c r="J199" s="121">
        <f>IF(OR($A199="",NOT(ISNUMBER($F199))),"",IF($F199&lt;=0,"No deposit",IF(NOT(ISNUMBER($G199)),"Enter date received",IF(AND(ISNUMBER($H199),ISNUMBER($I199)),IF(MAX($H199,$I199)-$G199&lt;=29,"OK","LATE: protected / info served after day 30"),IF(TODAY()-$G199&gt;29,"OVERDUE: not protected / info not served","Protect + serve info by "&amp;TEXT($G199+29,"dd/mm/yyyy"))))))</f>
        <v/>
      </c>
      <c r="K199" s="97">
        <f>IF(OR(NOT(ISNUMBER($E199)),NOT(ISNUMBER($F199))),"",IF($F199&lt;=$E199*12/52*5,"OK","Over 5 weeks"))</f>
        <v/>
      </c>
      <c r="L199" s="52"/>
      <c r="M199" s="52"/>
      <c r="N199" s="122">
        <f>IF(OR($A199="",NOT(ISNUMBER($L199))),IF($A199="","","Not recorded"),IF(NOT(ISNUMBER($M199)),"Checked (no follow-up)",IF($M199&lt;TODAY(),"OVERDUE: follow-up check",IF($M199-TODAY()&lt;=60,"Follow-up due "&amp;TEXT($M199,"dd/mm/yyyy"),"Checked"))))</f>
        <v/>
      </c>
      <c r="O199" s="52"/>
      <c r="P199" s="52"/>
      <c r="Q199" s="122">
        <f>IF($A199="","",IF(NOT(ISNUMBER($D199)),"Enter start date",IF($D199&gt;=DATE(2026,5,1),IF(ISNUMBER($O199),"Complete","Missing: written terms"),IF(OR(ISNUMBER($P199),ISNUMBER($O199)),"Complete","Missing: Information Sheet (was due 31/05/2026)"))))</f>
        <v/>
      </c>
      <c r="R199" s="52"/>
      <c r="S199" s="82">
        <f>IF(ISNUMBER($R199),$R199+364,IF(ISNUMBER($D199),$D199+364,""))</f>
        <v/>
      </c>
      <c r="T199" s="52"/>
      <c r="U199" s="82">
        <f>IF(ISNUMBER($T199),IF(ISNUMBER($S199),MAX(EDATE($T199,2),$S199),EDATE($T199,2)),"")</f>
        <v/>
      </c>
      <c r="V199" s="52"/>
      <c r="W199" s="52"/>
      <c r="X199" s="121">
        <f>IF(NOT(ISNUMBER($V199)),"",IF(ISNUMBER($W199),IF($W199-$V199&lt;=28,"Answered in time","LATE: answered after day 28"),IF(TODAY()-$V199&gt;28,"OVERDUE: no reply yet","Reply due by "&amp;TEXT($V199+28,"dd/mm/yyyy"))))</f>
        <v/>
      </c>
      <c r="Y199" s="54"/>
    </row>
    <row r="200" spans="1:25">
      <c r="A200" s="54"/>
      <c r="B200" s="54"/>
      <c r="C200" s="51"/>
      <c r="D200" s="52"/>
      <c r="E200" s="120"/>
      <c r="F200" s="120"/>
      <c r="G200" s="52"/>
      <c r="H200" s="52"/>
      <c r="I200" s="52"/>
      <c r="J200" s="121">
        <f>IF(OR($A200="",NOT(ISNUMBER($F200))),"",IF($F200&lt;=0,"No deposit",IF(NOT(ISNUMBER($G200)),"Enter date received",IF(AND(ISNUMBER($H200),ISNUMBER($I200)),IF(MAX($H200,$I200)-$G200&lt;=29,"OK","LATE: protected / info served after day 30"),IF(TODAY()-$G200&gt;29,"OVERDUE: not protected / info not served","Protect + serve info by "&amp;TEXT($G200+29,"dd/mm/yyyy"))))))</f>
        <v/>
      </c>
      <c r="K200" s="97">
        <f>IF(OR(NOT(ISNUMBER($E200)),NOT(ISNUMBER($F200))),"",IF($F200&lt;=$E200*12/52*5,"OK","Over 5 weeks"))</f>
        <v/>
      </c>
      <c r="L200" s="52"/>
      <c r="M200" s="52"/>
      <c r="N200" s="122">
        <f>IF(OR($A200="",NOT(ISNUMBER($L200))),IF($A200="","","Not recorded"),IF(NOT(ISNUMBER($M200)),"Checked (no follow-up)",IF($M200&lt;TODAY(),"OVERDUE: follow-up check",IF($M200-TODAY()&lt;=60,"Follow-up due "&amp;TEXT($M200,"dd/mm/yyyy"),"Checked"))))</f>
        <v/>
      </c>
      <c r="O200" s="52"/>
      <c r="P200" s="52"/>
      <c r="Q200" s="122">
        <f>IF($A200="","",IF(NOT(ISNUMBER($D200)),"Enter start date",IF($D200&gt;=DATE(2026,5,1),IF(ISNUMBER($O200),"Complete","Missing: written terms"),IF(OR(ISNUMBER($P200),ISNUMBER($O200)),"Complete","Missing: Information Sheet (was due 31/05/2026)"))))</f>
        <v/>
      </c>
      <c r="R200" s="52"/>
      <c r="S200" s="82">
        <f>IF(ISNUMBER($R200),$R200+364,IF(ISNUMBER($D200),$D200+364,""))</f>
        <v/>
      </c>
      <c r="T200" s="52"/>
      <c r="U200" s="82">
        <f>IF(ISNUMBER($T200),IF(ISNUMBER($S200),MAX(EDATE($T200,2),$S200),EDATE($T200,2)),"")</f>
        <v/>
      </c>
      <c r="V200" s="52"/>
      <c r="W200" s="52"/>
      <c r="X200" s="121">
        <f>IF(NOT(ISNUMBER($V200)),"",IF(ISNUMBER($W200),IF($W200-$V200&lt;=28,"Answered in time","LATE: answered after day 28"),IF(TODAY()-$V200&gt;28,"OVERDUE: no reply yet","Reply due by "&amp;TEXT($V200+28,"dd/mm/yyyy"))))</f>
        <v/>
      </c>
      <c r="Y200" s="54"/>
    </row>
    <row r="201" spans="1:25">
      <c r="A201" s="54"/>
      <c r="B201" s="54"/>
      <c r="C201" s="51"/>
      <c r="D201" s="52"/>
      <c r="E201" s="120"/>
      <c r="F201" s="120"/>
      <c r="G201" s="52"/>
      <c r="H201" s="52"/>
      <c r="I201" s="52"/>
      <c r="J201" s="121">
        <f>IF(OR($A201="",NOT(ISNUMBER($F201))),"",IF($F201&lt;=0,"No deposit",IF(NOT(ISNUMBER($G201)),"Enter date received",IF(AND(ISNUMBER($H201),ISNUMBER($I201)),IF(MAX($H201,$I201)-$G201&lt;=29,"OK","LATE: protected / info served after day 30"),IF(TODAY()-$G201&gt;29,"OVERDUE: not protected / info not served","Protect + serve info by "&amp;TEXT($G201+29,"dd/mm/yyyy"))))))</f>
        <v/>
      </c>
      <c r="K201" s="97">
        <f>IF(OR(NOT(ISNUMBER($E201)),NOT(ISNUMBER($F201))),"",IF($F201&lt;=$E201*12/52*5,"OK","Over 5 weeks"))</f>
        <v/>
      </c>
      <c r="L201" s="52"/>
      <c r="M201" s="52"/>
      <c r="N201" s="122">
        <f>IF(OR($A201="",NOT(ISNUMBER($L201))),IF($A201="","","Not recorded"),IF(NOT(ISNUMBER($M201)),"Checked (no follow-up)",IF($M201&lt;TODAY(),"OVERDUE: follow-up check",IF($M201-TODAY()&lt;=60,"Follow-up due "&amp;TEXT($M201,"dd/mm/yyyy"),"Checked"))))</f>
        <v/>
      </c>
      <c r="O201" s="52"/>
      <c r="P201" s="52"/>
      <c r="Q201" s="122">
        <f>IF($A201="","",IF(NOT(ISNUMBER($D201)),"Enter start date",IF($D201&gt;=DATE(2026,5,1),IF(ISNUMBER($O201),"Complete","Missing: written terms"),IF(OR(ISNUMBER($P201),ISNUMBER($O201)),"Complete","Missing: Information Sheet (was due 31/05/2026)"))))</f>
        <v/>
      </c>
      <c r="R201" s="52"/>
      <c r="S201" s="82">
        <f>IF(ISNUMBER($R201),$R201+364,IF(ISNUMBER($D201),$D201+364,""))</f>
        <v/>
      </c>
      <c r="T201" s="52"/>
      <c r="U201" s="82">
        <f>IF(ISNUMBER($T201),IF(ISNUMBER($S201),MAX(EDATE($T201,2),$S201),EDATE($T201,2)),"")</f>
        <v/>
      </c>
      <c r="V201" s="52"/>
      <c r="W201" s="52"/>
      <c r="X201" s="121">
        <f>IF(NOT(ISNUMBER($V201)),"",IF(ISNUMBER($W201),IF($W201-$V201&lt;=28,"Answered in time","LATE: answered after day 28"),IF(TODAY()-$V201&gt;28,"OVERDUE: no reply yet","Reply due by "&amp;TEXT($V201+28,"dd/mm/yyyy"))))</f>
        <v/>
      </c>
      <c r="Y201" s="54"/>
    </row>
    <row r="202" spans="1:25">
      <c r="A202" s="54"/>
      <c r="B202" s="54"/>
      <c r="C202" s="51"/>
      <c r="D202" s="52"/>
      <c r="E202" s="120"/>
      <c r="F202" s="120"/>
      <c r="G202" s="52"/>
      <c r="H202" s="52"/>
      <c r="I202" s="52"/>
      <c r="J202" s="121">
        <f>IF(OR($A202="",NOT(ISNUMBER($F202))),"",IF($F202&lt;=0,"No deposit",IF(NOT(ISNUMBER($G202)),"Enter date received",IF(AND(ISNUMBER($H202),ISNUMBER($I202)),IF(MAX($H202,$I202)-$G202&lt;=29,"OK","LATE: protected / info served after day 30"),IF(TODAY()-$G202&gt;29,"OVERDUE: not protected / info not served","Protect + serve info by "&amp;TEXT($G202+29,"dd/mm/yyyy"))))))</f>
        <v/>
      </c>
      <c r="K202" s="97">
        <f>IF(OR(NOT(ISNUMBER($E202)),NOT(ISNUMBER($F202))),"",IF($F202&lt;=$E202*12/52*5,"OK","Over 5 weeks"))</f>
        <v/>
      </c>
      <c r="L202" s="52"/>
      <c r="M202" s="52"/>
      <c r="N202" s="122">
        <f>IF(OR($A202="",NOT(ISNUMBER($L202))),IF($A202="","","Not recorded"),IF(NOT(ISNUMBER($M202)),"Checked (no follow-up)",IF($M202&lt;TODAY(),"OVERDUE: follow-up check",IF($M202-TODAY()&lt;=60,"Follow-up due "&amp;TEXT($M202,"dd/mm/yyyy"),"Checked"))))</f>
        <v/>
      </c>
      <c r="O202" s="52"/>
      <c r="P202" s="52"/>
      <c r="Q202" s="122">
        <f>IF($A202="","",IF(NOT(ISNUMBER($D202)),"Enter start date",IF($D202&gt;=DATE(2026,5,1),IF(ISNUMBER($O202),"Complete","Missing: written terms"),IF(OR(ISNUMBER($P202),ISNUMBER($O202)),"Complete","Missing: Information Sheet (was due 31/05/2026)"))))</f>
        <v/>
      </c>
      <c r="R202" s="52"/>
      <c r="S202" s="82">
        <f>IF(ISNUMBER($R202),$R202+364,IF(ISNUMBER($D202),$D202+364,""))</f>
        <v/>
      </c>
      <c r="T202" s="52"/>
      <c r="U202" s="82">
        <f>IF(ISNUMBER($T202),IF(ISNUMBER($S202),MAX(EDATE($T202,2),$S202),EDATE($T202,2)),"")</f>
        <v/>
      </c>
      <c r="V202" s="52"/>
      <c r="W202" s="52"/>
      <c r="X202" s="121">
        <f>IF(NOT(ISNUMBER($V202)),"",IF(ISNUMBER($W202),IF($W202-$V202&lt;=28,"Answered in time","LATE: answered after day 28"),IF(TODAY()-$V202&gt;28,"OVERDUE: no reply yet","Reply due by "&amp;TEXT($V202+28,"dd/mm/yyyy"))))</f>
        <v/>
      </c>
      <c r="Y202" s="54"/>
    </row>
    <row r="203" spans="1:25">
      <c r="A203" s="54"/>
      <c r="B203" s="54"/>
      <c r="C203" s="51"/>
      <c r="D203" s="52"/>
      <c r="E203" s="120"/>
      <c r="F203" s="120"/>
      <c r="G203" s="52"/>
      <c r="H203" s="52"/>
      <c r="I203" s="52"/>
      <c r="J203" s="121">
        <f>IF(OR($A203="",NOT(ISNUMBER($F203))),"",IF($F203&lt;=0,"No deposit",IF(NOT(ISNUMBER($G203)),"Enter date received",IF(AND(ISNUMBER($H203),ISNUMBER($I203)),IF(MAX($H203,$I203)-$G203&lt;=29,"OK","LATE: protected / info served after day 30"),IF(TODAY()-$G203&gt;29,"OVERDUE: not protected / info not served","Protect + serve info by "&amp;TEXT($G203+29,"dd/mm/yyyy"))))))</f>
        <v/>
      </c>
      <c r="K203" s="97">
        <f>IF(OR(NOT(ISNUMBER($E203)),NOT(ISNUMBER($F203))),"",IF($F203&lt;=$E203*12/52*5,"OK","Over 5 weeks"))</f>
        <v/>
      </c>
      <c r="L203" s="52"/>
      <c r="M203" s="52"/>
      <c r="N203" s="122">
        <f>IF(OR($A203="",NOT(ISNUMBER($L203))),IF($A203="","","Not recorded"),IF(NOT(ISNUMBER($M203)),"Checked (no follow-up)",IF($M203&lt;TODAY(),"OVERDUE: follow-up check",IF($M203-TODAY()&lt;=60,"Follow-up due "&amp;TEXT($M203,"dd/mm/yyyy"),"Checked"))))</f>
        <v/>
      </c>
      <c r="O203" s="52"/>
      <c r="P203" s="52"/>
      <c r="Q203" s="122">
        <f>IF($A203="","",IF(NOT(ISNUMBER($D203)),"Enter start date",IF($D203&gt;=DATE(2026,5,1),IF(ISNUMBER($O203),"Complete","Missing: written terms"),IF(OR(ISNUMBER($P203),ISNUMBER($O203)),"Complete","Missing: Information Sheet (was due 31/05/2026)"))))</f>
        <v/>
      </c>
      <c r="R203" s="52"/>
      <c r="S203" s="82">
        <f>IF(ISNUMBER($R203),$R203+364,IF(ISNUMBER($D203),$D203+364,""))</f>
        <v/>
      </c>
      <c r="T203" s="52"/>
      <c r="U203" s="82">
        <f>IF(ISNUMBER($T203),IF(ISNUMBER($S203),MAX(EDATE($T203,2),$S203),EDATE($T203,2)),"")</f>
        <v/>
      </c>
      <c r="V203" s="52"/>
      <c r="W203" s="52"/>
      <c r="X203" s="121">
        <f>IF(NOT(ISNUMBER($V203)),"",IF(ISNUMBER($W203),IF($W203-$V203&lt;=28,"Answered in time","LATE: answered after day 28"),IF(TODAY()-$V203&gt;28,"OVERDUE: no reply yet","Reply due by "&amp;TEXT($V203+28,"dd/mm/yyyy"))))</f>
        <v/>
      </c>
      <c r="Y203" s="54"/>
    </row>
    <row r="204" spans="1:25">
      <c r="A204" s="54"/>
      <c r="B204" s="54"/>
      <c r="C204" s="51"/>
      <c r="D204" s="52"/>
      <c r="E204" s="120"/>
      <c r="F204" s="120"/>
      <c r="G204" s="52"/>
      <c r="H204" s="52"/>
      <c r="I204" s="52"/>
      <c r="J204" s="121">
        <f>IF(OR($A204="",NOT(ISNUMBER($F204))),"",IF($F204&lt;=0,"No deposit",IF(NOT(ISNUMBER($G204)),"Enter date received",IF(AND(ISNUMBER($H204),ISNUMBER($I204)),IF(MAX($H204,$I204)-$G204&lt;=29,"OK","LATE: protected / info served after day 30"),IF(TODAY()-$G204&gt;29,"OVERDUE: not protected / info not served","Protect + serve info by "&amp;TEXT($G204+29,"dd/mm/yyyy"))))))</f>
        <v/>
      </c>
      <c r="K204" s="97">
        <f>IF(OR(NOT(ISNUMBER($E204)),NOT(ISNUMBER($F204))),"",IF($F204&lt;=$E204*12/52*5,"OK","Over 5 weeks"))</f>
        <v/>
      </c>
      <c r="L204" s="52"/>
      <c r="M204" s="52"/>
      <c r="N204" s="122">
        <f>IF(OR($A204="",NOT(ISNUMBER($L204))),IF($A204="","","Not recorded"),IF(NOT(ISNUMBER($M204)),"Checked (no follow-up)",IF($M204&lt;TODAY(),"OVERDUE: follow-up check",IF($M204-TODAY()&lt;=60,"Follow-up due "&amp;TEXT($M204,"dd/mm/yyyy"),"Checked"))))</f>
        <v/>
      </c>
      <c r="O204" s="52"/>
      <c r="P204" s="52"/>
      <c r="Q204" s="122">
        <f>IF($A204="","",IF(NOT(ISNUMBER($D204)),"Enter start date",IF($D204&gt;=DATE(2026,5,1),IF(ISNUMBER($O204),"Complete","Missing: written terms"),IF(OR(ISNUMBER($P204),ISNUMBER($O204)),"Complete","Missing: Information Sheet (was due 31/05/2026)"))))</f>
        <v/>
      </c>
      <c r="R204" s="52"/>
      <c r="S204" s="82">
        <f>IF(ISNUMBER($R204),$R204+364,IF(ISNUMBER($D204),$D204+364,""))</f>
        <v/>
      </c>
      <c r="T204" s="52"/>
      <c r="U204" s="82">
        <f>IF(ISNUMBER($T204),IF(ISNUMBER($S204),MAX(EDATE($T204,2),$S204),EDATE($T204,2)),"")</f>
        <v/>
      </c>
      <c r="V204" s="52"/>
      <c r="W204" s="52"/>
      <c r="X204" s="121">
        <f>IF(NOT(ISNUMBER($V204)),"",IF(ISNUMBER($W204),IF($W204-$V204&lt;=28,"Answered in time","LATE: answered after day 28"),IF(TODAY()-$V204&gt;28,"OVERDUE: no reply yet","Reply due by "&amp;TEXT($V204+28,"dd/mm/yyyy"))))</f>
        <v/>
      </c>
      <c r="Y204" s="54"/>
    </row>
    <row r="205" spans="1:25">
      <c r="A205" s="54"/>
      <c r="B205" s="54"/>
      <c r="C205" s="51"/>
      <c r="D205" s="52"/>
      <c r="E205" s="120"/>
      <c r="F205" s="120"/>
      <c r="G205" s="52"/>
      <c r="H205" s="52"/>
      <c r="I205" s="52"/>
      <c r="J205" s="121">
        <f>IF(OR($A205="",NOT(ISNUMBER($F205))),"",IF($F205&lt;=0,"No deposit",IF(NOT(ISNUMBER($G205)),"Enter date received",IF(AND(ISNUMBER($H205),ISNUMBER($I205)),IF(MAX($H205,$I205)-$G205&lt;=29,"OK","LATE: protected / info served after day 30"),IF(TODAY()-$G205&gt;29,"OVERDUE: not protected / info not served","Protect + serve info by "&amp;TEXT($G205+29,"dd/mm/yyyy"))))))</f>
        <v/>
      </c>
      <c r="K205" s="97">
        <f>IF(OR(NOT(ISNUMBER($E205)),NOT(ISNUMBER($F205))),"",IF($F205&lt;=$E205*12/52*5,"OK","Over 5 weeks"))</f>
        <v/>
      </c>
      <c r="L205" s="52"/>
      <c r="M205" s="52"/>
      <c r="N205" s="122">
        <f>IF(OR($A205="",NOT(ISNUMBER($L205))),IF($A205="","","Not recorded"),IF(NOT(ISNUMBER($M205)),"Checked (no follow-up)",IF($M205&lt;TODAY(),"OVERDUE: follow-up check",IF($M205-TODAY()&lt;=60,"Follow-up due "&amp;TEXT($M205,"dd/mm/yyyy"),"Checked"))))</f>
        <v/>
      </c>
      <c r="O205" s="52"/>
      <c r="P205" s="52"/>
      <c r="Q205" s="122">
        <f>IF($A205="","",IF(NOT(ISNUMBER($D205)),"Enter start date",IF($D205&gt;=DATE(2026,5,1),IF(ISNUMBER($O205),"Complete","Missing: written terms"),IF(OR(ISNUMBER($P205),ISNUMBER($O205)),"Complete","Missing: Information Sheet (was due 31/05/2026)"))))</f>
        <v/>
      </c>
      <c r="R205" s="52"/>
      <c r="S205" s="82">
        <f>IF(ISNUMBER($R205),$R205+364,IF(ISNUMBER($D205),$D205+364,""))</f>
        <v/>
      </c>
      <c r="T205" s="52"/>
      <c r="U205" s="82">
        <f>IF(ISNUMBER($T205),IF(ISNUMBER($S205),MAX(EDATE($T205,2),$S205),EDATE($T205,2)),"")</f>
        <v/>
      </c>
      <c r="V205" s="52"/>
      <c r="W205" s="52"/>
      <c r="X205" s="121">
        <f>IF(NOT(ISNUMBER($V205)),"",IF(ISNUMBER($W205),IF($W205-$V205&lt;=28,"Answered in time","LATE: answered after day 28"),IF(TODAY()-$V205&gt;28,"OVERDUE: no reply yet","Reply due by "&amp;TEXT($V205+28,"dd/mm/yyyy"))))</f>
        <v/>
      </c>
      <c r="Y205" s="54"/>
    </row>
    <row r="206" spans="1:25">
      <c r="A206" s="54"/>
      <c r="B206" s="54"/>
      <c r="C206" s="51"/>
      <c r="D206" s="52"/>
      <c r="E206" s="120"/>
      <c r="F206" s="120"/>
      <c r="G206" s="52"/>
      <c r="H206" s="52"/>
      <c r="I206" s="52"/>
      <c r="J206" s="121">
        <f>IF(OR($A206="",NOT(ISNUMBER($F206))),"",IF($F206&lt;=0,"No deposit",IF(NOT(ISNUMBER($G206)),"Enter date received",IF(AND(ISNUMBER($H206),ISNUMBER($I206)),IF(MAX($H206,$I206)-$G206&lt;=29,"OK","LATE: protected / info served after day 30"),IF(TODAY()-$G206&gt;29,"OVERDUE: not protected / info not served","Protect + serve info by "&amp;TEXT($G206+29,"dd/mm/yyyy"))))))</f>
        <v/>
      </c>
      <c r="K206" s="97">
        <f>IF(OR(NOT(ISNUMBER($E206)),NOT(ISNUMBER($F206))),"",IF($F206&lt;=$E206*12/52*5,"OK","Over 5 weeks"))</f>
        <v/>
      </c>
      <c r="L206" s="52"/>
      <c r="M206" s="52"/>
      <c r="N206" s="122">
        <f>IF(OR($A206="",NOT(ISNUMBER($L206))),IF($A206="","","Not recorded"),IF(NOT(ISNUMBER($M206)),"Checked (no follow-up)",IF($M206&lt;TODAY(),"OVERDUE: follow-up check",IF($M206-TODAY()&lt;=60,"Follow-up due "&amp;TEXT($M206,"dd/mm/yyyy"),"Checked"))))</f>
        <v/>
      </c>
      <c r="O206" s="52"/>
      <c r="P206" s="52"/>
      <c r="Q206" s="122">
        <f>IF($A206="","",IF(NOT(ISNUMBER($D206)),"Enter start date",IF($D206&gt;=DATE(2026,5,1),IF(ISNUMBER($O206),"Complete","Missing: written terms"),IF(OR(ISNUMBER($P206),ISNUMBER($O206)),"Complete","Missing: Information Sheet (was due 31/05/2026)"))))</f>
        <v/>
      </c>
      <c r="R206" s="52"/>
      <c r="S206" s="82">
        <f>IF(ISNUMBER($R206),$R206+364,IF(ISNUMBER($D206),$D206+364,""))</f>
        <v/>
      </c>
      <c r="T206" s="52"/>
      <c r="U206" s="82">
        <f>IF(ISNUMBER($T206),IF(ISNUMBER($S206),MAX(EDATE($T206,2),$S206),EDATE($T206,2)),"")</f>
        <v/>
      </c>
      <c r="V206" s="52"/>
      <c r="W206" s="52"/>
      <c r="X206" s="121">
        <f>IF(NOT(ISNUMBER($V206)),"",IF(ISNUMBER($W206),IF($W206-$V206&lt;=28,"Answered in time","LATE: answered after day 28"),IF(TODAY()-$V206&gt;28,"OVERDUE: no reply yet","Reply due by "&amp;TEXT($V206+28,"dd/mm/yyyy"))))</f>
        <v/>
      </c>
      <c r="Y206" s="54"/>
    </row>
    <row r="207" spans="1:25">
      <c r="A207" s="54"/>
      <c r="B207" s="54"/>
      <c r="C207" s="51"/>
      <c r="D207" s="52"/>
      <c r="E207" s="120"/>
      <c r="F207" s="120"/>
      <c r="G207" s="52"/>
      <c r="H207" s="52"/>
      <c r="I207" s="52"/>
      <c r="J207" s="121">
        <f>IF(OR($A207="",NOT(ISNUMBER($F207))),"",IF($F207&lt;=0,"No deposit",IF(NOT(ISNUMBER($G207)),"Enter date received",IF(AND(ISNUMBER($H207),ISNUMBER($I207)),IF(MAX($H207,$I207)-$G207&lt;=29,"OK","LATE: protected / info served after day 30"),IF(TODAY()-$G207&gt;29,"OVERDUE: not protected / info not served","Protect + serve info by "&amp;TEXT($G207+29,"dd/mm/yyyy"))))))</f>
        <v/>
      </c>
      <c r="K207" s="97">
        <f>IF(OR(NOT(ISNUMBER($E207)),NOT(ISNUMBER($F207))),"",IF($F207&lt;=$E207*12/52*5,"OK","Over 5 weeks"))</f>
        <v/>
      </c>
      <c r="L207" s="52"/>
      <c r="M207" s="52"/>
      <c r="N207" s="122">
        <f>IF(OR($A207="",NOT(ISNUMBER($L207))),IF($A207="","","Not recorded"),IF(NOT(ISNUMBER($M207)),"Checked (no follow-up)",IF($M207&lt;TODAY(),"OVERDUE: follow-up check",IF($M207-TODAY()&lt;=60,"Follow-up due "&amp;TEXT($M207,"dd/mm/yyyy"),"Checked"))))</f>
        <v/>
      </c>
      <c r="O207" s="52"/>
      <c r="P207" s="52"/>
      <c r="Q207" s="122">
        <f>IF($A207="","",IF(NOT(ISNUMBER($D207)),"Enter start date",IF($D207&gt;=DATE(2026,5,1),IF(ISNUMBER($O207),"Complete","Missing: written terms"),IF(OR(ISNUMBER($P207),ISNUMBER($O207)),"Complete","Missing: Information Sheet (was due 31/05/2026)"))))</f>
        <v/>
      </c>
      <c r="R207" s="52"/>
      <c r="S207" s="82">
        <f>IF(ISNUMBER($R207),$R207+364,IF(ISNUMBER($D207),$D207+364,""))</f>
        <v/>
      </c>
      <c r="T207" s="52"/>
      <c r="U207" s="82">
        <f>IF(ISNUMBER($T207),IF(ISNUMBER($S207),MAX(EDATE($T207,2),$S207),EDATE($T207,2)),"")</f>
        <v/>
      </c>
      <c r="V207" s="52"/>
      <c r="W207" s="52"/>
      <c r="X207" s="121">
        <f>IF(NOT(ISNUMBER($V207)),"",IF(ISNUMBER($W207),IF($W207-$V207&lt;=28,"Answered in time","LATE: answered after day 28"),IF(TODAY()-$V207&gt;28,"OVERDUE: no reply yet","Reply due by "&amp;TEXT($V207+28,"dd/mm/yyyy"))))</f>
        <v/>
      </c>
      <c r="Y207" s="54"/>
    </row>
    <row r="208" spans="1:25">
      <c r="A208" s="54"/>
      <c r="B208" s="54"/>
      <c r="C208" s="51"/>
      <c r="D208" s="52"/>
      <c r="E208" s="120"/>
      <c r="F208" s="120"/>
      <c r="G208" s="52"/>
      <c r="H208" s="52"/>
      <c r="I208" s="52"/>
      <c r="J208" s="121">
        <f>IF(OR($A208="",NOT(ISNUMBER($F208))),"",IF($F208&lt;=0,"No deposit",IF(NOT(ISNUMBER($G208)),"Enter date received",IF(AND(ISNUMBER($H208),ISNUMBER($I208)),IF(MAX($H208,$I208)-$G208&lt;=29,"OK","LATE: protected / info served after day 30"),IF(TODAY()-$G208&gt;29,"OVERDUE: not protected / info not served","Protect + serve info by "&amp;TEXT($G208+29,"dd/mm/yyyy"))))))</f>
        <v/>
      </c>
      <c r="K208" s="97">
        <f>IF(OR(NOT(ISNUMBER($E208)),NOT(ISNUMBER($F208))),"",IF($F208&lt;=$E208*12/52*5,"OK","Over 5 weeks"))</f>
        <v/>
      </c>
      <c r="L208" s="52"/>
      <c r="M208" s="52"/>
      <c r="N208" s="122">
        <f>IF(OR($A208="",NOT(ISNUMBER($L208))),IF($A208="","","Not recorded"),IF(NOT(ISNUMBER($M208)),"Checked (no follow-up)",IF($M208&lt;TODAY(),"OVERDUE: follow-up check",IF($M208-TODAY()&lt;=60,"Follow-up due "&amp;TEXT($M208,"dd/mm/yyyy"),"Checked"))))</f>
        <v/>
      </c>
      <c r="O208" s="52"/>
      <c r="P208" s="52"/>
      <c r="Q208" s="122">
        <f>IF($A208="","",IF(NOT(ISNUMBER($D208)),"Enter start date",IF($D208&gt;=DATE(2026,5,1),IF(ISNUMBER($O208),"Complete","Missing: written terms"),IF(OR(ISNUMBER($P208),ISNUMBER($O208)),"Complete","Missing: Information Sheet (was due 31/05/2026)"))))</f>
        <v/>
      </c>
      <c r="R208" s="52"/>
      <c r="S208" s="82">
        <f>IF(ISNUMBER($R208),$R208+364,IF(ISNUMBER($D208),$D208+364,""))</f>
        <v/>
      </c>
      <c r="T208" s="52"/>
      <c r="U208" s="82">
        <f>IF(ISNUMBER($T208),IF(ISNUMBER($S208),MAX(EDATE($T208,2),$S208),EDATE($T208,2)),"")</f>
        <v/>
      </c>
      <c r="V208" s="52"/>
      <c r="W208" s="52"/>
      <c r="X208" s="121">
        <f>IF(NOT(ISNUMBER($V208)),"",IF(ISNUMBER($W208),IF($W208-$V208&lt;=28,"Answered in time","LATE: answered after day 28"),IF(TODAY()-$V208&gt;28,"OVERDUE: no reply yet","Reply due by "&amp;TEXT($V208+28,"dd/mm/yyyy"))))</f>
        <v/>
      </c>
      <c r="Y208" s="54"/>
    </row>
    <row r="209" spans="1:25">
      <c r="A209" s="54"/>
      <c r="B209" s="54"/>
      <c r="C209" s="51"/>
      <c r="D209" s="52"/>
      <c r="E209" s="120"/>
      <c r="F209" s="120"/>
      <c r="G209" s="52"/>
      <c r="H209" s="52"/>
      <c r="I209" s="52"/>
      <c r="J209" s="121">
        <f>IF(OR($A209="",NOT(ISNUMBER($F209))),"",IF($F209&lt;=0,"No deposit",IF(NOT(ISNUMBER($G209)),"Enter date received",IF(AND(ISNUMBER($H209),ISNUMBER($I209)),IF(MAX($H209,$I209)-$G209&lt;=29,"OK","LATE: protected / info served after day 30"),IF(TODAY()-$G209&gt;29,"OVERDUE: not protected / info not served","Protect + serve info by "&amp;TEXT($G209+29,"dd/mm/yyyy"))))))</f>
        <v/>
      </c>
      <c r="K209" s="97">
        <f>IF(OR(NOT(ISNUMBER($E209)),NOT(ISNUMBER($F209))),"",IF($F209&lt;=$E209*12/52*5,"OK","Over 5 weeks"))</f>
        <v/>
      </c>
      <c r="L209" s="52"/>
      <c r="M209" s="52"/>
      <c r="N209" s="122">
        <f>IF(OR($A209="",NOT(ISNUMBER($L209))),IF($A209="","","Not recorded"),IF(NOT(ISNUMBER($M209)),"Checked (no follow-up)",IF($M209&lt;TODAY(),"OVERDUE: follow-up check",IF($M209-TODAY()&lt;=60,"Follow-up due "&amp;TEXT($M209,"dd/mm/yyyy"),"Checked"))))</f>
        <v/>
      </c>
      <c r="O209" s="52"/>
      <c r="P209" s="52"/>
      <c r="Q209" s="122">
        <f>IF($A209="","",IF(NOT(ISNUMBER($D209)),"Enter start date",IF($D209&gt;=DATE(2026,5,1),IF(ISNUMBER($O209),"Complete","Missing: written terms"),IF(OR(ISNUMBER($P209),ISNUMBER($O209)),"Complete","Missing: Information Sheet (was due 31/05/2026)"))))</f>
        <v/>
      </c>
      <c r="R209" s="52"/>
      <c r="S209" s="82">
        <f>IF(ISNUMBER($R209),$R209+364,IF(ISNUMBER($D209),$D209+364,""))</f>
        <v/>
      </c>
      <c r="T209" s="52"/>
      <c r="U209" s="82">
        <f>IF(ISNUMBER($T209),IF(ISNUMBER($S209),MAX(EDATE($T209,2),$S209),EDATE($T209,2)),"")</f>
        <v/>
      </c>
      <c r="V209" s="52"/>
      <c r="W209" s="52"/>
      <c r="X209" s="121">
        <f>IF(NOT(ISNUMBER($V209)),"",IF(ISNUMBER($W209),IF($W209-$V209&lt;=28,"Answered in time","LATE: answered after day 28"),IF(TODAY()-$V209&gt;28,"OVERDUE: no reply yet","Reply due by "&amp;TEXT($V209+28,"dd/mm/yyyy"))))</f>
        <v/>
      </c>
      <c r="Y209" s="54"/>
    </row>
    <row r="210" spans="1:25">
      <c r="A210" s="54"/>
      <c r="B210" s="54"/>
      <c r="C210" s="51"/>
      <c r="D210" s="52"/>
      <c r="E210" s="120"/>
      <c r="F210" s="120"/>
      <c r="G210" s="52"/>
      <c r="H210" s="52"/>
      <c r="I210" s="52"/>
      <c r="J210" s="121">
        <f>IF(OR($A210="",NOT(ISNUMBER($F210))),"",IF($F210&lt;=0,"No deposit",IF(NOT(ISNUMBER($G210)),"Enter date received",IF(AND(ISNUMBER($H210),ISNUMBER($I210)),IF(MAX($H210,$I210)-$G210&lt;=29,"OK","LATE: protected / info served after day 30"),IF(TODAY()-$G210&gt;29,"OVERDUE: not protected / info not served","Protect + serve info by "&amp;TEXT($G210+29,"dd/mm/yyyy"))))))</f>
        <v/>
      </c>
      <c r="K210" s="97">
        <f>IF(OR(NOT(ISNUMBER($E210)),NOT(ISNUMBER($F210))),"",IF($F210&lt;=$E210*12/52*5,"OK","Over 5 weeks"))</f>
        <v/>
      </c>
      <c r="L210" s="52"/>
      <c r="M210" s="52"/>
      <c r="N210" s="122">
        <f>IF(OR($A210="",NOT(ISNUMBER($L210))),IF($A210="","","Not recorded"),IF(NOT(ISNUMBER($M210)),"Checked (no follow-up)",IF($M210&lt;TODAY(),"OVERDUE: follow-up check",IF($M210-TODAY()&lt;=60,"Follow-up due "&amp;TEXT($M210,"dd/mm/yyyy"),"Checked"))))</f>
        <v/>
      </c>
      <c r="O210" s="52"/>
      <c r="P210" s="52"/>
      <c r="Q210" s="122">
        <f>IF($A210="","",IF(NOT(ISNUMBER($D210)),"Enter start date",IF($D210&gt;=DATE(2026,5,1),IF(ISNUMBER($O210),"Complete","Missing: written terms"),IF(OR(ISNUMBER($P210),ISNUMBER($O210)),"Complete","Missing: Information Sheet (was due 31/05/2026)"))))</f>
        <v/>
      </c>
      <c r="R210" s="52"/>
      <c r="S210" s="82">
        <f>IF(ISNUMBER($R210),$R210+364,IF(ISNUMBER($D210),$D210+364,""))</f>
        <v/>
      </c>
      <c r="T210" s="52"/>
      <c r="U210" s="82">
        <f>IF(ISNUMBER($T210),IF(ISNUMBER($S210),MAX(EDATE($T210,2),$S210),EDATE($T210,2)),"")</f>
        <v/>
      </c>
      <c r="V210" s="52"/>
      <c r="W210" s="52"/>
      <c r="X210" s="121">
        <f>IF(NOT(ISNUMBER($V210)),"",IF(ISNUMBER($W210),IF($W210-$V210&lt;=28,"Answered in time","LATE: answered after day 28"),IF(TODAY()-$V210&gt;28,"OVERDUE: no reply yet","Reply due by "&amp;TEXT($V210+28,"dd/mm/yyyy"))))</f>
        <v/>
      </c>
      <c r="Y210" s="54"/>
    </row>
    <row r="211" spans="1:25">
      <c r="A211" s="54"/>
      <c r="B211" s="54"/>
      <c r="C211" s="51"/>
      <c r="D211" s="52"/>
      <c r="E211" s="120"/>
      <c r="F211" s="120"/>
      <c r="G211" s="52"/>
      <c r="H211" s="52"/>
      <c r="I211" s="52"/>
      <c r="J211" s="121">
        <f>IF(OR($A211="",NOT(ISNUMBER($F211))),"",IF($F211&lt;=0,"No deposit",IF(NOT(ISNUMBER($G211)),"Enter date received",IF(AND(ISNUMBER($H211),ISNUMBER($I211)),IF(MAX($H211,$I211)-$G211&lt;=29,"OK","LATE: protected / info served after day 30"),IF(TODAY()-$G211&gt;29,"OVERDUE: not protected / info not served","Protect + serve info by "&amp;TEXT($G211+29,"dd/mm/yyyy"))))))</f>
        <v/>
      </c>
      <c r="K211" s="97">
        <f>IF(OR(NOT(ISNUMBER($E211)),NOT(ISNUMBER($F211))),"",IF($F211&lt;=$E211*12/52*5,"OK","Over 5 weeks"))</f>
        <v/>
      </c>
      <c r="L211" s="52"/>
      <c r="M211" s="52"/>
      <c r="N211" s="122">
        <f>IF(OR($A211="",NOT(ISNUMBER($L211))),IF($A211="","","Not recorded"),IF(NOT(ISNUMBER($M211)),"Checked (no follow-up)",IF($M211&lt;TODAY(),"OVERDUE: follow-up check",IF($M211-TODAY()&lt;=60,"Follow-up due "&amp;TEXT($M211,"dd/mm/yyyy"),"Checked"))))</f>
        <v/>
      </c>
      <c r="O211" s="52"/>
      <c r="P211" s="52"/>
      <c r="Q211" s="122">
        <f>IF($A211="","",IF(NOT(ISNUMBER($D211)),"Enter start date",IF($D211&gt;=DATE(2026,5,1),IF(ISNUMBER($O211),"Complete","Missing: written terms"),IF(OR(ISNUMBER($P211),ISNUMBER($O211)),"Complete","Missing: Information Sheet (was due 31/05/2026)"))))</f>
        <v/>
      </c>
      <c r="R211" s="52"/>
      <c r="S211" s="82">
        <f>IF(ISNUMBER($R211),$R211+364,IF(ISNUMBER($D211),$D211+364,""))</f>
        <v/>
      </c>
      <c r="T211" s="52"/>
      <c r="U211" s="82">
        <f>IF(ISNUMBER($T211),IF(ISNUMBER($S211),MAX(EDATE($T211,2),$S211),EDATE($T211,2)),"")</f>
        <v/>
      </c>
      <c r="V211" s="52"/>
      <c r="W211" s="52"/>
      <c r="X211" s="121">
        <f>IF(NOT(ISNUMBER($V211)),"",IF(ISNUMBER($W211),IF($W211-$V211&lt;=28,"Answered in time","LATE: answered after day 28"),IF(TODAY()-$V211&gt;28,"OVERDUE: no reply yet","Reply due by "&amp;TEXT($V211+28,"dd/mm/yyyy"))))</f>
        <v/>
      </c>
      <c r="Y211" s="54"/>
    </row>
    <row r="212" spans="1:25">
      <c r="A212" s="54"/>
      <c r="B212" s="54"/>
      <c r="C212" s="51"/>
      <c r="D212" s="52"/>
      <c r="E212" s="120"/>
      <c r="F212" s="120"/>
      <c r="G212" s="52"/>
      <c r="H212" s="52"/>
      <c r="I212" s="52"/>
      <c r="J212" s="121">
        <f>IF(OR($A212="",NOT(ISNUMBER($F212))),"",IF($F212&lt;=0,"No deposit",IF(NOT(ISNUMBER($G212)),"Enter date received",IF(AND(ISNUMBER($H212),ISNUMBER($I212)),IF(MAX($H212,$I212)-$G212&lt;=29,"OK","LATE: protected / info served after day 30"),IF(TODAY()-$G212&gt;29,"OVERDUE: not protected / info not served","Protect + serve info by "&amp;TEXT($G212+29,"dd/mm/yyyy"))))))</f>
        <v/>
      </c>
      <c r="K212" s="97">
        <f>IF(OR(NOT(ISNUMBER($E212)),NOT(ISNUMBER($F212))),"",IF($F212&lt;=$E212*12/52*5,"OK","Over 5 weeks"))</f>
        <v/>
      </c>
      <c r="L212" s="52"/>
      <c r="M212" s="52"/>
      <c r="N212" s="122">
        <f>IF(OR($A212="",NOT(ISNUMBER($L212))),IF($A212="","","Not recorded"),IF(NOT(ISNUMBER($M212)),"Checked (no follow-up)",IF($M212&lt;TODAY(),"OVERDUE: follow-up check",IF($M212-TODAY()&lt;=60,"Follow-up due "&amp;TEXT($M212,"dd/mm/yyyy"),"Checked"))))</f>
        <v/>
      </c>
      <c r="O212" s="52"/>
      <c r="P212" s="52"/>
      <c r="Q212" s="122">
        <f>IF($A212="","",IF(NOT(ISNUMBER($D212)),"Enter start date",IF($D212&gt;=DATE(2026,5,1),IF(ISNUMBER($O212),"Complete","Missing: written terms"),IF(OR(ISNUMBER($P212),ISNUMBER($O212)),"Complete","Missing: Information Sheet (was due 31/05/2026)"))))</f>
        <v/>
      </c>
      <c r="R212" s="52"/>
      <c r="S212" s="82">
        <f>IF(ISNUMBER($R212),$R212+364,IF(ISNUMBER($D212),$D212+364,""))</f>
        <v/>
      </c>
      <c r="T212" s="52"/>
      <c r="U212" s="82">
        <f>IF(ISNUMBER($T212),IF(ISNUMBER($S212),MAX(EDATE($T212,2),$S212),EDATE($T212,2)),"")</f>
        <v/>
      </c>
      <c r="V212" s="52"/>
      <c r="W212" s="52"/>
      <c r="X212" s="121">
        <f>IF(NOT(ISNUMBER($V212)),"",IF(ISNUMBER($W212),IF($W212-$V212&lt;=28,"Answered in time","LATE: answered after day 28"),IF(TODAY()-$V212&gt;28,"OVERDUE: no reply yet","Reply due by "&amp;TEXT($V212+28,"dd/mm/yyyy"))))</f>
        <v/>
      </c>
      <c r="Y212" s="54"/>
    </row>
    <row r="213" spans="1:25">
      <c r="A213" s="54"/>
      <c r="B213" s="54"/>
      <c r="C213" s="51"/>
      <c r="D213" s="52"/>
      <c r="E213" s="120"/>
      <c r="F213" s="120"/>
      <c r="G213" s="52"/>
      <c r="H213" s="52"/>
      <c r="I213" s="52"/>
      <c r="J213" s="121">
        <f>IF(OR($A213="",NOT(ISNUMBER($F213))),"",IF($F213&lt;=0,"No deposit",IF(NOT(ISNUMBER($G213)),"Enter date received",IF(AND(ISNUMBER($H213),ISNUMBER($I213)),IF(MAX($H213,$I213)-$G213&lt;=29,"OK","LATE: protected / info served after day 30"),IF(TODAY()-$G213&gt;29,"OVERDUE: not protected / info not served","Protect + serve info by "&amp;TEXT($G213+29,"dd/mm/yyyy"))))))</f>
        <v/>
      </c>
      <c r="K213" s="97">
        <f>IF(OR(NOT(ISNUMBER($E213)),NOT(ISNUMBER($F213))),"",IF($F213&lt;=$E213*12/52*5,"OK","Over 5 weeks"))</f>
        <v/>
      </c>
      <c r="L213" s="52"/>
      <c r="M213" s="52"/>
      <c r="N213" s="122">
        <f>IF(OR($A213="",NOT(ISNUMBER($L213))),IF($A213="","","Not recorded"),IF(NOT(ISNUMBER($M213)),"Checked (no follow-up)",IF($M213&lt;TODAY(),"OVERDUE: follow-up check",IF($M213-TODAY()&lt;=60,"Follow-up due "&amp;TEXT($M213,"dd/mm/yyyy"),"Checked"))))</f>
        <v/>
      </c>
      <c r="O213" s="52"/>
      <c r="P213" s="52"/>
      <c r="Q213" s="122">
        <f>IF($A213="","",IF(NOT(ISNUMBER($D213)),"Enter start date",IF($D213&gt;=DATE(2026,5,1),IF(ISNUMBER($O213),"Complete","Missing: written terms"),IF(OR(ISNUMBER($P213),ISNUMBER($O213)),"Complete","Missing: Information Sheet (was due 31/05/2026)"))))</f>
        <v/>
      </c>
      <c r="R213" s="52"/>
      <c r="S213" s="82">
        <f>IF(ISNUMBER($R213),$R213+364,IF(ISNUMBER($D213),$D213+364,""))</f>
        <v/>
      </c>
      <c r="T213" s="52"/>
      <c r="U213" s="82">
        <f>IF(ISNUMBER($T213),IF(ISNUMBER($S213),MAX(EDATE($T213,2),$S213),EDATE($T213,2)),"")</f>
        <v/>
      </c>
      <c r="V213" s="52"/>
      <c r="W213" s="52"/>
      <c r="X213" s="121">
        <f>IF(NOT(ISNUMBER($V213)),"",IF(ISNUMBER($W213),IF($W213-$V213&lt;=28,"Answered in time","LATE: answered after day 28"),IF(TODAY()-$V213&gt;28,"OVERDUE: no reply yet","Reply due by "&amp;TEXT($V213+28,"dd/mm/yyyy"))))</f>
        <v/>
      </c>
      <c r="Y213" s="54"/>
    </row>
    <row r="214" spans="1:25">
      <c r="A214" s="54"/>
      <c r="B214" s="54"/>
      <c r="C214" s="51"/>
      <c r="D214" s="52"/>
      <c r="E214" s="120"/>
      <c r="F214" s="120"/>
      <c r="G214" s="52"/>
      <c r="H214" s="52"/>
      <c r="I214" s="52"/>
      <c r="J214" s="121">
        <f>IF(OR($A214="",NOT(ISNUMBER($F214))),"",IF($F214&lt;=0,"No deposit",IF(NOT(ISNUMBER($G214)),"Enter date received",IF(AND(ISNUMBER($H214),ISNUMBER($I214)),IF(MAX($H214,$I214)-$G214&lt;=29,"OK","LATE: protected / info served after day 30"),IF(TODAY()-$G214&gt;29,"OVERDUE: not protected / info not served","Protect + serve info by "&amp;TEXT($G214+29,"dd/mm/yyyy"))))))</f>
        <v/>
      </c>
      <c r="K214" s="97">
        <f>IF(OR(NOT(ISNUMBER($E214)),NOT(ISNUMBER($F214))),"",IF($F214&lt;=$E214*12/52*5,"OK","Over 5 weeks"))</f>
        <v/>
      </c>
      <c r="L214" s="52"/>
      <c r="M214" s="52"/>
      <c r="N214" s="122">
        <f>IF(OR($A214="",NOT(ISNUMBER($L214))),IF($A214="","","Not recorded"),IF(NOT(ISNUMBER($M214)),"Checked (no follow-up)",IF($M214&lt;TODAY(),"OVERDUE: follow-up check",IF($M214-TODAY()&lt;=60,"Follow-up due "&amp;TEXT($M214,"dd/mm/yyyy"),"Checked"))))</f>
        <v/>
      </c>
      <c r="O214" s="52"/>
      <c r="P214" s="52"/>
      <c r="Q214" s="122">
        <f>IF($A214="","",IF(NOT(ISNUMBER($D214)),"Enter start date",IF($D214&gt;=DATE(2026,5,1),IF(ISNUMBER($O214),"Complete","Missing: written terms"),IF(OR(ISNUMBER($P214),ISNUMBER($O214)),"Complete","Missing: Information Sheet (was due 31/05/2026)"))))</f>
        <v/>
      </c>
      <c r="R214" s="52"/>
      <c r="S214" s="82">
        <f>IF(ISNUMBER($R214),$R214+364,IF(ISNUMBER($D214),$D214+364,""))</f>
        <v/>
      </c>
      <c r="T214" s="52"/>
      <c r="U214" s="82">
        <f>IF(ISNUMBER($T214),IF(ISNUMBER($S214),MAX(EDATE($T214,2),$S214),EDATE($T214,2)),"")</f>
        <v/>
      </c>
      <c r="V214" s="52"/>
      <c r="W214" s="52"/>
      <c r="X214" s="121">
        <f>IF(NOT(ISNUMBER($V214)),"",IF(ISNUMBER($W214),IF($W214-$V214&lt;=28,"Answered in time","LATE: answered after day 28"),IF(TODAY()-$V214&gt;28,"OVERDUE: no reply yet","Reply due by "&amp;TEXT($V214+28,"dd/mm/yyyy"))))</f>
        <v/>
      </c>
      <c r="Y214" s="54"/>
    </row>
    <row r="215" spans="1:25">
      <c r="A215" s="54"/>
      <c r="B215" s="54"/>
      <c r="C215" s="51"/>
      <c r="D215" s="52"/>
      <c r="E215" s="120"/>
      <c r="F215" s="120"/>
      <c r="G215" s="52"/>
      <c r="H215" s="52"/>
      <c r="I215" s="52"/>
      <c r="J215" s="121">
        <f>IF(OR($A215="",NOT(ISNUMBER($F215))),"",IF($F215&lt;=0,"No deposit",IF(NOT(ISNUMBER($G215)),"Enter date received",IF(AND(ISNUMBER($H215),ISNUMBER($I215)),IF(MAX($H215,$I215)-$G215&lt;=29,"OK","LATE: protected / info served after day 30"),IF(TODAY()-$G215&gt;29,"OVERDUE: not protected / info not served","Protect + serve info by "&amp;TEXT($G215+29,"dd/mm/yyyy"))))))</f>
        <v/>
      </c>
      <c r="K215" s="97">
        <f>IF(OR(NOT(ISNUMBER($E215)),NOT(ISNUMBER($F215))),"",IF($F215&lt;=$E215*12/52*5,"OK","Over 5 weeks"))</f>
        <v/>
      </c>
      <c r="L215" s="52"/>
      <c r="M215" s="52"/>
      <c r="N215" s="122">
        <f>IF(OR($A215="",NOT(ISNUMBER($L215))),IF($A215="","","Not recorded"),IF(NOT(ISNUMBER($M215)),"Checked (no follow-up)",IF($M215&lt;TODAY(),"OVERDUE: follow-up check",IF($M215-TODAY()&lt;=60,"Follow-up due "&amp;TEXT($M215,"dd/mm/yyyy"),"Checked"))))</f>
        <v/>
      </c>
      <c r="O215" s="52"/>
      <c r="P215" s="52"/>
      <c r="Q215" s="122">
        <f>IF($A215="","",IF(NOT(ISNUMBER($D215)),"Enter start date",IF($D215&gt;=DATE(2026,5,1),IF(ISNUMBER($O215),"Complete","Missing: written terms"),IF(OR(ISNUMBER($P215),ISNUMBER($O215)),"Complete","Missing: Information Sheet (was due 31/05/2026)"))))</f>
        <v/>
      </c>
      <c r="R215" s="52"/>
      <c r="S215" s="82">
        <f>IF(ISNUMBER($R215),$R215+364,IF(ISNUMBER($D215),$D215+364,""))</f>
        <v/>
      </c>
      <c r="T215" s="52"/>
      <c r="U215" s="82">
        <f>IF(ISNUMBER($T215),IF(ISNUMBER($S215),MAX(EDATE($T215,2),$S215),EDATE($T215,2)),"")</f>
        <v/>
      </c>
      <c r="V215" s="52"/>
      <c r="W215" s="52"/>
      <c r="X215" s="121">
        <f>IF(NOT(ISNUMBER($V215)),"",IF(ISNUMBER($W215),IF($W215-$V215&lt;=28,"Answered in time","LATE: answered after day 28"),IF(TODAY()-$V215&gt;28,"OVERDUE: no reply yet","Reply due by "&amp;TEXT($V215+28,"dd/mm/yyyy"))))</f>
        <v/>
      </c>
      <c r="Y215" s="54"/>
    </row>
    <row r="216" spans="1:25">
      <c r="A216" s="54"/>
      <c r="B216" s="54"/>
      <c r="C216" s="51"/>
      <c r="D216" s="52"/>
      <c r="E216" s="120"/>
      <c r="F216" s="120"/>
      <c r="G216" s="52"/>
      <c r="H216" s="52"/>
      <c r="I216" s="52"/>
      <c r="J216" s="121">
        <f>IF(OR($A216="",NOT(ISNUMBER($F216))),"",IF($F216&lt;=0,"No deposit",IF(NOT(ISNUMBER($G216)),"Enter date received",IF(AND(ISNUMBER($H216),ISNUMBER($I216)),IF(MAX($H216,$I216)-$G216&lt;=29,"OK","LATE: protected / info served after day 30"),IF(TODAY()-$G216&gt;29,"OVERDUE: not protected / info not served","Protect + serve info by "&amp;TEXT($G216+29,"dd/mm/yyyy"))))))</f>
        <v/>
      </c>
      <c r="K216" s="97">
        <f>IF(OR(NOT(ISNUMBER($E216)),NOT(ISNUMBER($F216))),"",IF($F216&lt;=$E216*12/52*5,"OK","Over 5 weeks"))</f>
        <v/>
      </c>
      <c r="L216" s="52"/>
      <c r="M216" s="52"/>
      <c r="N216" s="122">
        <f>IF(OR($A216="",NOT(ISNUMBER($L216))),IF($A216="","","Not recorded"),IF(NOT(ISNUMBER($M216)),"Checked (no follow-up)",IF($M216&lt;TODAY(),"OVERDUE: follow-up check",IF($M216-TODAY()&lt;=60,"Follow-up due "&amp;TEXT($M216,"dd/mm/yyyy"),"Checked"))))</f>
        <v/>
      </c>
      <c r="O216" s="52"/>
      <c r="P216" s="52"/>
      <c r="Q216" s="122">
        <f>IF($A216="","",IF(NOT(ISNUMBER($D216)),"Enter start date",IF($D216&gt;=DATE(2026,5,1),IF(ISNUMBER($O216),"Complete","Missing: written terms"),IF(OR(ISNUMBER($P216),ISNUMBER($O216)),"Complete","Missing: Information Sheet (was due 31/05/2026)"))))</f>
        <v/>
      </c>
      <c r="R216" s="52"/>
      <c r="S216" s="82">
        <f>IF(ISNUMBER($R216),$R216+364,IF(ISNUMBER($D216),$D216+364,""))</f>
        <v/>
      </c>
      <c r="T216" s="52"/>
      <c r="U216" s="82">
        <f>IF(ISNUMBER($T216),IF(ISNUMBER($S216),MAX(EDATE($T216,2),$S216),EDATE($T216,2)),"")</f>
        <v/>
      </c>
      <c r="V216" s="52"/>
      <c r="W216" s="52"/>
      <c r="X216" s="121">
        <f>IF(NOT(ISNUMBER($V216)),"",IF(ISNUMBER($W216),IF($W216-$V216&lt;=28,"Answered in time","LATE: answered after day 28"),IF(TODAY()-$V216&gt;28,"OVERDUE: no reply yet","Reply due by "&amp;TEXT($V216+28,"dd/mm/yyyy"))))</f>
        <v/>
      </c>
      <c r="Y216" s="54"/>
    </row>
    <row r="217" spans="1:25">
      <c r="A217" s="54"/>
      <c r="B217" s="54"/>
      <c r="C217" s="51"/>
      <c r="D217" s="52"/>
      <c r="E217" s="120"/>
      <c r="F217" s="120"/>
      <c r="G217" s="52"/>
      <c r="H217" s="52"/>
      <c r="I217" s="52"/>
      <c r="J217" s="121">
        <f>IF(OR($A217="",NOT(ISNUMBER($F217))),"",IF($F217&lt;=0,"No deposit",IF(NOT(ISNUMBER($G217)),"Enter date received",IF(AND(ISNUMBER($H217),ISNUMBER($I217)),IF(MAX($H217,$I217)-$G217&lt;=29,"OK","LATE: protected / info served after day 30"),IF(TODAY()-$G217&gt;29,"OVERDUE: not protected / info not served","Protect + serve info by "&amp;TEXT($G217+29,"dd/mm/yyyy"))))))</f>
        <v/>
      </c>
      <c r="K217" s="97">
        <f>IF(OR(NOT(ISNUMBER($E217)),NOT(ISNUMBER($F217))),"",IF($F217&lt;=$E217*12/52*5,"OK","Over 5 weeks"))</f>
        <v/>
      </c>
      <c r="L217" s="52"/>
      <c r="M217" s="52"/>
      <c r="N217" s="122">
        <f>IF(OR($A217="",NOT(ISNUMBER($L217))),IF($A217="","","Not recorded"),IF(NOT(ISNUMBER($M217)),"Checked (no follow-up)",IF($M217&lt;TODAY(),"OVERDUE: follow-up check",IF($M217-TODAY()&lt;=60,"Follow-up due "&amp;TEXT($M217,"dd/mm/yyyy"),"Checked"))))</f>
        <v/>
      </c>
      <c r="O217" s="52"/>
      <c r="P217" s="52"/>
      <c r="Q217" s="122">
        <f>IF($A217="","",IF(NOT(ISNUMBER($D217)),"Enter start date",IF($D217&gt;=DATE(2026,5,1),IF(ISNUMBER($O217),"Complete","Missing: written terms"),IF(OR(ISNUMBER($P217),ISNUMBER($O217)),"Complete","Missing: Information Sheet (was due 31/05/2026)"))))</f>
        <v/>
      </c>
      <c r="R217" s="52"/>
      <c r="S217" s="82">
        <f>IF(ISNUMBER($R217),$R217+364,IF(ISNUMBER($D217),$D217+364,""))</f>
        <v/>
      </c>
      <c r="T217" s="52"/>
      <c r="U217" s="82">
        <f>IF(ISNUMBER($T217),IF(ISNUMBER($S217),MAX(EDATE($T217,2),$S217),EDATE($T217,2)),"")</f>
        <v/>
      </c>
      <c r="V217" s="52"/>
      <c r="W217" s="52"/>
      <c r="X217" s="121">
        <f>IF(NOT(ISNUMBER($V217)),"",IF(ISNUMBER($W217),IF($W217-$V217&lt;=28,"Answered in time","LATE: answered after day 28"),IF(TODAY()-$V217&gt;28,"OVERDUE: no reply yet","Reply due by "&amp;TEXT($V217+28,"dd/mm/yyyy"))))</f>
        <v/>
      </c>
      <c r="Y217" s="54"/>
    </row>
    <row r="218" spans="1:25">
      <c r="A218" s="54"/>
      <c r="B218" s="54"/>
      <c r="C218" s="51"/>
      <c r="D218" s="52"/>
      <c r="E218" s="120"/>
      <c r="F218" s="120"/>
      <c r="G218" s="52"/>
      <c r="H218" s="52"/>
      <c r="I218" s="52"/>
      <c r="J218" s="121">
        <f>IF(OR($A218="",NOT(ISNUMBER($F218))),"",IF($F218&lt;=0,"No deposit",IF(NOT(ISNUMBER($G218)),"Enter date received",IF(AND(ISNUMBER($H218),ISNUMBER($I218)),IF(MAX($H218,$I218)-$G218&lt;=29,"OK","LATE: protected / info served after day 30"),IF(TODAY()-$G218&gt;29,"OVERDUE: not protected / info not served","Protect + serve info by "&amp;TEXT($G218+29,"dd/mm/yyyy"))))))</f>
        <v/>
      </c>
      <c r="K218" s="97">
        <f>IF(OR(NOT(ISNUMBER($E218)),NOT(ISNUMBER($F218))),"",IF($F218&lt;=$E218*12/52*5,"OK","Over 5 weeks"))</f>
        <v/>
      </c>
      <c r="L218" s="52"/>
      <c r="M218" s="52"/>
      <c r="N218" s="122">
        <f>IF(OR($A218="",NOT(ISNUMBER($L218))),IF($A218="","","Not recorded"),IF(NOT(ISNUMBER($M218)),"Checked (no follow-up)",IF($M218&lt;TODAY(),"OVERDUE: follow-up check",IF($M218-TODAY()&lt;=60,"Follow-up due "&amp;TEXT($M218,"dd/mm/yyyy"),"Checked"))))</f>
        <v/>
      </c>
      <c r="O218" s="52"/>
      <c r="P218" s="52"/>
      <c r="Q218" s="122">
        <f>IF($A218="","",IF(NOT(ISNUMBER($D218)),"Enter start date",IF($D218&gt;=DATE(2026,5,1),IF(ISNUMBER($O218),"Complete","Missing: written terms"),IF(OR(ISNUMBER($P218),ISNUMBER($O218)),"Complete","Missing: Information Sheet (was due 31/05/2026)"))))</f>
        <v/>
      </c>
      <c r="R218" s="52"/>
      <c r="S218" s="82">
        <f>IF(ISNUMBER($R218),$R218+364,IF(ISNUMBER($D218),$D218+364,""))</f>
        <v/>
      </c>
      <c r="T218" s="52"/>
      <c r="U218" s="82">
        <f>IF(ISNUMBER($T218),IF(ISNUMBER($S218),MAX(EDATE($T218,2),$S218),EDATE($T218,2)),"")</f>
        <v/>
      </c>
      <c r="V218" s="52"/>
      <c r="W218" s="52"/>
      <c r="X218" s="121">
        <f>IF(NOT(ISNUMBER($V218)),"",IF(ISNUMBER($W218),IF($W218-$V218&lt;=28,"Answered in time","LATE: answered after day 28"),IF(TODAY()-$V218&gt;28,"OVERDUE: no reply yet","Reply due by "&amp;TEXT($V218+28,"dd/mm/yyyy"))))</f>
        <v/>
      </c>
      <c r="Y218" s="54"/>
    </row>
    <row r="219" spans="1:25">
      <c r="A219" s="54"/>
      <c r="B219" s="54"/>
      <c r="C219" s="51"/>
      <c r="D219" s="52"/>
      <c r="E219" s="120"/>
      <c r="F219" s="120"/>
      <c r="G219" s="52"/>
      <c r="H219" s="52"/>
      <c r="I219" s="52"/>
      <c r="J219" s="121">
        <f>IF(OR($A219="",NOT(ISNUMBER($F219))),"",IF($F219&lt;=0,"No deposit",IF(NOT(ISNUMBER($G219)),"Enter date received",IF(AND(ISNUMBER($H219),ISNUMBER($I219)),IF(MAX($H219,$I219)-$G219&lt;=29,"OK","LATE: protected / info served after day 30"),IF(TODAY()-$G219&gt;29,"OVERDUE: not protected / info not served","Protect + serve info by "&amp;TEXT($G219+29,"dd/mm/yyyy"))))))</f>
        <v/>
      </c>
      <c r="K219" s="97">
        <f>IF(OR(NOT(ISNUMBER($E219)),NOT(ISNUMBER($F219))),"",IF($F219&lt;=$E219*12/52*5,"OK","Over 5 weeks"))</f>
        <v/>
      </c>
      <c r="L219" s="52"/>
      <c r="M219" s="52"/>
      <c r="N219" s="122">
        <f>IF(OR($A219="",NOT(ISNUMBER($L219))),IF($A219="","","Not recorded"),IF(NOT(ISNUMBER($M219)),"Checked (no follow-up)",IF($M219&lt;TODAY(),"OVERDUE: follow-up check",IF($M219-TODAY()&lt;=60,"Follow-up due "&amp;TEXT($M219,"dd/mm/yyyy"),"Checked"))))</f>
        <v/>
      </c>
      <c r="O219" s="52"/>
      <c r="P219" s="52"/>
      <c r="Q219" s="122">
        <f>IF($A219="","",IF(NOT(ISNUMBER($D219)),"Enter start date",IF($D219&gt;=DATE(2026,5,1),IF(ISNUMBER($O219),"Complete","Missing: written terms"),IF(OR(ISNUMBER($P219),ISNUMBER($O219)),"Complete","Missing: Information Sheet (was due 31/05/2026)"))))</f>
        <v/>
      </c>
      <c r="R219" s="52"/>
      <c r="S219" s="82">
        <f>IF(ISNUMBER($R219),$R219+364,IF(ISNUMBER($D219),$D219+364,""))</f>
        <v/>
      </c>
      <c r="T219" s="52"/>
      <c r="U219" s="82">
        <f>IF(ISNUMBER($T219),IF(ISNUMBER($S219),MAX(EDATE($T219,2),$S219),EDATE($T219,2)),"")</f>
        <v/>
      </c>
      <c r="V219" s="52"/>
      <c r="W219" s="52"/>
      <c r="X219" s="121">
        <f>IF(NOT(ISNUMBER($V219)),"",IF(ISNUMBER($W219),IF($W219-$V219&lt;=28,"Answered in time","LATE: answered after day 28"),IF(TODAY()-$V219&gt;28,"OVERDUE: no reply yet","Reply due by "&amp;TEXT($V219+28,"dd/mm/yyyy"))))</f>
        <v/>
      </c>
      <c r="Y219" s="54"/>
    </row>
    <row r="220" spans="1:25">
      <c r="A220" s="54"/>
      <c r="B220" s="54"/>
      <c r="C220" s="51"/>
      <c r="D220" s="52"/>
      <c r="E220" s="120"/>
      <c r="F220" s="120"/>
      <c r="G220" s="52"/>
      <c r="H220" s="52"/>
      <c r="I220" s="52"/>
      <c r="J220" s="121">
        <f>IF(OR($A220="",NOT(ISNUMBER($F220))),"",IF($F220&lt;=0,"No deposit",IF(NOT(ISNUMBER($G220)),"Enter date received",IF(AND(ISNUMBER($H220),ISNUMBER($I220)),IF(MAX($H220,$I220)-$G220&lt;=29,"OK","LATE: protected / info served after day 30"),IF(TODAY()-$G220&gt;29,"OVERDUE: not protected / info not served","Protect + serve info by "&amp;TEXT($G220+29,"dd/mm/yyyy"))))))</f>
        <v/>
      </c>
      <c r="K220" s="97">
        <f>IF(OR(NOT(ISNUMBER($E220)),NOT(ISNUMBER($F220))),"",IF($F220&lt;=$E220*12/52*5,"OK","Over 5 weeks"))</f>
        <v/>
      </c>
      <c r="L220" s="52"/>
      <c r="M220" s="52"/>
      <c r="N220" s="122">
        <f>IF(OR($A220="",NOT(ISNUMBER($L220))),IF($A220="","","Not recorded"),IF(NOT(ISNUMBER($M220)),"Checked (no follow-up)",IF($M220&lt;TODAY(),"OVERDUE: follow-up check",IF($M220-TODAY()&lt;=60,"Follow-up due "&amp;TEXT($M220,"dd/mm/yyyy"),"Checked"))))</f>
        <v/>
      </c>
      <c r="O220" s="52"/>
      <c r="P220" s="52"/>
      <c r="Q220" s="122">
        <f>IF($A220="","",IF(NOT(ISNUMBER($D220)),"Enter start date",IF($D220&gt;=DATE(2026,5,1),IF(ISNUMBER($O220),"Complete","Missing: written terms"),IF(OR(ISNUMBER($P220),ISNUMBER($O220)),"Complete","Missing: Information Sheet (was due 31/05/2026)"))))</f>
        <v/>
      </c>
      <c r="R220" s="52"/>
      <c r="S220" s="82">
        <f>IF(ISNUMBER($R220),$R220+364,IF(ISNUMBER($D220),$D220+364,""))</f>
        <v/>
      </c>
      <c r="T220" s="52"/>
      <c r="U220" s="82">
        <f>IF(ISNUMBER($T220),IF(ISNUMBER($S220),MAX(EDATE($T220,2),$S220),EDATE($T220,2)),"")</f>
        <v/>
      </c>
      <c r="V220" s="52"/>
      <c r="W220" s="52"/>
      <c r="X220" s="121">
        <f>IF(NOT(ISNUMBER($V220)),"",IF(ISNUMBER($W220),IF($W220-$V220&lt;=28,"Answered in time","LATE: answered after day 28"),IF(TODAY()-$V220&gt;28,"OVERDUE: no reply yet","Reply due by "&amp;TEXT($V220+28,"dd/mm/yyyy"))))</f>
        <v/>
      </c>
      <c r="Y220" s="54"/>
    </row>
    <row r="221" spans="1:25">
      <c r="A221" s="54"/>
      <c r="B221" s="54"/>
      <c r="C221" s="51"/>
      <c r="D221" s="52"/>
      <c r="E221" s="120"/>
      <c r="F221" s="120"/>
      <c r="G221" s="52"/>
      <c r="H221" s="52"/>
      <c r="I221" s="52"/>
      <c r="J221" s="121">
        <f>IF(OR($A221="",NOT(ISNUMBER($F221))),"",IF($F221&lt;=0,"No deposit",IF(NOT(ISNUMBER($G221)),"Enter date received",IF(AND(ISNUMBER($H221),ISNUMBER($I221)),IF(MAX($H221,$I221)-$G221&lt;=29,"OK","LATE: protected / info served after day 30"),IF(TODAY()-$G221&gt;29,"OVERDUE: not protected / info not served","Protect + serve info by "&amp;TEXT($G221+29,"dd/mm/yyyy"))))))</f>
        <v/>
      </c>
      <c r="K221" s="97">
        <f>IF(OR(NOT(ISNUMBER($E221)),NOT(ISNUMBER($F221))),"",IF($F221&lt;=$E221*12/52*5,"OK","Over 5 weeks"))</f>
        <v/>
      </c>
      <c r="L221" s="52"/>
      <c r="M221" s="52"/>
      <c r="N221" s="122">
        <f>IF(OR($A221="",NOT(ISNUMBER($L221))),IF($A221="","","Not recorded"),IF(NOT(ISNUMBER($M221)),"Checked (no follow-up)",IF($M221&lt;TODAY(),"OVERDUE: follow-up check",IF($M221-TODAY()&lt;=60,"Follow-up due "&amp;TEXT($M221,"dd/mm/yyyy"),"Checked"))))</f>
        <v/>
      </c>
      <c r="O221" s="52"/>
      <c r="P221" s="52"/>
      <c r="Q221" s="122">
        <f>IF($A221="","",IF(NOT(ISNUMBER($D221)),"Enter start date",IF($D221&gt;=DATE(2026,5,1),IF(ISNUMBER($O221),"Complete","Missing: written terms"),IF(OR(ISNUMBER($P221),ISNUMBER($O221)),"Complete","Missing: Information Sheet (was due 31/05/2026)"))))</f>
        <v/>
      </c>
      <c r="R221" s="52"/>
      <c r="S221" s="82">
        <f>IF(ISNUMBER($R221),$R221+364,IF(ISNUMBER($D221),$D221+364,""))</f>
        <v/>
      </c>
      <c r="T221" s="52"/>
      <c r="U221" s="82">
        <f>IF(ISNUMBER($T221),IF(ISNUMBER($S221),MAX(EDATE($T221,2),$S221),EDATE($T221,2)),"")</f>
        <v/>
      </c>
      <c r="V221" s="52"/>
      <c r="W221" s="52"/>
      <c r="X221" s="121">
        <f>IF(NOT(ISNUMBER($V221)),"",IF(ISNUMBER($W221),IF($W221-$V221&lt;=28,"Answered in time","LATE: answered after day 28"),IF(TODAY()-$V221&gt;28,"OVERDUE: no reply yet","Reply due by "&amp;TEXT($V221+28,"dd/mm/yyyy"))))</f>
        <v/>
      </c>
      <c r="Y221" s="54"/>
    </row>
    <row r="222" spans="1:25">
      <c r="A222" s="54"/>
      <c r="B222" s="54"/>
      <c r="C222" s="51"/>
      <c r="D222" s="52"/>
      <c r="E222" s="120"/>
      <c r="F222" s="120"/>
      <c r="G222" s="52"/>
      <c r="H222" s="52"/>
      <c r="I222" s="52"/>
      <c r="J222" s="121">
        <f>IF(OR($A222="",NOT(ISNUMBER($F222))),"",IF($F222&lt;=0,"No deposit",IF(NOT(ISNUMBER($G222)),"Enter date received",IF(AND(ISNUMBER($H222),ISNUMBER($I222)),IF(MAX($H222,$I222)-$G222&lt;=29,"OK","LATE: protected / info served after day 30"),IF(TODAY()-$G222&gt;29,"OVERDUE: not protected / info not served","Protect + serve info by "&amp;TEXT($G222+29,"dd/mm/yyyy"))))))</f>
        <v/>
      </c>
      <c r="K222" s="97">
        <f>IF(OR(NOT(ISNUMBER($E222)),NOT(ISNUMBER($F222))),"",IF($F222&lt;=$E222*12/52*5,"OK","Over 5 weeks"))</f>
        <v/>
      </c>
      <c r="L222" s="52"/>
      <c r="M222" s="52"/>
      <c r="N222" s="122">
        <f>IF(OR($A222="",NOT(ISNUMBER($L222))),IF($A222="","","Not recorded"),IF(NOT(ISNUMBER($M222)),"Checked (no follow-up)",IF($M222&lt;TODAY(),"OVERDUE: follow-up check",IF($M222-TODAY()&lt;=60,"Follow-up due "&amp;TEXT($M222,"dd/mm/yyyy"),"Checked"))))</f>
        <v/>
      </c>
      <c r="O222" s="52"/>
      <c r="P222" s="52"/>
      <c r="Q222" s="122">
        <f>IF($A222="","",IF(NOT(ISNUMBER($D222)),"Enter start date",IF($D222&gt;=DATE(2026,5,1),IF(ISNUMBER($O222),"Complete","Missing: written terms"),IF(OR(ISNUMBER($P222),ISNUMBER($O222)),"Complete","Missing: Information Sheet (was due 31/05/2026)"))))</f>
        <v/>
      </c>
      <c r="R222" s="52"/>
      <c r="S222" s="82">
        <f>IF(ISNUMBER($R222),$R222+364,IF(ISNUMBER($D222),$D222+364,""))</f>
        <v/>
      </c>
      <c r="T222" s="52"/>
      <c r="U222" s="82">
        <f>IF(ISNUMBER($T222),IF(ISNUMBER($S222),MAX(EDATE($T222,2),$S222),EDATE($T222,2)),"")</f>
        <v/>
      </c>
      <c r="V222" s="52"/>
      <c r="W222" s="52"/>
      <c r="X222" s="121">
        <f>IF(NOT(ISNUMBER($V222)),"",IF(ISNUMBER($W222),IF($W222-$V222&lt;=28,"Answered in time","LATE: answered after day 28"),IF(TODAY()-$V222&gt;28,"OVERDUE: no reply yet","Reply due by "&amp;TEXT($V222+28,"dd/mm/yyyy"))))</f>
        <v/>
      </c>
      <c r="Y222" s="54"/>
    </row>
    <row r="223" spans="1:25">
      <c r="A223" s="54"/>
      <c r="B223" s="54"/>
      <c r="C223" s="51"/>
      <c r="D223" s="52"/>
      <c r="E223" s="120"/>
      <c r="F223" s="120"/>
      <c r="G223" s="52"/>
      <c r="H223" s="52"/>
      <c r="I223" s="52"/>
      <c r="J223" s="121">
        <f>IF(OR($A223="",NOT(ISNUMBER($F223))),"",IF($F223&lt;=0,"No deposit",IF(NOT(ISNUMBER($G223)),"Enter date received",IF(AND(ISNUMBER($H223),ISNUMBER($I223)),IF(MAX($H223,$I223)-$G223&lt;=29,"OK","LATE: protected / info served after day 30"),IF(TODAY()-$G223&gt;29,"OVERDUE: not protected / info not served","Protect + serve info by "&amp;TEXT($G223+29,"dd/mm/yyyy"))))))</f>
        <v/>
      </c>
      <c r="K223" s="97">
        <f>IF(OR(NOT(ISNUMBER($E223)),NOT(ISNUMBER($F223))),"",IF($F223&lt;=$E223*12/52*5,"OK","Over 5 weeks"))</f>
        <v/>
      </c>
      <c r="L223" s="52"/>
      <c r="M223" s="52"/>
      <c r="N223" s="122">
        <f>IF(OR($A223="",NOT(ISNUMBER($L223))),IF($A223="","","Not recorded"),IF(NOT(ISNUMBER($M223)),"Checked (no follow-up)",IF($M223&lt;TODAY(),"OVERDUE: follow-up check",IF($M223-TODAY()&lt;=60,"Follow-up due "&amp;TEXT($M223,"dd/mm/yyyy"),"Checked"))))</f>
        <v/>
      </c>
      <c r="O223" s="52"/>
      <c r="P223" s="52"/>
      <c r="Q223" s="122">
        <f>IF($A223="","",IF(NOT(ISNUMBER($D223)),"Enter start date",IF($D223&gt;=DATE(2026,5,1),IF(ISNUMBER($O223),"Complete","Missing: written terms"),IF(OR(ISNUMBER($P223),ISNUMBER($O223)),"Complete","Missing: Information Sheet (was due 31/05/2026)"))))</f>
        <v/>
      </c>
      <c r="R223" s="52"/>
      <c r="S223" s="82">
        <f>IF(ISNUMBER($R223),$R223+364,IF(ISNUMBER($D223),$D223+364,""))</f>
        <v/>
      </c>
      <c r="T223" s="52"/>
      <c r="U223" s="82">
        <f>IF(ISNUMBER($T223),IF(ISNUMBER($S223),MAX(EDATE($T223,2),$S223),EDATE($T223,2)),"")</f>
        <v/>
      </c>
      <c r="V223" s="52"/>
      <c r="W223" s="52"/>
      <c r="X223" s="121">
        <f>IF(NOT(ISNUMBER($V223)),"",IF(ISNUMBER($W223),IF($W223-$V223&lt;=28,"Answered in time","LATE: answered after day 28"),IF(TODAY()-$V223&gt;28,"OVERDUE: no reply yet","Reply due by "&amp;TEXT($V223+28,"dd/mm/yyyy"))))</f>
        <v/>
      </c>
      <c r="Y223" s="54"/>
    </row>
    <row r="224" spans="1:25">
      <c r="A224" s="54"/>
      <c r="B224" s="54"/>
      <c r="C224" s="51"/>
      <c r="D224" s="52"/>
      <c r="E224" s="120"/>
      <c r="F224" s="120"/>
      <c r="G224" s="52"/>
      <c r="H224" s="52"/>
      <c r="I224" s="52"/>
      <c r="J224" s="121">
        <f>IF(OR($A224="",NOT(ISNUMBER($F224))),"",IF($F224&lt;=0,"No deposit",IF(NOT(ISNUMBER($G224)),"Enter date received",IF(AND(ISNUMBER($H224),ISNUMBER($I224)),IF(MAX($H224,$I224)-$G224&lt;=29,"OK","LATE: protected / info served after day 30"),IF(TODAY()-$G224&gt;29,"OVERDUE: not protected / info not served","Protect + serve info by "&amp;TEXT($G224+29,"dd/mm/yyyy"))))))</f>
        <v/>
      </c>
      <c r="K224" s="97">
        <f>IF(OR(NOT(ISNUMBER($E224)),NOT(ISNUMBER($F224))),"",IF($F224&lt;=$E224*12/52*5,"OK","Over 5 weeks"))</f>
        <v/>
      </c>
      <c r="L224" s="52"/>
      <c r="M224" s="52"/>
      <c r="N224" s="122">
        <f>IF(OR($A224="",NOT(ISNUMBER($L224))),IF($A224="","","Not recorded"),IF(NOT(ISNUMBER($M224)),"Checked (no follow-up)",IF($M224&lt;TODAY(),"OVERDUE: follow-up check",IF($M224-TODAY()&lt;=60,"Follow-up due "&amp;TEXT($M224,"dd/mm/yyyy"),"Checked"))))</f>
        <v/>
      </c>
      <c r="O224" s="52"/>
      <c r="P224" s="52"/>
      <c r="Q224" s="122">
        <f>IF($A224="","",IF(NOT(ISNUMBER($D224)),"Enter start date",IF($D224&gt;=DATE(2026,5,1),IF(ISNUMBER($O224),"Complete","Missing: written terms"),IF(OR(ISNUMBER($P224),ISNUMBER($O224)),"Complete","Missing: Information Sheet (was due 31/05/2026)"))))</f>
        <v/>
      </c>
      <c r="R224" s="52"/>
      <c r="S224" s="82">
        <f>IF(ISNUMBER($R224),$R224+364,IF(ISNUMBER($D224),$D224+364,""))</f>
        <v/>
      </c>
      <c r="T224" s="52"/>
      <c r="U224" s="82">
        <f>IF(ISNUMBER($T224),IF(ISNUMBER($S224),MAX(EDATE($T224,2),$S224),EDATE($T224,2)),"")</f>
        <v/>
      </c>
      <c r="V224" s="52"/>
      <c r="W224" s="52"/>
      <c r="X224" s="121">
        <f>IF(NOT(ISNUMBER($V224)),"",IF(ISNUMBER($W224),IF($W224-$V224&lt;=28,"Answered in time","LATE: answered after day 28"),IF(TODAY()-$V224&gt;28,"OVERDUE: no reply yet","Reply due by "&amp;TEXT($V224+28,"dd/mm/yyyy"))))</f>
        <v/>
      </c>
      <c r="Y224" s="54"/>
    </row>
    <row r="225" spans="1:25">
      <c r="A225" s="54"/>
      <c r="B225" s="54"/>
      <c r="C225" s="51"/>
      <c r="D225" s="52"/>
      <c r="E225" s="120"/>
      <c r="F225" s="120"/>
      <c r="G225" s="52"/>
      <c r="H225" s="52"/>
      <c r="I225" s="52"/>
      <c r="J225" s="121">
        <f>IF(OR($A225="",NOT(ISNUMBER($F225))),"",IF($F225&lt;=0,"No deposit",IF(NOT(ISNUMBER($G225)),"Enter date received",IF(AND(ISNUMBER($H225),ISNUMBER($I225)),IF(MAX($H225,$I225)-$G225&lt;=29,"OK","LATE: protected / info served after day 30"),IF(TODAY()-$G225&gt;29,"OVERDUE: not protected / info not served","Protect + serve info by "&amp;TEXT($G225+29,"dd/mm/yyyy"))))))</f>
        <v/>
      </c>
      <c r="K225" s="97">
        <f>IF(OR(NOT(ISNUMBER($E225)),NOT(ISNUMBER($F225))),"",IF($F225&lt;=$E225*12/52*5,"OK","Over 5 weeks"))</f>
        <v/>
      </c>
      <c r="L225" s="52"/>
      <c r="M225" s="52"/>
      <c r="N225" s="122">
        <f>IF(OR($A225="",NOT(ISNUMBER($L225))),IF($A225="","","Not recorded"),IF(NOT(ISNUMBER($M225)),"Checked (no follow-up)",IF($M225&lt;TODAY(),"OVERDUE: follow-up check",IF($M225-TODAY()&lt;=60,"Follow-up due "&amp;TEXT($M225,"dd/mm/yyyy"),"Checked"))))</f>
        <v/>
      </c>
      <c r="O225" s="52"/>
      <c r="P225" s="52"/>
      <c r="Q225" s="122">
        <f>IF($A225="","",IF(NOT(ISNUMBER($D225)),"Enter start date",IF($D225&gt;=DATE(2026,5,1),IF(ISNUMBER($O225),"Complete","Missing: written terms"),IF(OR(ISNUMBER($P225),ISNUMBER($O225)),"Complete","Missing: Information Sheet (was due 31/05/2026)"))))</f>
        <v/>
      </c>
      <c r="R225" s="52"/>
      <c r="S225" s="82">
        <f>IF(ISNUMBER($R225),$R225+364,IF(ISNUMBER($D225),$D225+364,""))</f>
        <v/>
      </c>
      <c r="T225" s="52"/>
      <c r="U225" s="82">
        <f>IF(ISNUMBER($T225),IF(ISNUMBER($S225),MAX(EDATE($T225,2),$S225),EDATE($T225,2)),"")</f>
        <v/>
      </c>
      <c r="V225" s="52"/>
      <c r="W225" s="52"/>
      <c r="X225" s="121">
        <f>IF(NOT(ISNUMBER($V225)),"",IF(ISNUMBER($W225),IF($W225-$V225&lt;=28,"Answered in time","LATE: answered after day 28"),IF(TODAY()-$V225&gt;28,"OVERDUE: no reply yet","Reply due by "&amp;TEXT($V225+28,"dd/mm/yyyy"))))</f>
        <v/>
      </c>
      <c r="Y225" s="54"/>
    </row>
    <row r="226" spans="1:25">
      <c r="A226" s="54"/>
      <c r="B226" s="54"/>
      <c r="C226" s="51"/>
      <c r="D226" s="52"/>
      <c r="E226" s="120"/>
      <c r="F226" s="120"/>
      <c r="G226" s="52"/>
      <c r="H226" s="52"/>
      <c r="I226" s="52"/>
      <c r="J226" s="121">
        <f>IF(OR($A226="",NOT(ISNUMBER($F226))),"",IF($F226&lt;=0,"No deposit",IF(NOT(ISNUMBER($G226)),"Enter date received",IF(AND(ISNUMBER($H226),ISNUMBER($I226)),IF(MAX($H226,$I226)-$G226&lt;=29,"OK","LATE: protected / info served after day 30"),IF(TODAY()-$G226&gt;29,"OVERDUE: not protected / info not served","Protect + serve info by "&amp;TEXT($G226+29,"dd/mm/yyyy"))))))</f>
        <v/>
      </c>
      <c r="K226" s="97">
        <f>IF(OR(NOT(ISNUMBER($E226)),NOT(ISNUMBER($F226))),"",IF($F226&lt;=$E226*12/52*5,"OK","Over 5 weeks"))</f>
        <v/>
      </c>
      <c r="L226" s="52"/>
      <c r="M226" s="52"/>
      <c r="N226" s="122">
        <f>IF(OR($A226="",NOT(ISNUMBER($L226))),IF($A226="","","Not recorded"),IF(NOT(ISNUMBER($M226)),"Checked (no follow-up)",IF($M226&lt;TODAY(),"OVERDUE: follow-up check",IF($M226-TODAY()&lt;=60,"Follow-up due "&amp;TEXT($M226,"dd/mm/yyyy"),"Checked"))))</f>
        <v/>
      </c>
      <c r="O226" s="52"/>
      <c r="P226" s="52"/>
      <c r="Q226" s="122">
        <f>IF($A226="","",IF(NOT(ISNUMBER($D226)),"Enter start date",IF($D226&gt;=DATE(2026,5,1),IF(ISNUMBER($O226),"Complete","Missing: written terms"),IF(OR(ISNUMBER($P226),ISNUMBER($O226)),"Complete","Missing: Information Sheet (was due 31/05/2026)"))))</f>
        <v/>
      </c>
      <c r="R226" s="52"/>
      <c r="S226" s="82">
        <f>IF(ISNUMBER($R226),$R226+364,IF(ISNUMBER($D226),$D226+364,""))</f>
        <v/>
      </c>
      <c r="T226" s="52"/>
      <c r="U226" s="82">
        <f>IF(ISNUMBER($T226),IF(ISNUMBER($S226),MAX(EDATE($T226,2),$S226),EDATE($T226,2)),"")</f>
        <v/>
      </c>
      <c r="V226" s="52"/>
      <c r="W226" s="52"/>
      <c r="X226" s="121">
        <f>IF(NOT(ISNUMBER($V226)),"",IF(ISNUMBER($W226),IF($W226-$V226&lt;=28,"Answered in time","LATE: answered after day 28"),IF(TODAY()-$V226&gt;28,"OVERDUE: no reply yet","Reply due by "&amp;TEXT($V226+28,"dd/mm/yyyy"))))</f>
        <v/>
      </c>
      <c r="Y226" s="54"/>
    </row>
    <row r="227" spans="1:25">
      <c r="A227" s="54"/>
      <c r="B227" s="54"/>
      <c r="C227" s="51"/>
      <c r="D227" s="52"/>
      <c r="E227" s="120"/>
      <c r="F227" s="120"/>
      <c r="G227" s="52"/>
      <c r="H227" s="52"/>
      <c r="I227" s="52"/>
      <c r="J227" s="121">
        <f>IF(OR($A227="",NOT(ISNUMBER($F227))),"",IF($F227&lt;=0,"No deposit",IF(NOT(ISNUMBER($G227)),"Enter date received",IF(AND(ISNUMBER($H227),ISNUMBER($I227)),IF(MAX($H227,$I227)-$G227&lt;=29,"OK","LATE: protected / info served after day 30"),IF(TODAY()-$G227&gt;29,"OVERDUE: not protected / info not served","Protect + serve info by "&amp;TEXT($G227+29,"dd/mm/yyyy"))))))</f>
        <v/>
      </c>
      <c r="K227" s="97">
        <f>IF(OR(NOT(ISNUMBER($E227)),NOT(ISNUMBER($F227))),"",IF($F227&lt;=$E227*12/52*5,"OK","Over 5 weeks"))</f>
        <v/>
      </c>
      <c r="L227" s="52"/>
      <c r="M227" s="52"/>
      <c r="N227" s="122">
        <f>IF(OR($A227="",NOT(ISNUMBER($L227))),IF($A227="","","Not recorded"),IF(NOT(ISNUMBER($M227)),"Checked (no follow-up)",IF($M227&lt;TODAY(),"OVERDUE: follow-up check",IF($M227-TODAY()&lt;=60,"Follow-up due "&amp;TEXT($M227,"dd/mm/yyyy"),"Checked"))))</f>
        <v/>
      </c>
      <c r="O227" s="52"/>
      <c r="P227" s="52"/>
      <c r="Q227" s="122">
        <f>IF($A227="","",IF(NOT(ISNUMBER($D227)),"Enter start date",IF($D227&gt;=DATE(2026,5,1),IF(ISNUMBER($O227),"Complete","Missing: written terms"),IF(OR(ISNUMBER($P227),ISNUMBER($O227)),"Complete","Missing: Information Sheet (was due 31/05/2026)"))))</f>
        <v/>
      </c>
      <c r="R227" s="52"/>
      <c r="S227" s="82">
        <f>IF(ISNUMBER($R227),$R227+364,IF(ISNUMBER($D227),$D227+364,""))</f>
        <v/>
      </c>
      <c r="T227" s="52"/>
      <c r="U227" s="82">
        <f>IF(ISNUMBER($T227),IF(ISNUMBER($S227),MAX(EDATE($T227,2),$S227),EDATE($T227,2)),"")</f>
        <v/>
      </c>
      <c r="V227" s="52"/>
      <c r="W227" s="52"/>
      <c r="X227" s="121">
        <f>IF(NOT(ISNUMBER($V227)),"",IF(ISNUMBER($W227),IF($W227-$V227&lt;=28,"Answered in time","LATE: answered after day 28"),IF(TODAY()-$V227&gt;28,"OVERDUE: no reply yet","Reply due by "&amp;TEXT($V227+28,"dd/mm/yyyy"))))</f>
        <v/>
      </c>
      <c r="Y227" s="54"/>
    </row>
    <row r="228" spans="1:25">
      <c r="A228" s="54"/>
      <c r="B228" s="54"/>
      <c r="C228" s="51"/>
      <c r="D228" s="52"/>
      <c r="E228" s="120"/>
      <c r="F228" s="120"/>
      <c r="G228" s="52"/>
      <c r="H228" s="52"/>
      <c r="I228" s="52"/>
      <c r="J228" s="121">
        <f>IF(OR($A228="",NOT(ISNUMBER($F228))),"",IF($F228&lt;=0,"No deposit",IF(NOT(ISNUMBER($G228)),"Enter date received",IF(AND(ISNUMBER($H228),ISNUMBER($I228)),IF(MAX($H228,$I228)-$G228&lt;=29,"OK","LATE: protected / info served after day 30"),IF(TODAY()-$G228&gt;29,"OVERDUE: not protected / info not served","Protect + serve info by "&amp;TEXT($G228+29,"dd/mm/yyyy"))))))</f>
        <v/>
      </c>
      <c r="K228" s="97">
        <f>IF(OR(NOT(ISNUMBER($E228)),NOT(ISNUMBER($F228))),"",IF($F228&lt;=$E228*12/52*5,"OK","Over 5 weeks"))</f>
        <v/>
      </c>
      <c r="L228" s="52"/>
      <c r="M228" s="52"/>
      <c r="N228" s="122">
        <f>IF(OR($A228="",NOT(ISNUMBER($L228))),IF($A228="","","Not recorded"),IF(NOT(ISNUMBER($M228)),"Checked (no follow-up)",IF($M228&lt;TODAY(),"OVERDUE: follow-up check",IF($M228-TODAY()&lt;=60,"Follow-up due "&amp;TEXT($M228,"dd/mm/yyyy"),"Checked"))))</f>
        <v/>
      </c>
      <c r="O228" s="52"/>
      <c r="P228" s="52"/>
      <c r="Q228" s="122">
        <f>IF($A228="","",IF(NOT(ISNUMBER($D228)),"Enter start date",IF($D228&gt;=DATE(2026,5,1),IF(ISNUMBER($O228),"Complete","Missing: written terms"),IF(OR(ISNUMBER($P228),ISNUMBER($O228)),"Complete","Missing: Information Sheet (was due 31/05/2026)"))))</f>
        <v/>
      </c>
      <c r="R228" s="52"/>
      <c r="S228" s="82">
        <f>IF(ISNUMBER($R228),$R228+364,IF(ISNUMBER($D228),$D228+364,""))</f>
        <v/>
      </c>
      <c r="T228" s="52"/>
      <c r="U228" s="82">
        <f>IF(ISNUMBER($T228),IF(ISNUMBER($S228),MAX(EDATE($T228,2),$S228),EDATE($T228,2)),"")</f>
        <v/>
      </c>
      <c r="V228" s="52"/>
      <c r="W228" s="52"/>
      <c r="X228" s="121">
        <f>IF(NOT(ISNUMBER($V228)),"",IF(ISNUMBER($W228),IF($W228-$V228&lt;=28,"Answered in time","LATE: answered after day 28"),IF(TODAY()-$V228&gt;28,"OVERDUE: no reply yet","Reply due by "&amp;TEXT($V228+28,"dd/mm/yyyy"))))</f>
        <v/>
      </c>
      <c r="Y228" s="54"/>
    </row>
    <row r="229" spans="1:25">
      <c r="A229" s="54"/>
      <c r="B229" s="54"/>
      <c r="C229" s="51"/>
      <c r="D229" s="52"/>
      <c r="E229" s="120"/>
      <c r="F229" s="120"/>
      <c r="G229" s="52"/>
      <c r="H229" s="52"/>
      <c r="I229" s="52"/>
      <c r="J229" s="121">
        <f>IF(OR($A229="",NOT(ISNUMBER($F229))),"",IF($F229&lt;=0,"No deposit",IF(NOT(ISNUMBER($G229)),"Enter date received",IF(AND(ISNUMBER($H229),ISNUMBER($I229)),IF(MAX($H229,$I229)-$G229&lt;=29,"OK","LATE: protected / info served after day 30"),IF(TODAY()-$G229&gt;29,"OVERDUE: not protected / info not served","Protect + serve info by "&amp;TEXT($G229+29,"dd/mm/yyyy"))))))</f>
        <v/>
      </c>
      <c r="K229" s="97">
        <f>IF(OR(NOT(ISNUMBER($E229)),NOT(ISNUMBER($F229))),"",IF($F229&lt;=$E229*12/52*5,"OK","Over 5 weeks"))</f>
        <v/>
      </c>
      <c r="L229" s="52"/>
      <c r="M229" s="52"/>
      <c r="N229" s="122">
        <f>IF(OR($A229="",NOT(ISNUMBER($L229))),IF($A229="","","Not recorded"),IF(NOT(ISNUMBER($M229)),"Checked (no follow-up)",IF($M229&lt;TODAY(),"OVERDUE: follow-up check",IF($M229-TODAY()&lt;=60,"Follow-up due "&amp;TEXT($M229,"dd/mm/yyyy"),"Checked"))))</f>
        <v/>
      </c>
      <c r="O229" s="52"/>
      <c r="P229" s="52"/>
      <c r="Q229" s="122">
        <f>IF($A229="","",IF(NOT(ISNUMBER($D229)),"Enter start date",IF($D229&gt;=DATE(2026,5,1),IF(ISNUMBER($O229),"Complete","Missing: written terms"),IF(OR(ISNUMBER($P229),ISNUMBER($O229)),"Complete","Missing: Information Sheet (was due 31/05/2026)"))))</f>
        <v/>
      </c>
      <c r="R229" s="52"/>
      <c r="S229" s="82">
        <f>IF(ISNUMBER($R229),$R229+364,IF(ISNUMBER($D229),$D229+364,""))</f>
        <v/>
      </c>
      <c r="T229" s="52"/>
      <c r="U229" s="82">
        <f>IF(ISNUMBER($T229),IF(ISNUMBER($S229),MAX(EDATE($T229,2),$S229),EDATE($T229,2)),"")</f>
        <v/>
      </c>
      <c r="V229" s="52"/>
      <c r="W229" s="52"/>
      <c r="X229" s="121">
        <f>IF(NOT(ISNUMBER($V229)),"",IF(ISNUMBER($W229),IF($W229-$V229&lt;=28,"Answered in time","LATE: answered after day 28"),IF(TODAY()-$V229&gt;28,"OVERDUE: no reply yet","Reply due by "&amp;TEXT($V229+28,"dd/mm/yyyy"))))</f>
        <v/>
      </c>
      <c r="Y229" s="54"/>
    </row>
    <row r="230" spans="1:25">
      <c r="A230" s="54"/>
      <c r="B230" s="54"/>
      <c r="C230" s="51"/>
      <c r="D230" s="52"/>
      <c r="E230" s="120"/>
      <c r="F230" s="120"/>
      <c r="G230" s="52"/>
      <c r="H230" s="52"/>
      <c r="I230" s="52"/>
      <c r="J230" s="121">
        <f>IF(OR($A230="",NOT(ISNUMBER($F230))),"",IF($F230&lt;=0,"No deposit",IF(NOT(ISNUMBER($G230)),"Enter date received",IF(AND(ISNUMBER($H230),ISNUMBER($I230)),IF(MAX($H230,$I230)-$G230&lt;=29,"OK","LATE: protected / info served after day 30"),IF(TODAY()-$G230&gt;29,"OVERDUE: not protected / info not served","Protect + serve info by "&amp;TEXT($G230+29,"dd/mm/yyyy"))))))</f>
        <v/>
      </c>
      <c r="K230" s="97">
        <f>IF(OR(NOT(ISNUMBER($E230)),NOT(ISNUMBER($F230))),"",IF($F230&lt;=$E230*12/52*5,"OK","Over 5 weeks"))</f>
        <v/>
      </c>
      <c r="L230" s="52"/>
      <c r="M230" s="52"/>
      <c r="N230" s="122">
        <f>IF(OR($A230="",NOT(ISNUMBER($L230))),IF($A230="","","Not recorded"),IF(NOT(ISNUMBER($M230)),"Checked (no follow-up)",IF($M230&lt;TODAY(),"OVERDUE: follow-up check",IF($M230-TODAY()&lt;=60,"Follow-up due "&amp;TEXT($M230,"dd/mm/yyyy"),"Checked"))))</f>
        <v/>
      </c>
      <c r="O230" s="52"/>
      <c r="P230" s="52"/>
      <c r="Q230" s="122">
        <f>IF($A230="","",IF(NOT(ISNUMBER($D230)),"Enter start date",IF($D230&gt;=DATE(2026,5,1),IF(ISNUMBER($O230),"Complete","Missing: written terms"),IF(OR(ISNUMBER($P230),ISNUMBER($O230)),"Complete","Missing: Information Sheet (was due 31/05/2026)"))))</f>
        <v/>
      </c>
      <c r="R230" s="52"/>
      <c r="S230" s="82">
        <f>IF(ISNUMBER($R230),$R230+364,IF(ISNUMBER($D230),$D230+364,""))</f>
        <v/>
      </c>
      <c r="T230" s="52"/>
      <c r="U230" s="82">
        <f>IF(ISNUMBER($T230),IF(ISNUMBER($S230),MAX(EDATE($T230,2),$S230),EDATE($T230,2)),"")</f>
        <v/>
      </c>
      <c r="V230" s="52"/>
      <c r="W230" s="52"/>
      <c r="X230" s="121">
        <f>IF(NOT(ISNUMBER($V230)),"",IF(ISNUMBER($W230),IF($W230-$V230&lt;=28,"Answered in time","LATE: answered after day 28"),IF(TODAY()-$V230&gt;28,"OVERDUE: no reply yet","Reply due by "&amp;TEXT($V230+28,"dd/mm/yyyy"))))</f>
        <v/>
      </c>
      <c r="Y230" s="54"/>
    </row>
    <row r="231" spans="1:25">
      <c r="A231" s="54"/>
      <c r="B231" s="54"/>
      <c r="C231" s="51"/>
      <c r="D231" s="52"/>
      <c r="E231" s="120"/>
      <c r="F231" s="120"/>
      <c r="G231" s="52"/>
      <c r="H231" s="52"/>
      <c r="I231" s="52"/>
      <c r="J231" s="121">
        <f>IF(OR($A231="",NOT(ISNUMBER($F231))),"",IF($F231&lt;=0,"No deposit",IF(NOT(ISNUMBER($G231)),"Enter date received",IF(AND(ISNUMBER($H231),ISNUMBER($I231)),IF(MAX($H231,$I231)-$G231&lt;=29,"OK","LATE: protected / info served after day 30"),IF(TODAY()-$G231&gt;29,"OVERDUE: not protected / info not served","Protect + serve info by "&amp;TEXT($G231+29,"dd/mm/yyyy"))))))</f>
        <v/>
      </c>
      <c r="K231" s="97">
        <f>IF(OR(NOT(ISNUMBER($E231)),NOT(ISNUMBER($F231))),"",IF($F231&lt;=$E231*12/52*5,"OK","Over 5 weeks"))</f>
        <v/>
      </c>
      <c r="L231" s="52"/>
      <c r="M231" s="52"/>
      <c r="N231" s="122">
        <f>IF(OR($A231="",NOT(ISNUMBER($L231))),IF($A231="","","Not recorded"),IF(NOT(ISNUMBER($M231)),"Checked (no follow-up)",IF($M231&lt;TODAY(),"OVERDUE: follow-up check",IF($M231-TODAY()&lt;=60,"Follow-up due "&amp;TEXT($M231,"dd/mm/yyyy"),"Checked"))))</f>
        <v/>
      </c>
      <c r="O231" s="52"/>
      <c r="P231" s="52"/>
      <c r="Q231" s="122">
        <f>IF($A231="","",IF(NOT(ISNUMBER($D231)),"Enter start date",IF($D231&gt;=DATE(2026,5,1),IF(ISNUMBER($O231),"Complete","Missing: written terms"),IF(OR(ISNUMBER($P231),ISNUMBER($O231)),"Complete","Missing: Information Sheet (was due 31/05/2026)"))))</f>
        <v/>
      </c>
      <c r="R231" s="52"/>
      <c r="S231" s="82">
        <f>IF(ISNUMBER($R231),$R231+364,IF(ISNUMBER($D231),$D231+364,""))</f>
        <v/>
      </c>
      <c r="T231" s="52"/>
      <c r="U231" s="82">
        <f>IF(ISNUMBER($T231),IF(ISNUMBER($S231),MAX(EDATE($T231,2),$S231),EDATE($T231,2)),"")</f>
        <v/>
      </c>
      <c r="V231" s="52"/>
      <c r="W231" s="52"/>
      <c r="X231" s="121">
        <f>IF(NOT(ISNUMBER($V231)),"",IF(ISNUMBER($W231),IF($W231-$V231&lt;=28,"Answered in time","LATE: answered after day 28"),IF(TODAY()-$V231&gt;28,"OVERDUE: no reply yet","Reply due by "&amp;TEXT($V231+28,"dd/mm/yyyy"))))</f>
        <v/>
      </c>
      <c r="Y231" s="54"/>
    </row>
    <row r="232" spans="1:25">
      <c r="A232" s="54"/>
      <c r="B232" s="54"/>
      <c r="C232" s="51"/>
      <c r="D232" s="52"/>
      <c r="E232" s="120"/>
      <c r="F232" s="120"/>
      <c r="G232" s="52"/>
      <c r="H232" s="52"/>
      <c r="I232" s="52"/>
      <c r="J232" s="121">
        <f>IF(OR($A232="",NOT(ISNUMBER($F232))),"",IF($F232&lt;=0,"No deposit",IF(NOT(ISNUMBER($G232)),"Enter date received",IF(AND(ISNUMBER($H232),ISNUMBER($I232)),IF(MAX($H232,$I232)-$G232&lt;=29,"OK","LATE: protected / info served after day 30"),IF(TODAY()-$G232&gt;29,"OVERDUE: not protected / info not served","Protect + serve info by "&amp;TEXT($G232+29,"dd/mm/yyyy"))))))</f>
        <v/>
      </c>
      <c r="K232" s="97">
        <f>IF(OR(NOT(ISNUMBER($E232)),NOT(ISNUMBER($F232))),"",IF($F232&lt;=$E232*12/52*5,"OK","Over 5 weeks"))</f>
        <v/>
      </c>
      <c r="L232" s="52"/>
      <c r="M232" s="52"/>
      <c r="N232" s="122">
        <f>IF(OR($A232="",NOT(ISNUMBER($L232))),IF($A232="","","Not recorded"),IF(NOT(ISNUMBER($M232)),"Checked (no follow-up)",IF($M232&lt;TODAY(),"OVERDUE: follow-up check",IF($M232-TODAY()&lt;=60,"Follow-up due "&amp;TEXT($M232,"dd/mm/yyyy"),"Checked"))))</f>
        <v/>
      </c>
      <c r="O232" s="52"/>
      <c r="P232" s="52"/>
      <c r="Q232" s="122">
        <f>IF($A232="","",IF(NOT(ISNUMBER($D232)),"Enter start date",IF($D232&gt;=DATE(2026,5,1),IF(ISNUMBER($O232),"Complete","Missing: written terms"),IF(OR(ISNUMBER($P232),ISNUMBER($O232)),"Complete","Missing: Information Sheet (was due 31/05/2026)"))))</f>
        <v/>
      </c>
      <c r="R232" s="52"/>
      <c r="S232" s="82">
        <f>IF(ISNUMBER($R232),$R232+364,IF(ISNUMBER($D232),$D232+364,""))</f>
        <v/>
      </c>
      <c r="T232" s="52"/>
      <c r="U232" s="82">
        <f>IF(ISNUMBER($T232),IF(ISNUMBER($S232),MAX(EDATE($T232,2),$S232),EDATE($T232,2)),"")</f>
        <v/>
      </c>
      <c r="V232" s="52"/>
      <c r="W232" s="52"/>
      <c r="X232" s="121">
        <f>IF(NOT(ISNUMBER($V232)),"",IF(ISNUMBER($W232),IF($W232-$V232&lt;=28,"Answered in time","LATE: answered after day 28"),IF(TODAY()-$V232&gt;28,"OVERDUE: no reply yet","Reply due by "&amp;TEXT($V232+28,"dd/mm/yyyy"))))</f>
        <v/>
      </c>
      <c r="Y232" s="54"/>
    </row>
    <row r="233" spans="1:25">
      <c r="A233" s="54"/>
      <c r="B233" s="54"/>
      <c r="C233" s="51"/>
      <c r="D233" s="52"/>
      <c r="E233" s="120"/>
      <c r="F233" s="120"/>
      <c r="G233" s="52"/>
      <c r="H233" s="52"/>
      <c r="I233" s="52"/>
      <c r="J233" s="121">
        <f>IF(OR($A233="",NOT(ISNUMBER($F233))),"",IF($F233&lt;=0,"No deposit",IF(NOT(ISNUMBER($G233)),"Enter date received",IF(AND(ISNUMBER($H233),ISNUMBER($I233)),IF(MAX($H233,$I233)-$G233&lt;=29,"OK","LATE: protected / info served after day 30"),IF(TODAY()-$G233&gt;29,"OVERDUE: not protected / info not served","Protect + serve info by "&amp;TEXT($G233+29,"dd/mm/yyyy"))))))</f>
        <v/>
      </c>
      <c r="K233" s="97">
        <f>IF(OR(NOT(ISNUMBER($E233)),NOT(ISNUMBER($F233))),"",IF($F233&lt;=$E233*12/52*5,"OK","Over 5 weeks"))</f>
        <v/>
      </c>
      <c r="L233" s="52"/>
      <c r="M233" s="52"/>
      <c r="N233" s="122">
        <f>IF(OR($A233="",NOT(ISNUMBER($L233))),IF($A233="","","Not recorded"),IF(NOT(ISNUMBER($M233)),"Checked (no follow-up)",IF($M233&lt;TODAY(),"OVERDUE: follow-up check",IF($M233-TODAY()&lt;=60,"Follow-up due "&amp;TEXT($M233,"dd/mm/yyyy"),"Checked"))))</f>
        <v/>
      </c>
      <c r="O233" s="52"/>
      <c r="P233" s="52"/>
      <c r="Q233" s="122">
        <f>IF($A233="","",IF(NOT(ISNUMBER($D233)),"Enter start date",IF($D233&gt;=DATE(2026,5,1),IF(ISNUMBER($O233),"Complete","Missing: written terms"),IF(OR(ISNUMBER($P233),ISNUMBER($O233)),"Complete","Missing: Information Sheet (was due 31/05/2026)"))))</f>
        <v/>
      </c>
      <c r="R233" s="52"/>
      <c r="S233" s="82">
        <f>IF(ISNUMBER($R233),$R233+364,IF(ISNUMBER($D233),$D233+364,""))</f>
        <v/>
      </c>
      <c r="T233" s="52"/>
      <c r="U233" s="82">
        <f>IF(ISNUMBER($T233),IF(ISNUMBER($S233),MAX(EDATE($T233,2),$S233),EDATE($T233,2)),"")</f>
        <v/>
      </c>
      <c r="V233" s="52"/>
      <c r="W233" s="52"/>
      <c r="X233" s="121">
        <f>IF(NOT(ISNUMBER($V233)),"",IF(ISNUMBER($W233),IF($W233-$V233&lt;=28,"Answered in time","LATE: answered after day 28"),IF(TODAY()-$V233&gt;28,"OVERDUE: no reply yet","Reply due by "&amp;TEXT($V233+28,"dd/mm/yyyy"))))</f>
        <v/>
      </c>
      <c r="Y233" s="54"/>
    </row>
    <row r="234" spans="1:25">
      <c r="A234" s="54"/>
      <c r="B234" s="54"/>
      <c r="C234" s="51"/>
      <c r="D234" s="52"/>
      <c r="E234" s="120"/>
      <c r="F234" s="120"/>
      <c r="G234" s="52"/>
      <c r="H234" s="52"/>
      <c r="I234" s="52"/>
      <c r="J234" s="121">
        <f>IF(OR($A234="",NOT(ISNUMBER($F234))),"",IF($F234&lt;=0,"No deposit",IF(NOT(ISNUMBER($G234)),"Enter date received",IF(AND(ISNUMBER($H234),ISNUMBER($I234)),IF(MAX($H234,$I234)-$G234&lt;=29,"OK","LATE: protected / info served after day 30"),IF(TODAY()-$G234&gt;29,"OVERDUE: not protected / info not served","Protect + serve info by "&amp;TEXT($G234+29,"dd/mm/yyyy"))))))</f>
        <v/>
      </c>
      <c r="K234" s="97">
        <f>IF(OR(NOT(ISNUMBER($E234)),NOT(ISNUMBER($F234))),"",IF($F234&lt;=$E234*12/52*5,"OK","Over 5 weeks"))</f>
        <v/>
      </c>
      <c r="L234" s="52"/>
      <c r="M234" s="52"/>
      <c r="N234" s="122">
        <f>IF(OR($A234="",NOT(ISNUMBER($L234))),IF($A234="","","Not recorded"),IF(NOT(ISNUMBER($M234)),"Checked (no follow-up)",IF($M234&lt;TODAY(),"OVERDUE: follow-up check",IF($M234-TODAY()&lt;=60,"Follow-up due "&amp;TEXT($M234,"dd/mm/yyyy"),"Checked"))))</f>
        <v/>
      </c>
      <c r="O234" s="52"/>
      <c r="P234" s="52"/>
      <c r="Q234" s="122">
        <f>IF($A234="","",IF(NOT(ISNUMBER($D234)),"Enter start date",IF($D234&gt;=DATE(2026,5,1),IF(ISNUMBER($O234),"Complete","Missing: written terms"),IF(OR(ISNUMBER($P234),ISNUMBER($O234)),"Complete","Missing: Information Sheet (was due 31/05/2026)"))))</f>
        <v/>
      </c>
      <c r="R234" s="52"/>
      <c r="S234" s="82">
        <f>IF(ISNUMBER($R234),$R234+364,IF(ISNUMBER($D234),$D234+364,""))</f>
        <v/>
      </c>
      <c r="T234" s="52"/>
      <c r="U234" s="82">
        <f>IF(ISNUMBER($T234),IF(ISNUMBER($S234),MAX(EDATE($T234,2),$S234),EDATE($T234,2)),"")</f>
        <v/>
      </c>
      <c r="V234" s="52"/>
      <c r="W234" s="52"/>
      <c r="X234" s="121">
        <f>IF(NOT(ISNUMBER($V234)),"",IF(ISNUMBER($W234),IF($W234-$V234&lt;=28,"Answered in time","LATE: answered after day 28"),IF(TODAY()-$V234&gt;28,"OVERDUE: no reply yet","Reply due by "&amp;TEXT($V234+28,"dd/mm/yyyy"))))</f>
        <v/>
      </c>
      <c r="Y234" s="54"/>
    </row>
    <row r="235" spans="1:25">
      <c r="A235" s="54"/>
      <c r="B235" s="54"/>
      <c r="C235" s="51"/>
      <c r="D235" s="52"/>
      <c r="E235" s="120"/>
      <c r="F235" s="120"/>
      <c r="G235" s="52"/>
      <c r="H235" s="52"/>
      <c r="I235" s="52"/>
      <c r="J235" s="121">
        <f>IF(OR($A235="",NOT(ISNUMBER($F235))),"",IF($F235&lt;=0,"No deposit",IF(NOT(ISNUMBER($G235)),"Enter date received",IF(AND(ISNUMBER($H235),ISNUMBER($I235)),IF(MAX($H235,$I235)-$G235&lt;=29,"OK","LATE: protected / info served after day 30"),IF(TODAY()-$G235&gt;29,"OVERDUE: not protected / info not served","Protect + serve info by "&amp;TEXT($G235+29,"dd/mm/yyyy"))))))</f>
        <v/>
      </c>
      <c r="K235" s="97">
        <f>IF(OR(NOT(ISNUMBER($E235)),NOT(ISNUMBER($F235))),"",IF($F235&lt;=$E235*12/52*5,"OK","Over 5 weeks"))</f>
        <v/>
      </c>
      <c r="L235" s="52"/>
      <c r="M235" s="52"/>
      <c r="N235" s="122">
        <f>IF(OR($A235="",NOT(ISNUMBER($L235))),IF($A235="","","Not recorded"),IF(NOT(ISNUMBER($M235)),"Checked (no follow-up)",IF($M235&lt;TODAY(),"OVERDUE: follow-up check",IF($M235-TODAY()&lt;=60,"Follow-up due "&amp;TEXT($M235,"dd/mm/yyyy"),"Checked"))))</f>
        <v/>
      </c>
      <c r="O235" s="52"/>
      <c r="P235" s="52"/>
      <c r="Q235" s="122">
        <f>IF($A235="","",IF(NOT(ISNUMBER($D235)),"Enter start date",IF($D235&gt;=DATE(2026,5,1),IF(ISNUMBER($O235),"Complete","Missing: written terms"),IF(OR(ISNUMBER($P235),ISNUMBER($O235)),"Complete","Missing: Information Sheet (was due 31/05/2026)"))))</f>
        <v/>
      </c>
      <c r="R235" s="52"/>
      <c r="S235" s="82">
        <f>IF(ISNUMBER($R235),$R235+364,IF(ISNUMBER($D235),$D235+364,""))</f>
        <v/>
      </c>
      <c r="T235" s="52"/>
      <c r="U235" s="82">
        <f>IF(ISNUMBER($T235),IF(ISNUMBER($S235),MAX(EDATE($T235,2),$S235),EDATE($T235,2)),"")</f>
        <v/>
      </c>
      <c r="V235" s="52"/>
      <c r="W235" s="52"/>
      <c r="X235" s="121">
        <f>IF(NOT(ISNUMBER($V235)),"",IF(ISNUMBER($W235),IF($W235-$V235&lt;=28,"Answered in time","LATE: answered after day 28"),IF(TODAY()-$V235&gt;28,"OVERDUE: no reply yet","Reply due by "&amp;TEXT($V235+28,"dd/mm/yyyy"))))</f>
        <v/>
      </c>
      <c r="Y235" s="54"/>
    </row>
    <row r="236" spans="1:25">
      <c r="A236" s="54"/>
      <c r="B236" s="54"/>
      <c r="C236" s="51"/>
      <c r="D236" s="52"/>
      <c r="E236" s="120"/>
      <c r="F236" s="120"/>
      <c r="G236" s="52"/>
      <c r="H236" s="52"/>
      <c r="I236" s="52"/>
      <c r="J236" s="121">
        <f>IF(OR($A236="",NOT(ISNUMBER($F236))),"",IF($F236&lt;=0,"No deposit",IF(NOT(ISNUMBER($G236)),"Enter date received",IF(AND(ISNUMBER($H236),ISNUMBER($I236)),IF(MAX($H236,$I236)-$G236&lt;=29,"OK","LATE: protected / info served after day 30"),IF(TODAY()-$G236&gt;29,"OVERDUE: not protected / info not served","Protect + serve info by "&amp;TEXT($G236+29,"dd/mm/yyyy"))))))</f>
        <v/>
      </c>
      <c r="K236" s="97">
        <f>IF(OR(NOT(ISNUMBER($E236)),NOT(ISNUMBER($F236))),"",IF($F236&lt;=$E236*12/52*5,"OK","Over 5 weeks"))</f>
        <v/>
      </c>
      <c r="L236" s="52"/>
      <c r="M236" s="52"/>
      <c r="N236" s="122">
        <f>IF(OR($A236="",NOT(ISNUMBER($L236))),IF($A236="","","Not recorded"),IF(NOT(ISNUMBER($M236)),"Checked (no follow-up)",IF($M236&lt;TODAY(),"OVERDUE: follow-up check",IF($M236-TODAY()&lt;=60,"Follow-up due "&amp;TEXT($M236,"dd/mm/yyyy"),"Checked"))))</f>
        <v/>
      </c>
      <c r="O236" s="52"/>
      <c r="P236" s="52"/>
      <c r="Q236" s="122">
        <f>IF($A236="","",IF(NOT(ISNUMBER($D236)),"Enter start date",IF($D236&gt;=DATE(2026,5,1),IF(ISNUMBER($O236),"Complete","Missing: written terms"),IF(OR(ISNUMBER($P236),ISNUMBER($O236)),"Complete","Missing: Information Sheet (was due 31/05/2026)"))))</f>
        <v/>
      </c>
      <c r="R236" s="52"/>
      <c r="S236" s="82">
        <f>IF(ISNUMBER($R236),$R236+364,IF(ISNUMBER($D236),$D236+364,""))</f>
        <v/>
      </c>
      <c r="T236" s="52"/>
      <c r="U236" s="82">
        <f>IF(ISNUMBER($T236),IF(ISNUMBER($S236),MAX(EDATE($T236,2),$S236),EDATE($T236,2)),"")</f>
        <v/>
      </c>
      <c r="V236" s="52"/>
      <c r="W236" s="52"/>
      <c r="X236" s="121">
        <f>IF(NOT(ISNUMBER($V236)),"",IF(ISNUMBER($W236),IF($W236-$V236&lt;=28,"Answered in time","LATE: answered after day 28"),IF(TODAY()-$V236&gt;28,"OVERDUE: no reply yet","Reply due by "&amp;TEXT($V236+28,"dd/mm/yyyy"))))</f>
        <v/>
      </c>
      <c r="Y236" s="54"/>
    </row>
    <row r="237" spans="1:25">
      <c r="A237" s="54"/>
      <c r="B237" s="54"/>
      <c r="C237" s="51"/>
      <c r="D237" s="52"/>
      <c r="E237" s="120"/>
      <c r="F237" s="120"/>
      <c r="G237" s="52"/>
      <c r="H237" s="52"/>
      <c r="I237" s="52"/>
      <c r="J237" s="121">
        <f>IF(OR($A237="",NOT(ISNUMBER($F237))),"",IF($F237&lt;=0,"No deposit",IF(NOT(ISNUMBER($G237)),"Enter date received",IF(AND(ISNUMBER($H237),ISNUMBER($I237)),IF(MAX($H237,$I237)-$G237&lt;=29,"OK","LATE: protected / info served after day 30"),IF(TODAY()-$G237&gt;29,"OVERDUE: not protected / info not served","Protect + serve info by "&amp;TEXT($G237+29,"dd/mm/yyyy"))))))</f>
        <v/>
      </c>
      <c r="K237" s="97">
        <f>IF(OR(NOT(ISNUMBER($E237)),NOT(ISNUMBER($F237))),"",IF($F237&lt;=$E237*12/52*5,"OK","Over 5 weeks"))</f>
        <v/>
      </c>
      <c r="L237" s="52"/>
      <c r="M237" s="52"/>
      <c r="N237" s="122">
        <f>IF(OR($A237="",NOT(ISNUMBER($L237))),IF($A237="","","Not recorded"),IF(NOT(ISNUMBER($M237)),"Checked (no follow-up)",IF($M237&lt;TODAY(),"OVERDUE: follow-up check",IF($M237-TODAY()&lt;=60,"Follow-up due "&amp;TEXT($M237,"dd/mm/yyyy"),"Checked"))))</f>
        <v/>
      </c>
      <c r="O237" s="52"/>
      <c r="P237" s="52"/>
      <c r="Q237" s="122">
        <f>IF($A237="","",IF(NOT(ISNUMBER($D237)),"Enter start date",IF($D237&gt;=DATE(2026,5,1),IF(ISNUMBER($O237),"Complete","Missing: written terms"),IF(OR(ISNUMBER($P237),ISNUMBER($O237)),"Complete","Missing: Information Sheet (was due 31/05/2026)"))))</f>
        <v/>
      </c>
      <c r="R237" s="52"/>
      <c r="S237" s="82">
        <f>IF(ISNUMBER($R237),$R237+364,IF(ISNUMBER($D237),$D237+364,""))</f>
        <v/>
      </c>
      <c r="T237" s="52"/>
      <c r="U237" s="82">
        <f>IF(ISNUMBER($T237),IF(ISNUMBER($S237),MAX(EDATE($T237,2),$S237),EDATE($T237,2)),"")</f>
        <v/>
      </c>
      <c r="V237" s="52"/>
      <c r="W237" s="52"/>
      <c r="X237" s="121">
        <f>IF(NOT(ISNUMBER($V237)),"",IF(ISNUMBER($W237),IF($W237-$V237&lt;=28,"Answered in time","LATE: answered after day 28"),IF(TODAY()-$V237&gt;28,"OVERDUE: no reply yet","Reply due by "&amp;TEXT($V237+28,"dd/mm/yyyy"))))</f>
        <v/>
      </c>
      <c r="Y237" s="54"/>
    </row>
    <row r="238" spans="1:25">
      <c r="A238" s="54"/>
      <c r="B238" s="54"/>
      <c r="C238" s="51"/>
      <c r="D238" s="52"/>
      <c r="E238" s="120"/>
      <c r="F238" s="120"/>
      <c r="G238" s="52"/>
      <c r="H238" s="52"/>
      <c r="I238" s="52"/>
      <c r="J238" s="121">
        <f>IF(OR($A238="",NOT(ISNUMBER($F238))),"",IF($F238&lt;=0,"No deposit",IF(NOT(ISNUMBER($G238)),"Enter date received",IF(AND(ISNUMBER($H238),ISNUMBER($I238)),IF(MAX($H238,$I238)-$G238&lt;=29,"OK","LATE: protected / info served after day 30"),IF(TODAY()-$G238&gt;29,"OVERDUE: not protected / info not served","Protect + serve info by "&amp;TEXT($G238+29,"dd/mm/yyyy"))))))</f>
        <v/>
      </c>
      <c r="K238" s="97">
        <f>IF(OR(NOT(ISNUMBER($E238)),NOT(ISNUMBER($F238))),"",IF($F238&lt;=$E238*12/52*5,"OK","Over 5 weeks"))</f>
        <v/>
      </c>
      <c r="L238" s="52"/>
      <c r="M238" s="52"/>
      <c r="N238" s="122">
        <f>IF(OR($A238="",NOT(ISNUMBER($L238))),IF($A238="","","Not recorded"),IF(NOT(ISNUMBER($M238)),"Checked (no follow-up)",IF($M238&lt;TODAY(),"OVERDUE: follow-up check",IF($M238-TODAY()&lt;=60,"Follow-up due "&amp;TEXT($M238,"dd/mm/yyyy"),"Checked"))))</f>
        <v/>
      </c>
      <c r="O238" s="52"/>
      <c r="P238" s="52"/>
      <c r="Q238" s="122">
        <f>IF($A238="","",IF(NOT(ISNUMBER($D238)),"Enter start date",IF($D238&gt;=DATE(2026,5,1),IF(ISNUMBER($O238),"Complete","Missing: written terms"),IF(OR(ISNUMBER($P238),ISNUMBER($O238)),"Complete","Missing: Information Sheet (was due 31/05/2026)"))))</f>
        <v/>
      </c>
      <c r="R238" s="52"/>
      <c r="S238" s="82">
        <f>IF(ISNUMBER($R238),$R238+364,IF(ISNUMBER($D238),$D238+364,""))</f>
        <v/>
      </c>
      <c r="T238" s="52"/>
      <c r="U238" s="82">
        <f>IF(ISNUMBER($T238),IF(ISNUMBER($S238),MAX(EDATE($T238,2),$S238),EDATE($T238,2)),"")</f>
        <v/>
      </c>
      <c r="V238" s="52"/>
      <c r="W238" s="52"/>
      <c r="X238" s="121">
        <f>IF(NOT(ISNUMBER($V238)),"",IF(ISNUMBER($W238),IF($W238-$V238&lt;=28,"Answered in time","LATE: answered after day 28"),IF(TODAY()-$V238&gt;28,"OVERDUE: no reply yet","Reply due by "&amp;TEXT($V238+28,"dd/mm/yyyy"))))</f>
        <v/>
      </c>
      <c r="Y238" s="54"/>
    </row>
    <row r="239" spans="1:25">
      <c r="A239" s="54"/>
      <c r="B239" s="54"/>
      <c r="C239" s="51"/>
      <c r="D239" s="52"/>
      <c r="E239" s="120"/>
      <c r="F239" s="120"/>
      <c r="G239" s="52"/>
      <c r="H239" s="52"/>
      <c r="I239" s="52"/>
      <c r="J239" s="121">
        <f>IF(OR($A239="",NOT(ISNUMBER($F239))),"",IF($F239&lt;=0,"No deposit",IF(NOT(ISNUMBER($G239)),"Enter date received",IF(AND(ISNUMBER($H239),ISNUMBER($I239)),IF(MAX($H239,$I239)-$G239&lt;=29,"OK","LATE: protected / info served after day 30"),IF(TODAY()-$G239&gt;29,"OVERDUE: not protected / info not served","Protect + serve info by "&amp;TEXT($G239+29,"dd/mm/yyyy"))))))</f>
        <v/>
      </c>
      <c r="K239" s="97">
        <f>IF(OR(NOT(ISNUMBER($E239)),NOT(ISNUMBER($F239))),"",IF($F239&lt;=$E239*12/52*5,"OK","Over 5 weeks"))</f>
        <v/>
      </c>
      <c r="L239" s="52"/>
      <c r="M239" s="52"/>
      <c r="N239" s="122">
        <f>IF(OR($A239="",NOT(ISNUMBER($L239))),IF($A239="","","Not recorded"),IF(NOT(ISNUMBER($M239)),"Checked (no follow-up)",IF($M239&lt;TODAY(),"OVERDUE: follow-up check",IF($M239-TODAY()&lt;=60,"Follow-up due "&amp;TEXT($M239,"dd/mm/yyyy"),"Checked"))))</f>
        <v/>
      </c>
      <c r="O239" s="52"/>
      <c r="P239" s="52"/>
      <c r="Q239" s="122">
        <f>IF($A239="","",IF(NOT(ISNUMBER($D239)),"Enter start date",IF($D239&gt;=DATE(2026,5,1),IF(ISNUMBER($O239),"Complete","Missing: written terms"),IF(OR(ISNUMBER($P239),ISNUMBER($O239)),"Complete","Missing: Information Sheet (was due 31/05/2026)"))))</f>
        <v/>
      </c>
      <c r="R239" s="52"/>
      <c r="S239" s="82">
        <f>IF(ISNUMBER($R239),$R239+364,IF(ISNUMBER($D239),$D239+364,""))</f>
        <v/>
      </c>
      <c r="T239" s="52"/>
      <c r="U239" s="82">
        <f>IF(ISNUMBER($T239),IF(ISNUMBER($S239),MAX(EDATE($T239,2),$S239),EDATE($T239,2)),"")</f>
        <v/>
      </c>
      <c r="V239" s="52"/>
      <c r="W239" s="52"/>
      <c r="X239" s="121">
        <f>IF(NOT(ISNUMBER($V239)),"",IF(ISNUMBER($W239),IF($W239-$V239&lt;=28,"Answered in time","LATE: answered after day 28"),IF(TODAY()-$V239&gt;28,"OVERDUE: no reply yet","Reply due by "&amp;TEXT($V239+28,"dd/mm/yyyy"))))</f>
        <v/>
      </c>
      <c r="Y239" s="54"/>
    </row>
    <row r="240" spans="1:25">
      <c r="A240" s="54"/>
      <c r="B240" s="54"/>
      <c r="C240" s="51"/>
      <c r="D240" s="52"/>
      <c r="E240" s="120"/>
      <c r="F240" s="120"/>
      <c r="G240" s="52"/>
      <c r="H240" s="52"/>
      <c r="I240" s="52"/>
      <c r="J240" s="121">
        <f>IF(OR($A240="",NOT(ISNUMBER($F240))),"",IF($F240&lt;=0,"No deposit",IF(NOT(ISNUMBER($G240)),"Enter date received",IF(AND(ISNUMBER($H240),ISNUMBER($I240)),IF(MAX($H240,$I240)-$G240&lt;=29,"OK","LATE: protected / info served after day 30"),IF(TODAY()-$G240&gt;29,"OVERDUE: not protected / info not served","Protect + serve info by "&amp;TEXT($G240+29,"dd/mm/yyyy"))))))</f>
        <v/>
      </c>
      <c r="K240" s="97">
        <f>IF(OR(NOT(ISNUMBER($E240)),NOT(ISNUMBER($F240))),"",IF($F240&lt;=$E240*12/52*5,"OK","Over 5 weeks"))</f>
        <v/>
      </c>
      <c r="L240" s="52"/>
      <c r="M240" s="52"/>
      <c r="N240" s="122">
        <f>IF(OR($A240="",NOT(ISNUMBER($L240))),IF($A240="","","Not recorded"),IF(NOT(ISNUMBER($M240)),"Checked (no follow-up)",IF($M240&lt;TODAY(),"OVERDUE: follow-up check",IF($M240-TODAY()&lt;=60,"Follow-up due "&amp;TEXT($M240,"dd/mm/yyyy"),"Checked"))))</f>
        <v/>
      </c>
      <c r="O240" s="52"/>
      <c r="P240" s="52"/>
      <c r="Q240" s="122">
        <f>IF($A240="","",IF(NOT(ISNUMBER($D240)),"Enter start date",IF($D240&gt;=DATE(2026,5,1),IF(ISNUMBER($O240),"Complete","Missing: written terms"),IF(OR(ISNUMBER($P240),ISNUMBER($O240)),"Complete","Missing: Information Sheet (was due 31/05/2026)"))))</f>
        <v/>
      </c>
      <c r="R240" s="52"/>
      <c r="S240" s="82">
        <f>IF(ISNUMBER($R240),$R240+364,IF(ISNUMBER($D240),$D240+364,""))</f>
        <v/>
      </c>
      <c r="T240" s="52"/>
      <c r="U240" s="82">
        <f>IF(ISNUMBER($T240),IF(ISNUMBER($S240),MAX(EDATE($T240,2),$S240),EDATE($T240,2)),"")</f>
        <v/>
      </c>
      <c r="V240" s="52"/>
      <c r="W240" s="52"/>
      <c r="X240" s="121">
        <f>IF(NOT(ISNUMBER($V240)),"",IF(ISNUMBER($W240),IF($W240-$V240&lt;=28,"Answered in time","LATE: answered after day 28"),IF(TODAY()-$V240&gt;28,"OVERDUE: no reply yet","Reply due by "&amp;TEXT($V240+28,"dd/mm/yyyy"))))</f>
        <v/>
      </c>
      <c r="Y240" s="54"/>
    </row>
    <row r="241" spans="1:25">
      <c r="A241" s="54"/>
      <c r="B241" s="54"/>
      <c r="C241" s="51"/>
      <c r="D241" s="52"/>
      <c r="E241" s="120"/>
      <c r="F241" s="120"/>
      <c r="G241" s="52"/>
      <c r="H241" s="52"/>
      <c r="I241" s="52"/>
      <c r="J241" s="121">
        <f>IF(OR($A241="",NOT(ISNUMBER($F241))),"",IF($F241&lt;=0,"No deposit",IF(NOT(ISNUMBER($G241)),"Enter date received",IF(AND(ISNUMBER($H241),ISNUMBER($I241)),IF(MAX($H241,$I241)-$G241&lt;=29,"OK","LATE: protected / info served after day 30"),IF(TODAY()-$G241&gt;29,"OVERDUE: not protected / info not served","Protect + serve info by "&amp;TEXT($G241+29,"dd/mm/yyyy"))))))</f>
        <v/>
      </c>
      <c r="K241" s="97">
        <f>IF(OR(NOT(ISNUMBER($E241)),NOT(ISNUMBER($F241))),"",IF($F241&lt;=$E241*12/52*5,"OK","Over 5 weeks"))</f>
        <v/>
      </c>
      <c r="L241" s="52"/>
      <c r="M241" s="52"/>
      <c r="N241" s="122">
        <f>IF(OR($A241="",NOT(ISNUMBER($L241))),IF($A241="","","Not recorded"),IF(NOT(ISNUMBER($M241)),"Checked (no follow-up)",IF($M241&lt;TODAY(),"OVERDUE: follow-up check",IF($M241-TODAY()&lt;=60,"Follow-up due "&amp;TEXT($M241,"dd/mm/yyyy"),"Checked"))))</f>
        <v/>
      </c>
      <c r="O241" s="52"/>
      <c r="P241" s="52"/>
      <c r="Q241" s="122">
        <f>IF($A241="","",IF(NOT(ISNUMBER($D241)),"Enter start date",IF($D241&gt;=DATE(2026,5,1),IF(ISNUMBER($O241),"Complete","Missing: written terms"),IF(OR(ISNUMBER($P241),ISNUMBER($O241)),"Complete","Missing: Information Sheet (was due 31/05/2026)"))))</f>
        <v/>
      </c>
      <c r="R241" s="52"/>
      <c r="S241" s="82">
        <f>IF(ISNUMBER($R241),$R241+364,IF(ISNUMBER($D241),$D241+364,""))</f>
        <v/>
      </c>
      <c r="T241" s="52"/>
      <c r="U241" s="82">
        <f>IF(ISNUMBER($T241),IF(ISNUMBER($S241),MAX(EDATE($T241,2),$S241),EDATE($T241,2)),"")</f>
        <v/>
      </c>
      <c r="V241" s="52"/>
      <c r="W241" s="52"/>
      <c r="X241" s="121">
        <f>IF(NOT(ISNUMBER($V241)),"",IF(ISNUMBER($W241),IF($W241-$V241&lt;=28,"Answered in time","LATE: answered after day 28"),IF(TODAY()-$V241&gt;28,"OVERDUE: no reply yet","Reply due by "&amp;TEXT($V241+28,"dd/mm/yyyy"))))</f>
        <v/>
      </c>
      <c r="Y241" s="54"/>
    </row>
    <row r="242" spans="1:25">
      <c r="A242" s="54"/>
      <c r="B242" s="54"/>
      <c r="C242" s="51"/>
      <c r="D242" s="52"/>
      <c r="E242" s="120"/>
      <c r="F242" s="120"/>
      <c r="G242" s="52"/>
      <c r="H242" s="52"/>
      <c r="I242" s="52"/>
      <c r="J242" s="121">
        <f>IF(OR($A242="",NOT(ISNUMBER($F242))),"",IF($F242&lt;=0,"No deposit",IF(NOT(ISNUMBER($G242)),"Enter date received",IF(AND(ISNUMBER($H242),ISNUMBER($I242)),IF(MAX($H242,$I242)-$G242&lt;=29,"OK","LATE: protected / info served after day 30"),IF(TODAY()-$G242&gt;29,"OVERDUE: not protected / info not served","Protect + serve info by "&amp;TEXT($G242+29,"dd/mm/yyyy"))))))</f>
        <v/>
      </c>
      <c r="K242" s="97">
        <f>IF(OR(NOT(ISNUMBER($E242)),NOT(ISNUMBER($F242))),"",IF($F242&lt;=$E242*12/52*5,"OK","Over 5 weeks"))</f>
        <v/>
      </c>
      <c r="L242" s="52"/>
      <c r="M242" s="52"/>
      <c r="N242" s="122">
        <f>IF(OR($A242="",NOT(ISNUMBER($L242))),IF($A242="","","Not recorded"),IF(NOT(ISNUMBER($M242)),"Checked (no follow-up)",IF($M242&lt;TODAY(),"OVERDUE: follow-up check",IF($M242-TODAY()&lt;=60,"Follow-up due "&amp;TEXT($M242,"dd/mm/yyyy"),"Checked"))))</f>
        <v/>
      </c>
      <c r="O242" s="52"/>
      <c r="P242" s="52"/>
      <c r="Q242" s="122">
        <f>IF($A242="","",IF(NOT(ISNUMBER($D242)),"Enter start date",IF($D242&gt;=DATE(2026,5,1),IF(ISNUMBER($O242),"Complete","Missing: written terms"),IF(OR(ISNUMBER($P242),ISNUMBER($O242)),"Complete","Missing: Information Sheet (was due 31/05/2026)"))))</f>
        <v/>
      </c>
      <c r="R242" s="52"/>
      <c r="S242" s="82">
        <f>IF(ISNUMBER($R242),$R242+364,IF(ISNUMBER($D242),$D242+364,""))</f>
        <v/>
      </c>
      <c r="T242" s="52"/>
      <c r="U242" s="82">
        <f>IF(ISNUMBER($T242),IF(ISNUMBER($S242),MAX(EDATE($T242,2),$S242),EDATE($T242,2)),"")</f>
        <v/>
      </c>
      <c r="V242" s="52"/>
      <c r="W242" s="52"/>
      <c r="X242" s="121">
        <f>IF(NOT(ISNUMBER($V242)),"",IF(ISNUMBER($W242),IF($W242-$V242&lt;=28,"Answered in time","LATE: answered after day 28"),IF(TODAY()-$V242&gt;28,"OVERDUE: no reply yet","Reply due by "&amp;TEXT($V242+28,"dd/mm/yyyy"))))</f>
        <v/>
      </c>
      <c r="Y242" s="54"/>
    </row>
    <row r="243" spans="1:25">
      <c r="A243" s="54"/>
      <c r="B243" s="54"/>
      <c r="C243" s="51"/>
      <c r="D243" s="52"/>
      <c r="E243" s="120"/>
      <c r="F243" s="120"/>
      <c r="G243" s="52"/>
      <c r="H243" s="52"/>
      <c r="I243" s="52"/>
      <c r="J243" s="121">
        <f>IF(OR($A243="",NOT(ISNUMBER($F243))),"",IF($F243&lt;=0,"No deposit",IF(NOT(ISNUMBER($G243)),"Enter date received",IF(AND(ISNUMBER($H243),ISNUMBER($I243)),IF(MAX($H243,$I243)-$G243&lt;=29,"OK","LATE: protected / info served after day 30"),IF(TODAY()-$G243&gt;29,"OVERDUE: not protected / info not served","Protect + serve info by "&amp;TEXT($G243+29,"dd/mm/yyyy"))))))</f>
        <v/>
      </c>
      <c r="K243" s="97">
        <f>IF(OR(NOT(ISNUMBER($E243)),NOT(ISNUMBER($F243))),"",IF($F243&lt;=$E243*12/52*5,"OK","Over 5 weeks"))</f>
        <v/>
      </c>
      <c r="L243" s="52"/>
      <c r="M243" s="52"/>
      <c r="N243" s="122">
        <f>IF(OR($A243="",NOT(ISNUMBER($L243))),IF($A243="","","Not recorded"),IF(NOT(ISNUMBER($M243)),"Checked (no follow-up)",IF($M243&lt;TODAY(),"OVERDUE: follow-up check",IF($M243-TODAY()&lt;=60,"Follow-up due "&amp;TEXT($M243,"dd/mm/yyyy"),"Checked"))))</f>
        <v/>
      </c>
      <c r="O243" s="52"/>
      <c r="P243" s="52"/>
      <c r="Q243" s="122">
        <f>IF($A243="","",IF(NOT(ISNUMBER($D243)),"Enter start date",IF($D243&gt;=DATE(2026,5,1),IF(ISNUMBER($O243),"Complete","Missing: written terms"),IF(OR(ISNUMBER($P243),ISNUMBER($O243)),"Complete","Missing: Information Sheet (was due 31/05/2026)"))))</f>
        <v/>
      </c>
      <c r="R243" s="52"/>
      <c r="S243" s="82">
        <f>IF(ISNUMBER($R243),$R243+364,IF(ISNUMBER($D243),$D243+364,""))</f>
        <v/>
      </c>
      <c r="T243" s="52"/>
      <c r="U243" s="82">
        <f>IF(ISNUMBER($T243),IF(ISNUMBER($S243),MAX(EDATE($T243,2),$S243),EDATE($T243,2)),"")</f>
        <v/>
      </c>
      <c r="V243" s="52"/>
      <c r="W243" s="52"/>
      <c r="X243" s="121">
        <f>IF(NOT(ISNUMBER($V243)),"",IF(ISNUMBER($W243),IF($W243-$V243&lt;=28,"Answered in time","LATE: answered after day 28"),IF(TODAY()-$V243&gt;28,"OVERDUE: no reply yet","Reply due by "&amp;TEXT($V243+28,"dd/mm/yyyy"))))</f>
        <v/>
      </c>
      <c r="Y243" s="54"/>
    </row>
    <row r="244" spans="1:25">
      <c r="A244" s="54"/>
      <c r="B244" s="54"/>
      <c r="C244" s="51"/>
      <c r="D244" s="52"/>
      <c r="E244" s="120"/>
      <c r="F244" s="120"/>
      <c r="G244" s="52"/>
      <c r="H244" s="52"/>
      <c r="I244" s="52"/>
      <c r="J244" s="121">
        <f>IF(OR($A244="",NOT(ISNUMBER($F244))),"",IF($F244&lt;=0,"No deposit",IF(NOT(ISNUMBER($G244)),"Enter date received",IF(AND(ISNUMBER($H244),ISNUMBER($I244)),IF(MAX($H244,$I244)-$G244&lt;=29,"OK","LATE: protected / info served after day 30"),IF(TODAY()-$G244&gt;29,"OVERDUE: not protected / info not served","Protect + serve info by "&amp;TEXT($G244+29,"dd/mm/yyyy"))))))</f>
        <v/>
      </c>
      <c r="K244" s="97">
        <f>IF(OR(NOT(ISNUMBER($E244)),NOT(ISNUMBER($F244))),"",IF($F244&lt;=$E244*12/52*5,"OK","Over 5 weeks"))</f>
        <v/>
      </c>
      <c r="L244" s="52"/>
      <c r="M244" s="52"/>
      <c r="N244" s="122">
        <f>IF(OR($A244="",NOT(ISNUMBER($L244))),IF($A244="","","Not recorded"),IF(NOT(ISNUMBER($M244)),"Checked (no follow-up)",IF($M244&lt;TODAY(),"OVERDUE: follow-up check",IF($M244-TODAY()&lt;=60,"Follow-up due "&amp;TEXT($M244,"dd/mm/yyyy"),"Checked"))))</f>
        <v/>
      </c>
      <c r="O244" s="52"/>
      <c r="P244" s="52"/>
      <c r="Q244" s="122">
        <f>IF($A244="","",IF(NOT(ISNUMBER($D244)),"Enter start date",IF($D244&gt;=DATE(2026,5,1),IF(ISNUMBER($O244),"Complete","Missing: written terms"),IF(OR(ISNUMBER($P244),ISNUMBER($O244)),"Complete","Missing: Information Sheet (was due 31/05/2026)"))))</f>
        <v/>
      </c>
      <c r="R244" s="52"/>
      <c r="S244" s="82">
        <f>IF(ISNUMBER($R244),$R244+364,IF(ISNUMBER($D244),$D244+364,""))</f>
        <v/>
      </c>
      <c r="T244" s="52"/>
      <c r="U244" s="82">
        <f>IF(ISNUMBER($T244),IF(ISNUMBER($S244),MAX(EDATE($T244,2),$S244),EDATE($T244,2)),"")</f>
        <v/>
      </c>
      <c r="V244" s="52"/>
      <c r="W244" s="52"/>
      <c r="X244" s="121">
        <f>IF(NOT(ISNUMBER($V244)),"",IF(ISNUMBER($W244),IF($W244-$V244&lt;=28,"Answered in time","LATE: answered after day 28"),IF(TODAY()-$V244&gt;28,"OVERDUE: no reply yet","Reply due by "&amp;TEXT($V244+28,"dd/mm/yyyy"))))</f>
        <v/>
      </c>
      <c r="Y244" s="54"/>
    </row>
    <row r="245" spans="1:25">
      <c r="A245" s="54"/>
      <c r="B245" s="54"/>
      <c r="C245" s="51"/>
      <c r="D245" s="52"/>
      <c r="E245" s="120"/>
      <c r="F245" s="120"/>
      <c r="G245" s="52"/>
      <c r="H245" s="52"/>
      <c r="I245" s="52"/>
      <c r="J245" s="121">
        <f>IF(OR($A245="",NOT(ISNUMBER($F245))),"",IF($F245&lt;=0,"No deposit",IF(NOT(ISNUMBER($G245)),"Enter date received",IF(AND(ISNUMBER($H245),ISNUMBER($I245)),IF(MAX($H245,$I245)-$G245&lt;=29,"OK","LATE: protected / info served after day 30"),IF(TODAY()-$G245&gt;29,"OVERDUE: not protected / info not served","Protect + serve info by "&amp;TEXT($G245+29,"dd/mm/yyyy"))))))</f>
        <v/>
      </c>
      <c r="K245" s="97">
        <f>IF(OR(NOT(ISNUMBER($E245)),NOT(ISNUMBER($F245))),"",IF($F245&lt;=$E245*12/52*5,"OK","Over 5 weeks"))</f>
        <v/>
      </c>
      <c r="L245" s="52"/>
      <c r="M245" s="52"/>
      <c r="N245" s="122">
        <f>IF(OR($A245="",NOT(ISNUMBER($L245))),IF($A245="","","Not recorded"),IF(NOT(ISNUMBER($M245)),"Checked (no follow-up)",IF($M245&lt;TODAY(),"OVERDUE: follow-up check",IF($M245-TODAY()&lt;=60,"Follow-up due "&amp;TEXT($M245,"dd/mm/yyyy"),"Checked"))))</f>
        <v/>
      </c>
      <c r="O245" s="52"/>
      <c r="P245" s="52"/>
      <c r="Q245" s="122">
        <f>IF($A245="","",IF(NOT(ISNUMBER($D245)),"Enter start date",IF($D245&gt;=DATE(2026,5,1),IF(ISNUMBER($O245),"Complete","Missing: written terms"),IF(OR(ISNUMBER($P245),ISNUMBER($O245)),"Complete","Missing: Information Sheet (was due 31/05/2026)"))))</f>
        <v/>
      </c>
      <c r="R245" s="52"/>
      <c r="S245" s="82">
        <f>IF(ISNUMBER($R245),$R245+364,IF(ISNUMBER($D245),$D245+364,""))</f>
        <v/>
      </c>
      <c r="T245" s="52"/>
      <c r="U245" s="82">
        <f>IF(ISNUMBER($T245),IF(ISNUMBER($S245),MAX(EDATE($T245,2),$S245),EDATE($T245,2)),"")</f>
        <v/>
      </c>
      <c r="V245" s="52"/>
      <c r="W245" s="52"/>
      <c r="X245" s="121">
        <f>IF(NOT(ISNUMBER($V245)),"",IF(ISNUMBER($W245),IF($W245-$V245&lt;=28,"Answered in time","LATE: answered after day 28"),IF(TODAY()-$V245&gt;28,"OVERDUE: no reply yet","Reply due by "&amp;TEXT($V245+28,"dd/mm/yyyy"))))</f>
        <v/>
      </c>
      <c r="Y245" s="54"/>
    </row>
    <row r="246" spans="1:25">
      <c r="A246" s="54"/>
      <c r="B246" s="54"/>
      <c r="C246" s="51"/>
      <c r="D246" s="52"/>
      <c r="E246" s="120"/>
      <c r="F246" s="120"/>
      <c r="G246" s="52"/>
      <c r="H246" s="52"/>
      <c r="I246" s="52"/>
      <c r="J246" s="121">
        <f>IF(OR($A246="",NOT(ISNUMBER($F246))),"",IF($F246&lt;=0,"No deposit",IF(NOT(ISNUMBER($G246)),"Enter date received",IF(AND(ISNUMBER($H246),ISNUMBER($I246)),IF(MAX($H246,$I246)-$G246&lt;=29,"OK","LATE: protected / info served after day 30"),IF(TODAY()-$G246&gt;29,"OVERDUE: not protected / info not served","Protect + serve info by "&amp;TEXT($G246+29,"dd/mm/yyyy"))))))</f>
        <v/>
      </c>
      <c r="K246" s="97">
        <f>IF(OR(NOT(ISNUMBER($E246)),NOT(ISNUMBER($F246))),"",IF($F246&lt;=$E246*12/52*5,"OK","Over 5 weeks"))</f>
        <v/>
      </c>
      <c r="L246" s="52"/>
      <c r="M246" s="52"/>
      <c r="N246" s="122">
        <f>IF(OR($A246="",NOT(ISNUMBER($L246))),IF($A246="","","Not recorded"),IF(NOT(ISNUMBER($M246)),"Checked (no follow-up)",IF($M246&lt;TODAY(),"OVERDUE: follow-up check",IF($M246-TODAY()&lt;=60,"Follow-up due "&amp;TEXT($M246,"dd/mm/yyyy"),"Checked"))))</f>
        <v/>
      </c>
      <c r="O246" s="52"/>
      <c r="P246" s="52"/>
      <c r="Q246" s="122">
        <f>IF($A246="","",IF(NOT(ISNUMBER($D246)),"Enter start date",IF($D246&gt;=DATE(2026,5,1),IF(ISNUMBER($O246),"Complete","Missing: written terms"),IF(OR(ISNUMBER($P246),ISNUMBER($O246)),"Complete","Missing: Information Sheet (was due 31/05/2026)"))))</f>
        <v/>
      </c>
      <c r="R246" s="52"/>
      <c r="S246" s="82">
        <f>IF(ISNUMBER($R246),$R246+364,IF(ISNUMBER($D246),$D246+364,""))</f>
        <v/>
      </c>
      <c r="T246" s="52"/>
      <c r="U246" s="82">
        <f>IF(ISNUMBER($T246),IF(ISNUMBER($S246),MAX(EDATE($T246,2),$S246),EDATE($T246,2)),"")</f>
        <v/>
      </c>
      <c r="V246" s="52"/>
      <c r="W246" s="52"/>
      <c r="X246" s="121">
        <f>IF(NOT(ISNUMBER($V246)),"",IF(ISNUMBER($W246),IF($W246-$V246&lt;=28,"Answered in time","LATE: answered after day 28"),IF(TODAY()-$V246&gt;28,"OVERDUE: no reply yet","Reply due by "&amp;TEXT($V246+28,"dd/mm/yyyy"))))</f>
        <v/>
      </c>
      <c r="Y246" s="54"/>
    </row>
    <row r="247" spans="1:25">
      <c r="A247" s="54"/>
      <c r="B247" s="54"/>
      <c r="C247" s="51"/>
      <c r="D247" s="52"/>
      <c r="E247" s="120"/>
      <c r="F247" s="120"/>
      <c r="G247" s="52"/>
      <c r="H247" s="52"/>
      <c r="I247" s="52"/>
      <c r="J247" s="121">
        <f>IF(OR($A247="",NOT(ISNUMBER($F247))),"",IF($F247&lt;=0,"No deposit",IF(NOT(ISNUMBER($G247)),"Enter date received",IF(AND(ISNUMBER($H247),ISNUMBER($I247)),IF(MAX($H247,$I247)-$G247&lt;=29,"OK","LATE: protected / info served after day 30"),IF(TODAY()-$G247&gt;29,"OVERDUE: not protected / info not served","Protect + serve info by "&amp;TEXT($G247+29,"dd/mm/yyyy"))))))</f>
        <v/>
      </c>
      <c r="K247" s="97">
        <f>IF(OR(NOT(ISNUMBER($E247)),NOT(ISNUMBER($F247))),"",IF($F247&lt;=$E247*12/52*5,"OK","Over 5 weeks"))</f>
        <v/>
      </c>
      <c r="L247" s="52"/>
      <c r="M247" s="52"/>
      <c r="N247" s="122">
        <f>IF(OR($A247="",NOT(ISNUMBER($L247))),IF($A247="","","Not recorded"),IF(NOT(ISNUMBER($M247)),"Checked (no follow-up)",IF($M247&lt;TODAY(),"OVERDUE: follow-up check",IF($M247-TODAY()&lt;=60,"Follow-up due "&amp;TEXT($M247,"dd/mm/yyyy"),"Checked"))))</f>
        <v/>
      </c>
      <c r="O247" s="52"/>
      <c r="P247" s="52"/>
      <c r="Q247" s="122">
        <f>IF($A247="","",IF(NOT(ISNUMBER($D247)),"Enter start date",IF($D247&gt;=DATE(2026,5,1),IF(ISNUMBER($O247),"Complete","Missing: written terms"),IF(OR(ISNUMBER($P247),ISNUMBER($O247)),"Complete","Missing: Information Sheet (was due 31/05/2026)"))))</f>
        <v/>
      </c>
      <c r="R247" s="52"/>
      <c r="S247" s="82">
        <f>IF(ISNUMBER($R247),$R247+364,IF(ISNUMBER($D247),$D247+364,""))</f>
        <v/>
      </c>
      <c r="T247" s="52"/>
      <c r="U247" s="82">
        <f>IF(ISNUMBER($T247),IF(ISNUMBER($S247),MAX(EDATE($T247,2),$S247),EDATE($T247,2)),"")</f>
        <v/>
      </c>
      <c r="V247" s="52"/>
      <c r="W247" s="52"/>
      <c r="X247" s="121">
        <f>IF(NOT(ISNUMBER($V247)),"",IF(ISNUMBER($W247),IF($W247-$V247&lt;=28,"Answered in time","LATE: answered after day 28"),IF(TODAY()-$V247&gt;28,"OVERDUE: no reply yet","Reply due by "&amp;TEXT($V247+28,"dd/mm/yyyy"))))</f>
        <v/>
      </c>
      <c r="Y247" s="54"/>
    </row>
    <row r="248" spans="1:25">
      <c r="A248" s="54"/>
      <c r="B248" s="54"/>
      <c r="C248" s="51"/>
      <c r="D248" s="52"/>
      <c r="E248" s="120"/>
      <c r="F248" s="120"/>
      <c r="G248" s="52"/>
      <c r="H248" s="52"/>
      <c r="I248" s="52"/>
      <c r="J248" s="121">
        <f>IF(OR($A248="",NOT(ISNUMBER($F248))),"",IF($F248&lt;=0,"No deposit",IF(NOT(ISNUMBER($G248)),"Enter date received",IF(AND(ISNUMBER($H248),ISNUMBER($I248)),IF(MAX($H248,$I248)-$G248&lt;=29,"OK","LATE: protected / info served after day 30"),IF(TODAY()-$G248&gt;29,"OVERDUE: not protected / info not served","Protect + serve info by "&amp;TEXT($G248+29,"dd/mm/yyyy"))))))</f>
        <v/>
      </c>
      <c r="K248" s="97">
        <f>IF(OR(NOT(ISNUMBER($E248)),NOT(ISNUMBER($F248))),"",IF($F248&lt;=$E248*12/52*5,"OK","Over 5 weeks"))</f>
        <v/>
      </c>
      <c r="L248" s="52"/>
      <c r="M248" s="52"/>
      <c r="N248" s="122">
        <f>IF(OR($A248="",NOT(ISNUMBER($L248))),IF($A248="","","Not recorded"),IF(NOT(ISNUMBER($M248)),"Checked (no follow-up)",IF($M248&lt;TODAY(),"OVERDUE: follow-up check",IF($M248-TODAY()&lt;=60,"Follow-up due "&amp;TEXT($M248,"dd/mm/yyyy"),"Checked"))))</f>
        <v/>
      </c>
      <c r="O248" s="52"/>
      <c r="P248" s="52"/>
      <c r="Q248" s="122">
        <f>IF($A248="","",IF(NOT(ISNUMBER($D248)),"Enter start date",IF($D248&gt;=DATE(2026,5,1),IF(ISNUMBER($O248),"Complete","Missing: written terms"),IF(OR(ISNUMBER($P248),ISNUMBER($O248)),"Complete","Missing: Information Sheet (was due 31/05/2026)"))))</f>
        <v/>
      </c>
      <c r="R248" s="52"/>
      <c r="S248" s="82">
        <f>IF(ISNUMBER($R248),$R248+364,IF(ISNUMBER($D248),$D248+364,""))</f>
        <v/>
      </c>
      <c r="T248" s="52"/>
      <c r="U248" s="82">
        <f>IF(ISNUMBER($T248),IF(ISNUMBER($S248),MAX(EDATE($T248,2),$S248),EDATE($T248,2)),"")</f>
        <v/>
      </c>
      <c r="V248" s="52"/>
      <c r="W248" s="52"/>
      <c r="X248" s="121">
        <f>IF(NOT(ISNUMBER($V248)),"",IF(ISNUMBER($W248),IF($W248-$V248&lt;=28,"Answered in time","LATE: answered after day 28"),IF(TODAY()-$V248&gt;28,"OVERDUE: no reply yet","Reply due by "&amp;TEXT($V248+28,"dd/mm/yyyy"))))</f>
        <v/>
      </c>
      <c r="Y248" s="54"/>
    </row>
    <row r="249" spans="1:25">
      <c r="A249" s="54"/>
      <c r="B249" s="54"/>
      <c r="C249" s="51"/>
      <c r="D249" s="52"/>
      <c r="E249" s="120"/>
      <c r="F249" s="120"/>
      <c r="G249" s="52"/>
      <c r="H249" s="52"/>
      <c r="I249" s="52"/>
      <c r="J249" s="121">
        <f>IF(OR($A249="",NOT(ISNUMBER($F249))),"",IF($F249&lt;=0,"No deposit",IF(NOT(ISNUMBER($G249)),"Enter date received",IF(AND(ISNUMBER($H249),ISNUMBER($I249)),IF(MAX($H249,$I249)-$G249&lt;=29,"OK","LATE: protected / info served after day 30"),IF(TODAY()-$G249&gt;29,"OVERDUE: not protected / info not served","Protect + serve info by "&amp;TEXT($G249+29,"dd/mm/yyyy"))))))</f>
        <v/>
      </c>
      <c r="K249" s="97">
        <f>IF(OR(NOT(ISNUMBER($E249)),NOT(ISNUMBER($F249))),"",IF($F249&lt;=$E249*12/52*5,"OK","Over 5 weeks"))</f>
        <v/>
      </c>
      <c r="L249" s="52"/>
      <c r="M249" s="52"/>
      <c r="N249" s="122">
        <f>IF(OR($A249="",NOT(ISNUMBER($L249))),IF($A249="","","Not recorded"),IF(NOT(ISNUMBER($M249)),"Checked (no follow-up)",IF($M249&lt;TODAY(),"OVERDUE: follow-up check",IF($M249-TODAY()&lt;=60,"Follow-up due "&amp;TEXT($M249,"dd/mm/yyyy"),"Checked"))))</f>
        <v/>
      </c>
      <c r="O249" s="52"/>
      <c r="P249" s="52"/>
      <c r="Q249" s="122">
        <f>IF($A249="","",IF(NOT(ISNUMBER($D249)),"Enter start date",IF($D249&gt;=DATE(2026,5,1),IF(ISNUMBER($O249),"Complete","Missing: written terms"),IF(OR(ISNUMBER($P249),ISNUMBER($O249)),"Complete","Missing: Information Sheet (was due 31/05/2026)"))))</f>
        <v/>
      </c>
      <c r="R249" s="52"/>
      <c r="S249" s="82">
        <f>IF(ISNUMBER($R249),$R249+364,IF(ISNUMBER($D249),$D249+364,""))</f>
        <v/>
      </c>
      <c r="T249" s="52"/>
      <c r="U249" s="82">
        <f>IF(ISNUMBER($T249),IF(ISNUMBER($S249),MAX(EDATE($T249,2),$S249),EDATE($T249,2)),"")</f>
        <v/>
      </c>
      <c r="V249" s="52"/>
      <c r="W249" s="52"/>
      <c r="X249" s="121">
        <f>IF(NOT(ISNUMBER($V249)),"",IF(ISNUMBER($W249),IF($W249-$V249&lt;=28,"Answered in time","LATE: answered after day 28"),IF(TODAY()-$V249&gt;28,"OVERDUE: no reply yet","Reply due by "&amp;TEXT($V249+28,"dd/mm/yyyy"))))</f>
        <v/>
      </c>
      <c r="Y249" s="54"/>
    </row>
    <row r="250" spans="1:25">
      <c r="A250" s="54"/>
      <c r="B250" s="54"/>
      <c r="C250" s="51"/>
      <c r="D250" s="52"/>
      <c r="E250" s="120"/>
      <c r="F250" s="120"/>
      <c r="G250" s="52"/>
      <c r="H250" s="52"/>
      <c r="I250" s="52"/>
      <c r="J250" s="121">
        <f>IF(OR($A250="",NOT(ISNUMBER($F250))),"",IF($F250&lt;=0,"No deposit",IF(NOT(ISNUMBER($G250)),"Enter date received",IF(AND(ISNUMBER($H250),ISNUMBER($I250)),IF(MAX($H250,$I250)-$G250&lt;=29,"OK","LATE: protected / info served after day 30"),IF(TODAY()-$G250&gt;29,"OVERDUE: not protected / info not served","Protect + serve info by "&amp;TEXT($G250+29,"dd/mm/yyyy"))))))</f>
        <v/>
      </c>
      <c r="K250" s="97">
        <f>IF(OR(NOT(ISNUMBER($E250)),NOT(ISNUMBER($F250))),"",IF($F250&lt;=$E250*12/52*5,"OK","Over 5 weeks"))</f>
        <v/>
      </c>
      <c r="L250" s="52"/>
      <c r="M250" s="52"/>
      <c r="N250" s="122">
        <f>IF(OR($A250="",NOT(ISNUMBER($L250))),IF($A250="","","Not recorded"),IF(NOT(ISNUMBER($M250)),"Checked (no follow-up)",IF($M250&lt;TODAY(),"OVERDUE: follow-up check",IF($M250-TODAY()&lt;=60,"Follow-up due "&amp;TEXT($M250,"dd/mm/yyyy"),"Checked"))))</f>
        <v/>
      </c>
      <c r="O250" s="52"/>
      <c r="P250" s="52"/>
      <c r="Q250" s="122">
        <f>IF($A250="","",IF(NOT(ISNUMBER($D250)),"Enter start date",IF($D250&gt;=DATE(2026,5,1),IF(ISNUMBER($O250),"Complete","Missing: written terms"),IF(OR(ISNUMBER($P250),ISNUMBER($O250)),"Complete","Missing: Information Sheet (was due 31/05/2026)"))))</f>
        <v/>
      </c>
      <c r="R250" s="52"/>
      <c r="S250" s="82">
        <f>IF(ISNUMBER($R250),$R250+364,IF(ISNUMBER($D250),$D250+364,""))</f>
        <v/>
      </c>
      <c r="T250" s="52"/>
      <c r="U250" s="82">
        <f>IF(ISNUMBER($T250),IF(ISNUMBER($S250),MAX(EDATE($T250,2),$S250),EDATE($T250,2)),"")</f>
        <v/>
      </c>
      <c r="V250" s="52"/>
      <c r="W250" s="52"/>
      <c r="X250" s="121">
        <f>IF(NOT(ISNUMBER($V250)),"",IF(ISNUMBER($W250),IF($W250-$V250&lt;=28,"Answered in time","LATE: answered after day 28"),IF(TODAY()-$V250&gt;28,"OVERDUE: no reply yet","Reply due by "&amp;TEXT($V250+28,"dd/mm/yyyy"))))</f>
        <v/>
      </c>
      <c r="Y250" s="54"/>
    </row>
    <row r="251" spans="1:25">
      <c r="A251" s="54"/>
      <c r="B251" s="54"/>
      <c r="C251" s="51"/>
      <c r="D251" s="52"/>
      <c r="E251" s="120"/>
      <c r="F251" s="120"/>
      <c r="G251" s="52"/>
      <c r="H251" s="52"/>
      <c r="I251" s="52"/>
      <c r="J251" s="121">
        <f>IF(OR($A251="",NOT(ISNUMBER($F251))),"",IF($F251&lt;=0,"No deposit",IF(NOT(ISNUMBER($G251)),"Enter date received",IF(AND(ISNUMBER($H251),ISNUMBER($I251)),IF(MAX($H251,$I251)-$G251&lt;=29,"OK","LATE: protected / info served after day 30"),IF(TODAY()-$G251&gt;29,"OVERDUE: not protected / info not served","Protect + serve info by "&amp;TEXT($G251+29,"dd/mm/yyyy"))))))</f>
        <v/>
      </c>
      <c r="K251" s="97">
        <f>IF(OR(NOT(ISNUMBER($E251)),NOT(ISNUMBER($F251))),"",IF($F251&lt;=$E251*12/52*5,"OK","Over 5 weeks"))</f>
        <v/>
      </c>
      <c r="L251" s="52"/>
      <c r="M251" s="52"/>
      <c r="N251" s="122">
        <f>IF(OR($A251="",NOT(ISNUMBER($L251))),IF($A251="","","Not recorded"),IF(NOT(ISNUMBER($M251)),"Checked (no follow-up)",IF($M251&lt;TODAY(),"OVERDUE: follow-up check",IF($M251-TODAY()&lt;=60,"Follow-up due "&amp;TEXT($M251,"dd/mm/yyyy"),"Checked"))))</f>
        <v/>
      </c>
      <c r="O251" s="52"/>
      <c r="P251" s="52"/>
      <c r="Q251" s="122">
        <f>IF($A251="","",IF(NOT(ISNUMBER($D251)),"Enter start date",IF($D251&gt;=DATE(2026,5,1),IF(ISNUMBER($O251),"Complete","Missing: written terms"),IF(OR(ISNUMBER($P251),ISNUMBER($O251)),"Complete","Missing: Information Sheet (was due 31/05/2026)"))))</f>
        <v/>
      </c>
      <c r="R251" s="52"/>
      <c r="S251" s="82">
        <f>IF(ISNUMBER($R251),$R251+364,IF(ISNUMBER($D251),$D251+364,""))</f>
        <v/>
      </c>
      <c r="T251" s="52"/>
      <c r="U251" s="82">
        <f>IF(ISNUMBER($T251),IF(ISNUMBER($S251),MAX(EDATE($T251,2),$S251),EDATE($T251,2)),"")</f>
        <v/>
      </c>
      <c r="V251" s="52"/>
      <c r="W251" s="52"/>
      <c r="X251" s="121">
        <f>IF(NOT(ISNUMBER($V251)),"",IF(ISNUMBER($W251),IF($W251-$V251&lt;=28,"Answered in time","LATE: answered after day 28"),IF(TODAY()-$V251&gt;28,"OVERDUE: no reply yet","Reply due by "&amp;TEXT($V251+28,"dd/mm/yyyy"))))</f>
        <v/>
      </c>
      <c r="Y251" s="54"/>
    </row>
    <row r="252" spans="1:25">
      <c r="A252" s="54"/>
      <c r="B252" s="54"/>
      <c r="C252" s="51"/>
      <c r="D252" s="52"/>
      <c r="E252" s="120"/>
      <c r="F252" s="120"/>
      <c r="G252" s="52"/>
      <c r="H252" s="52"/>
      <c r="I252" s="52"/>
      <c r="J252" s="121">
        <f>IF(OR($A252="",NOT(ISNUMBER($F252))),"",IF($F252&lt;=0,"No deposit",IF(NOT(ISNUMBER($G252)),"Enter date received",IF(AND(ISNUMBER($H252),ISNUMBER($I252)),IF(MAX($H252,$I252)-$G252&lt;=29,"OK","LATE: protected / info served after day 30"),IF(TODAY()-$G252&gt;29,"OVERDUE: not protected / info not served","Protect + serve info by "&amp;TEXT($G252+29,"dd/mm/yyyy"))))))</f>
        <v/>
      </c>
      <c r="K252" s="97">
        <f>IF(OR(NOT(ISNUMBER($E252)),NOT(ISNUMBER($F252))),"",IF($F252&lt;=$E252*12/52*5,"OK","Over 5 weeks"))</f>
        <v/>
      </c>
      <c r="L252" s="52"/>
      <c r="M252" s="52"/>
      <c r="N252" s="122">
        <f>IF(OR($A252="",NOT(ISNUMBER($L252))),IF($A252="","","Not recorded"),IF(NOT(ISNUMBER($M252)),"Checked (no follow-up)",IF($M252&lt;TODAY(),"OVERDUE: follow-up check",IF($M252-TODAY()&lt;=60,"Follow-up due "&amp;TEXT($M252,"dd/mm/yyyy"),"Checked"))))</f>
        <v/>
      </c>
      <c r="O252" s="52"/>
      <c r="P252" s="52"/>
      <c r="Q252" s="122">
        <f>IF($A252="","",IF(NOT(ISNUMBER($D252)),"Enter start date",IF($D252&gt;=DATE(2026,5,1),IF(ISNUMBER($O252),"Complete","Missing: written terms"),IF(OR(ISNUMBER($P252),ISNUMBER($O252)),"Complete","Missing: Information Sheet (was due 31/05/2026)"))))</f>
        <v/>
      </c>
      <c r="R252" s="52"/>
      <c r="S252" s="82">
        <f>IF(ISNUMBER($R252),$R252+364,IF(ISNUMBER($D252),$D252+364,""))</f>
        <v/>
      </c>
      <c r="T252" s="52"/>
      <c r="U252" s="82">
        <f>IF(ISNUMBER($T252),IF(ISNUMBER($S252),MAX(EDATE($T252,2),$S252),EDATE($T252,2)),"")</f>
        <v/>
      </c>
      <c r="V252" s="52"/>
      <c r="W252" s="52"/>
      <c r="X252" s="121">
        <f>IF(NOT(ISNUMBER($V252)),"",IF(ISNUMBER($W252),IF($W252-$V252&lt;=28,"Answered in time","LATE: answered after day 28"),IF(TODAY()-$V252&gt;28,"OVERDUE: no reply yet","Reply due by "&amp;TEXT($V252+28,"dd/mm/yyyy"))))</f>
        <v/>
      </c>
      <c r="Y252" s="54"/>
    </row>
    <row r="253" spans="1:25">
      <c r="A253" s="54"/>
      <c r="B253" s="54"/>
      <c r="C253" s="51"/>
      <c r="D253" s="52"/>
      <c r="E253" s="120"/>
      <c r="F253" s="120"/>
      <c r="G253" s="52"/>
      <c r="H253" s="52"/>
      <c r="I253" s="52"/>
      <c r="J253" s="121">
        <f>IF(OR($A253="",NOT(ISNUMBER($F253))),"",IF($F253&lt;=0,"No deposit",IF(NOT(ISNUMBER($G253)),"Enter date received",IF(AND(ISNUMBER($H253),ISNUMBER($I253)),IF(MAX($H253,$I253)-$G253&lt;=29,"OK","LATE: protected / info served after day 30"),IF(TODAY()-$G253&gt;29,"OVERDUE: not protected / info not served","Protect + serve info by "&amp;TEXT($G253+29,"dd/mm/yyyy"))))))</f>
        <v/>
      </c>
      <c r="K253" s="97">
        <f>IF(OR(NOT(ISNUMBER($E253)),NOT(ISNUMBER($F253))),"",IF($F253&lt;=$E253*12/52*5,"OK","Over 5 weeks"))</f>
        <v/>
      </c>
      <c r="L253" s="52"/>
      <c r="M253" s="52"/>
      <c r="N253" s="122">
        <f>IF(OR($A253="",NOT(ISNUMBER($L253))),IF($A253="","","Not recorded"),IF(NOT(ISNUMBER($M253)),"Checked (no follow-up)",IF($M253&lt;TODAY(),"OVERDUE: follow-up check",IF($M253-TODAY()&lt;=60,"Follow-up due "&amp;TEXT($M253,"dd/mm/yyyy"),"Checked"))))</f>
        <v/>
      </c>
      <c r="O253" s="52"/>
      <c r="P253" s="52"/>
      <c r="Q253" s="122">
        <f>IF($A253="","",IF(NOT(ISNUMBER($D253)),"Enter start date",IF($D253&gt;=DATE(2026,5,1),IF(ISNUMBER($O253),"Complete","Missing: written terms"),IF(OR(ISNUMBER($P253),ISNUMBER($O253)),"Complete","Missing: Information Sheet (was due 31/05/2026)"))))</f>
        <v/>
      </c>
      <c r="R253" s="52"/>
      <c r="S253" s="82">
        <f>IF(ISNUMBER($R253),$R253+364,IF(ISNUMBER($D253),$D253+364,""))</f>
        <v/>
      </c>
      <c r="T253" s="52"/>
      <c r="U253" s="82">
        <f>IF(ISNUMBER($T253),IF(ISNUMBER($S253),MAX(EDATE($T253,2),$S253),EDATE($T253,2)),"")</f>
        <v/>
      </c>
      <c r="V253" s="52"/>
      <c r="W253" s="52"/>
      <c r="X253" s="121">
        <f>IF(NOT(ISNUMBER($V253)),"",IF(ISNUMBER($W253),IF($W253-$V253&lt;=28,"Answered in time","LATE: answered after day 28"),IF(TODAY()-$V253&gt;28,"OVERDUE: no reply yet","Reply due by "&amp;TEXT($V253+28,"dd/mm/yyyy"))))</f>
        <v/>
      </c>
      <c r="Y253" s="54"/>
    </row>
    <row r="254" spans="1:25">
      <c r="A254" s="54"/>
      <c r="B254" s="54"/>
      <c r="C254" s="51"/>
      <c r="D254" s="52"/>
      <c r="E254" s="120"/>
      <c r="F254" s="120"/>
      <c r="G254" s="52"/>
      <c r="H254" s="52"/>
      <c r="I254" s="52"/>
      <c r="J254" s="121">
        <f>IF(OR($A254="",NOT(ISNUMBER($F254))),"",IF($F254&lt;=0,"No deposit",IF(NOT(ISNUMBER($G254)),"Enter date received",IF(AND(ISNUMBER($H254),ISNUMBER($I254)),IF(MAX($H254,$I254)-$G254&lt;=29,"OK","LATE: protected / info served after day 30"),IF(TODAY()-$G254&gt;29,"OVERDUE: not protected / info not served","Protect + serve info by "&amp;TEXT($G254+29,"dd/mm/yyyy"))))))</f>
        <v/>
      </c>
      <c r="K254" s="97">
        <f>IF(OR(NOT(ISNUMBER($E254)),NOT(ISNUMBER($F254))),"",IF($F254&lt;=$E254*12/52*5,"OK","Over 5 weeks"))</f>
        <v/>
      </c>
      <c r="L254" s="52"/>
      <c r="M254" s="52"/>
      <c r="N254" s="122">
        <f>IF(OR($A254="",NOT(ISNUMBER($L254))),IF($A254="","","Not recorded"),IF(NOT(ISNUMBER($M254)),"Checked (no follow-up)",IF($M254&lt;TODAY(),"OVERDUE: follow-up check",IF($M254-TODAY()&lt;=60,"Follow-up due "&amp;TEXT($M254,"dd/mm/yyyy"),"Checked"))))</f>
        <v/>
      </c>
      <c r="O254" s="52"/>
      <c r="P254" s="52"/>
      <c r="Q254" s="122">
        <f>IF($A254="","",IF(NOT(ISNUMBER($D254)),"Enter start date",IF($D254&gt;=DATE(2026,5,1),IF(ISNUMBER($O254),"Complete","Missing: written terms"),IF(OR(ISNUMBER($P254),ISNUMBER($O254)),"Complete","Missing: Information Sheet (was due 31/05/2026)"))))</f>
        <v/>
      </c>
      <c r="R254" s="52"/>
      <c r="S254" s="82">
        <f>IF(ISNUMBER($R254),$R254+364,IF(ISNUMBER($D254),$D254+364,""))</f>
        <v/>
      </c>
      <c r="T254" s="52"/>
      <c r="U254" s="82">
        <f>IF(ISNUMBER($T254),IF(ISNUMBER($S254),MAX(EDATE($T254,2),$S254),EDATE($T254,2)),"")</f>
        <v/>
      </c>
      <c r="V254" s="52"/>
      <c r="W254" s="52"/>
      <c r="X254" s="121">
        <f>IF(NOT(ISNUMBER($V254)),"",IF(ISNUMBER($W254),IF($W254-$V254&lt;=28,"Answered in time","LATE: answered after day 28"),IF(TODAY()-$V254&gt;28,"OVERDUE: no reply yet","Reply due by "&amp;TEXT($V254+28,"dd/mm/yyyy"))))</f>
        <v/>
      </c>
      <c r="Y254" s="54"/>
    </row>
    <row r="255" spans="1:25">
      <c r="A255" s="54"/>
      <c r="B255" s="54"/>
      <c r="C255" s="51"/>
      <c r="D255" s="52"/>
      <c r="E255" s="120"/>
      <c r="F255" s="120"/>
      <c r="G255" s="52"/>
      <c r="H255" s="52"/>
      <c r="I255" s="52"/>
      <c r="J255" s="121">
        <f>IF(OR($A255="",NOT(ISNUMBER($F255))),"",IF($F255&lt;=0,"No deposit",IF(NOT(ISNUMBER($G255)),"Enter date received",IF(AND(ISNUMBER($H255),ISNUMBER($I255)),IF(MAX($H255,$I255)-$G255&lt;=29,"OK","LATE: protected / info served after day 30"),IF(TODAY()-$G255&gt;29,"OVERDUE: not protected / info not served","Protect + serve info by "&amp;TEXT($G255+29,"dd/mm/yyyy"))))))</f>
        <v/>
      </c>
      <c r="K255" s="97">
        <f>IF(OR(NOT(ISNUMBER($E255)),NOT(ISNUMBER($F255))),"",IF($F255&lt;=$E255*12/52*5,"OK","Over 5 weeks"))</f>
        <v/>
      </c>
      <c r="L255" s="52"/>
      <c r="M255" s="52"/>
      <c r="N255" s="122">
        <f>IF(OR($A255="",NOT(ISNUMBER($L255))),IF($A255="","","Not recorded"),IF(NOT(ISNUMBER($M255)),"Checked (no follow-up)",IF($M255&lt;TODAY(),"OVERDUE: follow-up check",IF($M255-TODAY()&lt;=60,"Follow-up due "&amp;TEXT($M255,"dd/mm/yyyy"),"Checked"))))</f>
        <v/>
      </c>
      <c r="O255" s="52"/>
      <c r="P255" s="52"/>
      <c r="Q255" s="122">
        <f>IF($A255="","",IF(NOT(ISNUMBER($D255)),"Enter start date",IF($D255&gt;=DATE(2026,5,1),IF(ISNUMBER($O255),"Complete","Missing: written terms"),IF(OR(ISNUMBER($P255),ISNUMBER($O255)),"Complete","Missing: Information Sheet (was due 31/05/2026)"))))</f>
        <v/>
      </c>
      <c r="R255" s="52"/>
      <c r="S255" s="82">
        <f>IF(ISNUMBER($R255),$R255+364,IF(ISNUMBER($D255),$D255+364,""))</f>
        <v/>
      </c>
      <c r="T255" s="52"/>
      <c r="U255" s="82">
        <f>IF(ISNUMBER($T255),IF(ISNUMBER($S255),MAX(EDATE($T255,2),$S255),EDATE($T255,2)),"")</f>
        <v/>
      </c>
      <c r="V255" s="52"/>
      <c r="W255" s="52"/>
      <c r="X255" s="121">
        <f>IF(NOT(ISNUMBER($V255)),"",IF(ISNUMBER($W255),IF($W255-$V255&lt;=28,"Answered in time","LATE: answered after day 28"),IF(TODAY()-$V255&gt;28,"OVERDUE: no reply yet","Reply due by "&amp;TEXT($V255+28,"dd/mm/yyyy"))))</f>
        <v/>
      </c>
      <c r="Y255" s="54"/>
    </row>
    <row r="256" spans="1:25">
      <c r="A256" s="54"/>
      <c r="B256" s="54"/>
      <c r="C256" s="51"/>
      <c r="D256" s="52"/>
      <c r="E256" s="120"/>
      <c r="F256" s="120"/>
      <c r="G256" s="52"/>
      <c r="H256" s="52"/>
      <c r="I256" s="52"/>
      <c r="J256" s="121">
        <f>IF(OR($A256="",NOT(ISNUMBER($F256))),"",IF($F256&lt;=0,"No deposit",IF(NOT(ISNUMBER($G256)),"Enter date received",IF(AND(ISNUMBER($H256),ISNUMBER($I256)),IF(MAX($H256,$I256)-$G256&lt;=29,"OK","LATE: protected / info served after day 30"),IF(TODAY()-$G256&gt;29,"OVERDUE: not protected / info not served","Protect + serve info by "&amp;TEXT($G256+29,"dd/mm/yyyy"))))))</f>
        <v/>
      </c>
      <c r="K256" s="97">
        <f>IF(OR(NOT(ISNUMBER($E256)),NOT(ISNUMBER($F256))),"",IF($F256&lt;=$E256*12/52*5,"OK","Over 5 weeks"))</f>
        <v/>
      </c>
      <c r="L256" s="52"/>
      <c r="M256" s="52"/>
      <c r="N256" s="122">
        <f>IF(OR($A256="",NOT(ISNUMBER($L256))),IF($A256="","","Not recorded"),IF(NOT(ISNUMBER($M256)),"Checked (no follow-up)",IF($M256&lt;TODAY(),"OVERDUE: follow-up check",IF($M256-TODAY()&lt;=60,"Follow-up due "&amp;TEXT($M256,"dd/mm/yyyy"),"Checked"))))</f>
        <v/>
      </c>
      <c r="O256" s="52"/>
      <c r="P256" s="52"/>
      <c r="Q256" s="122">
        <f>IF($A256="","",IF(NOT(ISNUMBER($D256)),"Enter start date",IF($D256&gt;=DATE(2026,5,1),IF(ISNUMBER($O256),"Complete","Missing: written terms"),IF(OR(ISNUMBER($P256),ISNUMBER($O256)),"Complete","Missing: Information Sheet (was due 31/05/2026)"))))</f>
        <v/>
      </c>
      <c r="R256" s="52"/>
      <c r="S256" s="82">
        <f>IF(ISNUMBER($R256),$R256+364,IF(ISNUMBER($D256),$D256+364,""))</f>
        <v/>
      </c>
      <c r="T256" s="52"/>
      <c r="U256" s="82">
        <f>IF(ISNUMBER($T256),IF(ISNUMBER($S256),MAX(EDATE($T256,2),$S256),EDATE($T256,2)),"")</f>
        <v/>
      </c>
      <c r="V256" s="52"/>
      <c r="W256" s="52"/>
      <c r="X256" s="121">
        <f>IF(NOT(ISNUMBER($V256)),"",IF(ISNUMBER($W256),IF($W256-$V256&lt;=28,"Answered in time","LATE: answered after day 28"),IF(TODAY()-$V256&gt;28,"OVERDUE: no reply yet","Reply due by "&amp;TEXT($V256+28,"dd/mm/yyyy"))))</f>
        <v/>
      </c>
      <c r="Y256" s="54"/>
    </row>
    <row r="257" spans="1:25">
      <c r="A257" s="54"/>
      <c r="B257" s="54"/>
      <c r="C257" s="51"/>
      <c r="D257" s="52"/>
      <c r="E257" s="120"/>
      <c r="F257" s="120"/>
      <c r="G257" s="52"/>
      <c r="H257" s="52"/>
      <c r="I257" s="52"/>
      <c r="J257" s="121">
        <f>IF(OR($A257="",NOT(ISNUMBER($F257))),"",IF($F257&lt;=0,"No deposit",IF(NOT(ISNUMBER($G257)),"Enter date received",IF(AND(ISNUMBER($H257),ISNUMBER($I257)),IF(MAX($H257,$I257)-$G257&lt;=29,"OK","LATE: protected / info served after day 30"),IF(TODAY()-$G257&gt;29,"OVERDUE: not protected / info not served","Protect + serve info by "&amp;TEXT($G257+29,"dd/mm/yyyy"))))))</f>
        <v/>
      </c>
      <c r="K257" s="97">
        <f>IF(OR(NOT(ISNUMBER($E257)),NOT(ISNUMBER($F257))),"",IF($F257&lt;=$E257*12/52*5,"OK","Over 5 weeks"))</f>
        <v/>
      </c>
      <c r="L257" s="52"/>
      <c r="M257" s="52"/>
      <c r="N257" s="122">
        <f>IF(OR($A257="",NOT(ISNUMBER($L257))),IF($A257="","","Not recorded"),IF(NOT(ISNUMBER($M257)),"Checked (no follow-up)",IF($M257&lt;TODAY(),"OVERDUE: follow-up check",IF($M257-TODAY()&lt;=60,"Follow-up due "&amp;TEXT($M257,"dd/mm/yyyy"),"Checked"))))</f>
        <v/>
      </c>
      <c r="O257" s="52"/>
      <c r="P257" s="52"/>
      <c r="Q257" s="122">
        <f>IF($A257="","",IF(NOT(ISNUMBER($D257)),"Enter start date",IF($D257&gt;=DATE(2026,5,1),IF(ISNUMBER($O257),"Complete","Missing: written terms"),IF(OR(ISNUMBER($P257),ISNUMBER($O257)),"Complete","Missing: Information Sheet (was due 31/05/2026)"))))</f>
        <v/>
      </c>
      <c r="R257" s="52"/>
      <c r="S257" s="82">
        <f>IF(ISNUMBER($R257),$R257+364,IF(ISNUMBER($D257),$D257+364,""))</f>
        <v/>
      </c>
      <c r="T257" s="52"/>
      <c r="U257" s="82">
        <f>IF(ISNUMBER($T257),IF(ISNUMBER($S257),MAX(EDATE($T257,2),$S257),EDATE($T257,2)),"")</f>
        <v/>
      </c>
      <c r="V257" s="52"/>
      <c r="W257" s="52"/>
      <c r="X257" s="121">
        <f>IF(NOT(ISNUMBER($V257)),"",IF(ISNUMBER($W257),IF($W257-$V257&lt;=28,"Answered in time","LATE: answered after day 28"),IF(TODAY()-$V257&gt;28,"OVERDUE: no reply yet","Reply due by "&amp;TEXT($V257+28,"dd/mm/yyyy"))))</f>
        <v/>
      </c>
      <c r="Y257" s="54"/>
    </row>
    <row r="258" spans="1:25">
      <c r="A258" s="54"/>
      <c r="B258" s="54"/>
      <c r="C258" s="51"/>
      <c r="D258" s="52"/>
      <c r="E258" s="120"/>
      <c r="F258" s="120"/>
      <c r="G258" s="52"/>
      <c r="H258" s="52"/>
      <c r="I258" s="52"/>
      <c r="J258" s="121">
        <f>IF(OR($A258="",NOT(ISNUMBER($F258))),"",IF($F258&lt;=0,"No deposit",IF(NOT(ISNUMBER($G258)),"Enter date received",IF(AND(ISNUMBER($H258),ISNUMBER($I258)),IF(MAX($H258,$I258)-$G258&lt;=29,"OK","LATE: protected / info served after day 30"),IF(TODAY()-$G258&gt;29,"OVERDUE: not protected / info not served","Protect + serve info by "&amp;TEXT($G258+29,"dd/mm/yyyy"))))))</f>
        <v/>
      </c>
      <c r="K258" s="97">
        <f>IF(OR(NOT(ISNUMBER($E258)),NOT(ISNUMBER($F258))),"",IF($F258&lt;=$E258*12/52*5,"OK","Over 5 weeks"))</f>
        <v/>
      </c>
      <c r="L258" s="52"/>
      <c r="M258" s="52"/>
      <c r="N258" s="122">
        <f>IF(OR($A258="",NOT(ISNUMBER($L258))),IF($A258="","","Not recorded"),IF(NOT(ISNUMBER($M258)),"Checked (no follow-up)",IF($M258&lt;TODAY(),"OVERDUE: follow-up check",IF($M258-TODAY()&lt;=60,"Follow-up due "&amp;TEXT($M258,"dd/mm/yyyy"),"Checked"))))</f>
        <v/>
      </c>
      <c r="O258" s="52"/>
      <c r="P258" s="52"/>
      <c r="Q258" s="122">
        <f>IF($A258="","",IF(NOT(ISNUMBER($D258)),"Enter start date",IF($D258&gt;=DATE(2026,5,1),IF(ISNUMBER($O258),"Complete","Missing: written terms"),IF(OR(ISNUMBER($P258),ISNUMBER($O258)),"Complete","Missing: Information Sheet (was due 31/05/2026)"))))</f>
        <v/>
      </c>
      <c r="R258" s="52"/>
      <c r="S258" s="82">
        <f>IF(ISNUMBER($R258),$R258+364,IF(ISNUMBER($D258),$D258+364,""))</f>
        <v/>
      </c>
      <c r="T258" s="52"/>
      <c r="U258" s="82">
        <f>IF(ISNUMBER($T258),IF(ISNUMBER($S258),MAX(EDATE($T258,2),$S258),EDATE($T258,2)),"")</f>
        <v/>
      </c>
      <c r="V258" s="52"/>
      <c r="W258" s="52"/>
      <c r="X258" s="121">
        <f>IF(NOT(ISNUMBER($V258)),"",IF(ISNUMBER($W258),IF($W258-$V258&lt;=28,"Answered in time","LATE: answered after day 28"),IF(TODAY()-$V258&gt;28,"OVERDUE: no reply yet","Reply due by "&amp;TEXT($V258+28,"dd/mm/yyyy"))))</f>
        <v/>
      </c>
      <c r="Y258" s="54"/>
    </row>
    <row r="259" spans="1:25">
      <c r="A259" s="54"/>
      <c r="B259" s="54"/>
      <c r="C259" s="51"/>
      <c r="D259" s="52"/>
      <c r="E259" s="120"/>
      <c r="F259" s="120"/>
      <c r="G259" s="52"/>
      <c r="H259" s="52"/>
      <c r="I259" s="52"/>
      <c r="J259" s="121">
        <f>IF(OR($A259="",NOT(ISNUMBER($F259))),"",IF($F259&lt;=0,"No deposit",IF(NOT(ISNUMBER($G259)),"Enter date received",IF(AND(ISNUMBER($H259),ISNUMBER($I259)),IF(MAX($H259,$I259)-$G259&lt;=29,"OK","LATE: protected / info served after day 30"),IF(TODAY()-$G259&gt;29,"OVERDUE: not protected / info not served","Protect + serve info by "&amp;TEXT($G259+29,"dd/mm/yyyy"))))))</f>
        <v/>
      </c>
      <c r="K259" s="97">
        <f>IF(OR(NOT(ISNUMBER($E259)),NOT(ISNUMBER($F259))),"",IF($F259&lt;=$E259*12/52*5,"OK","Over 5 weeks"))</f>
        <v/>
      </c>
      <c r="L259" s="52"/>
      <c r="M259" s="52"/>
      <c r="N259" s="122">
        <f>IF(OR($A259="",NOT(ISNUMBER($L259))),IF($A259="","","Not recorded"),IF(NOT(ISNUMBER($M259)),"Checked (no follow-up)",IF($M259&lt;TODAY(),"OVERDUE: follow-up check",IF($M259-TODAY()&lt;=60,"Follow-up due "&amp;TEXT($M259,"dd/mm/yyyy"),"Checked"))))</f>
        <v/>
      </c>
      <c r="O259" s="52"/>
      <c r="P259" s="52"/>
      <c r="Q259" s="122">
        <f>IF($A259="","",IF(NOT(ISNUMBER($D259)),"Enter start date",IF($D259&gt;=DATE(2026,5,1),IF(ISNUMBER($O259),"Complete","Missing: written terms"),IF(OR(ISNUMBER($P259),ISNUMBER($O259)),"Complete","Missing: Information Sheet (was due 31/05/2026)"))))</f>
        <v/>
      </c>
      <c r="R259" s="52"/>
      <c r="S259" s="82">
        <f>IF(ISNUMBER($R259),$R259+364,IF(ISNUMBER($D259),$D259+364,""))</f>
        <v/>
      </c>
      <c r="T259" s="52"/>
      <c r="U259" s="82">
        <f>IF(ISNUMBER($T259),IF(ISNUMBER($S259),MAX(EDATE($T259,2),$S259),EDATE($T259,2)),"")</f>
        <v/>
      </c>
      <c r="V259" s="52"/>
      <c r="W259" s="52"/>
      <c r="X259" s="121">
        <f>IF(NOT(ISNUMBER($V259)),"",IF(ISNUMBER($W259),IF($W259-$V259&lt;=28,"Answered in time","LATE: answered after day 28"),IF(TODAY()-$V259&gt;28,"OVERDUE: no reply yet","Reply due by "&amp;TEXT($V259+28,"dd/mm/yyyy"))))</f>
        <v/>
      </c>
      <c r="Y259" s="54"/>
    </row>
    <row r="260" spans="1:25">
      <c r="A260" s="54"/>
      <c r="B260" s="54"/>
      <c r="C260" s="51"/>
      <c r="D260" s="52"/>
      <c r="E260" s="120"/>
      <c r="F260" s="120"/>
      <c r="G260" s="52"/>
      <c r="H260" s="52"/>
      <c r="I260" s="52"/>
      <c r="J260" s="121">
        <f>IF(OR($A260="",NOT(ISNUMBER($F260))),"",IF($F260&lt;=0,"No deposit",IF(NOT(ISNUMBER($G260)),"Enter date received",IF(AND(ISNUMBER($H260),ISNUMBER($I260)),IF(MAX($H260,$I260)-$G260&lt;=29,"OK","LATE: protected / info served after day 30"),IF(TODAY()-$G260&gt;29,"OVERDUE: not protected / info not served","Protect + serve info by "&amp;TEXT($G260+29,"dd/mm/yyyy"))))))</f>
        <v/>
      </c>
      <c r="K260" s="97">
        <f>IF(OR(NOT(ISNUMBER($E260)),NOT(ISNUMBER($F260))),"",IF($F260&lt;=$E260*12/52*5,"OK","Over 5 weeks"))</f>
        <v/>
      </c>
      <c r="L260" s="52"/>
      <c r="M260" s="52"/>
      <c r="N260" s="122">
        <f>IF(OR($A260="",NOT(ISNUMBER($L260))),IF($A260="","","Not recorded"),IF(NOT(ISNUMBER($M260)),"Checked (no follow-up)",IF($M260&lt;TODAY(),"OVERDUE: follow-up check",IF($M260-TODAY()&lt;=60,"Follow-up due "&amp;TEXT($M260,"dd/mm/yyyy"),"Checked"))))</f>
        <v/>
      </c>
      <c r="O260" s="52"/>
      <c r="P260" s="52"/>
      <c r="Q260" s="122">
        <f>IF($A260="","",IF(NOT(ISNUMBER($D260)),"Enter start date",IF($D260&gt;=DATE(2026,5,1),IF(ISNUMBER($O260),"Complete","Missing: written terms"),IF(OR(ISNUMBER($P260),ISNUMBER($O260)),"Complete","Missing: Information Sheet (was due 31/05/2026)"))))</f>
        <v/>
      </c>
      <c r="R260" s="52"/>
      <c r="S260" s="82">
        <f>IF(ISNUMBER($R260),$R260+364,IF(ISNUMBER($D260),$D260+364,""))</f>
        <v/>
      </c>
      <c r="T260" s="52"/>
      <c r="U260" s="82">
        <f>IF(ISNUMBER($T260),IF(ISNUMBER($S260),MAX(EDATE($T260,2),$S260),EDATE($T260,2)),"")</f>
        <v/>
      </c>
      <c r="V260" s="52"/>
      <c r="W260" s="52"/>
      <c r="X260" s="121">
        <f>IF(NOT(ISNUMBER($V260)),"",IF(ISNUMBER($W260),IF($W260-$V260&lt;=28,"Answered in time","LATE: answered after day 28"),IF(TODAY()-$V260&gt;28,"OVERDUE: no reply yet","Reply due by "&amp;TEXT($V260+28,"dd/mm/yyyy"))))</f>
        <v/>
      </c>
      <c r="Y260" s="54"/>
    </row>
    <row r="261" spans="1:25">
      <c r="A261" s="54"/>
      <c r="B261" s="54"/>
      <c r="C261" s="51"/>
      <c r="D261" s="52"/>
      <c r="E261" s="120"/>
      <c r="F261" s="120"/>
      <c r="G261" s="52"/>
      <c r="H261" s="52"/>
      <c r="I261" s="52"/>
      <c r="J261" s="121">
        <f>IF(OR($A261="",NOT(ISNUMBER($F261))),"",IF($F261&lt;=0,"No deposit",IF(NOT(ISNUMBER($G261)),"Enter date received",IF(AND(ISNUMBER($H261),ISNUMBER($I261)),IF(MAX($H261,$I261)-$G261&lt;=29,"OK","LATE: protected / info served after day 30"),IF(TODAY()-$G261&gt;29,"OVERDUE: not protected / info not served","Protect + serve info by "&amp;TEXT($G261+29,"dd/mm/yyyy"))))))</f>
        <v/>
      </c>
      <c r="K261" s="97">
        <f>IF(OR(NOT(ISNUMBER($E261)),NOT(ISNUMBER($F261))),"",IF($F261&lt;=$E261*12/52*5,"OK","Over 5 weeks"))</f>
        <v/>
      </c>
      <c r="L261" s="52"/>
      <c r="M261" s="52"/>
      <c r="N261" s="122">
        <f>IF(OR($A261="",NOT(ISNUMBER($L261))),IF($A261="","","Not recorded"),IF(NOT(ISNUMBER($M261)),"Checked (no follow-up)",IF($M261&lt;TODAY(),"OVERDUE: follow-up check",IF($M261-TODAY()&lt;=60,"Follow-up due "&amp;TEXT($M261,"dd/mm/yyyy"),"Checked"))))</f>
        <v/>
      </c>
      <c r="O261" s="52"/>
      <c r="P261" s="52"/>
      <c r="Q261" s="122">
        <f>IF($A261="","",IF(NOT(ISNUMBER($D261)),"Enter start date",IF($D261&gt;=DATE(2026,5,1),IF(ISNUMBER($O261),"Complete","Missing: written terms"),IF(OR(ISNUMBER($P261),ISNUMBER($O261)),"Complete","Missing: Information Sheet (was due 31/05/2026)"))))</f>
        <v/>
      </c>
      <c r="R261" s="52"/>
      <c r="S261" s="82">
        <f>IF(ISNUMBER($R261),$R261+364,IF(ISNUMBER($D261),$D261+364,""))</f>
        <v/>
      </c>
      <c r="T261" s="52"/>
      <c r="U261" s="82">
        <f>IF(ISNUMBER($T261),IF(ISNUMBER($S261),MAX(EDATE($T261,2),$S261),EDATE($T261,2)),"")</f>
        <v/>
      </c>
      <c r="V261" s="52"/>
      <c r="W261" s="52"/>
      <c r="X261" s="121">
        <f>IF(NOT(ISNUMBER($V261)),"",IF(ISNUMBER($W261),IF($W261-$V261&lt;=28,"Answered in time","LATE: answered after day 28"),IF(TODAY()-$V261&gt;28,"OVERDUE: no reply yet","Reply due by "&amp;TEXT($V261+28,"dd/mm/yyyy"))))</f>
        <v/>
      </c>
      <c r="Y261" s="54"/>
    </row>
    <row r="262" spans="1:25">
      <c r="A262" s="54"/>
      <c r="B262" s="54"/>
      <c r="C262" s="51"/>
      <c r="D262" s="52"/>
      <c r="E262" s="120"/>
      <c r="F262" s="120"/>
      <c r="G262" s="52"/>
      <c r="H262" s="52"/>
      <c r="I262" s="52"/>
      <c r="J262" s="121">
        <f>IF(OR($A262="",NOT(ISNUMBER($F262))),"",IF($F262&lt;=0,"No deposit",IF(NOT(ISNUMBER($G262)),"Enter date received",IF(AND(ISNUMBER($H262),ISNUMBER($I262)),IF(MAX($H262,$I262)-$G262&lt;=29,"OK","LATE: protected / info served after day 30"),IF(TODAY()-$G262&gt;29,"OVERDUE: not protected / info not served","Protect + serve info by "&amp;TEXT($G262+29,"dd/mm/yyyy"))))))</f>
        <v/>
      </c>
      <c r="K262" s="97">
        <f>IF(OR(NOT(ISNUMBER($E262)),NOT(ISNUMBER($F262))),"",IF($F262&lt;=$E262*12/52*5,"OK","Over 5 weeks"))</f>
        <v/>
      </c>
      <c r="L262" s="52"/>
      <c r="M262" s="52"/>
      <c r="N262" s="122">
        <f>IF(OR($A262="",NOT(ISNUMBER($L262))),IF($A262="","","Not recorded"),IF(NOT(ISNUMBER($M262)),"Checked (no follow-up)",IF($M262&lt;TODAY(),"OVERDUE: follow-up check",IF($M262-TODAY()&lt;=60,"Follow-up due "&amp;TEXT($M262,"dd/mm/yyyy"),"Checked"))))</f>
        <v/>
      </c>
      <c r="O262" s="52"/>
      <c r="P262" s="52"/>
      <c r="Q262" s="122">
        <f>IF($A262="","",IF(NOT(ISNUMBER($D262)),"Enter start date",IF($D262&gt;=DATE(2026,5,1),IF(ISNUMBER($O262),"Complete","Missing: written terms"),IF(OR(ISNUMBER($P262),ISNUMBER($O262)),"Complete","Missing: Information Sheet (was due 31/05/2026)"))))</f>
        <v/>
      </c>
      <c r="R262" s="52"/>
      <c r="S262" s="82">
        <f>IF(ISNUMBER($R262),$R262+364,IF(ISNUMBER($D262),$D262+364,""))</f>
        <v/>
      </c>
      <c r="T262" s="52"/>
      <c r="U262" s="82">
        <f>IF(ISNUMBER($T262),IF(ISNUMBER($S262),MAX(EDATE($T262,2),$S262),EDATE($T262,2)),"")</f>
        <v/>
      </c>
      <c r="V262" s="52"/>
      <c r="W262" s="52"/>
      <c r="X262" s="121">
        <f>IF(NOT(ISNUMBER($V262)),"",IF(ISNUMBER($W262),IF($W262-$V262&lt;=28,"Answered in time","LATE: answered after day 28"),IF(TODAY()-$V262&gt;28,"OVERDUE: no reply yet","Reply due by "&amp;TEXT($V262+28,"dd/mm/yyyy"))))</f>
        <v/>
      </c>
      <c r="Y262" s="54"/>
    </row>
    <row r="263" spans="1:25">
      <c r="A263" s="54"/>
      <c r="B263" s="54"/>
      <c r="C263" s="51"/>
      <c r="D263" s="52"/>
      <c r="E263" s="120"/>
      <c r="F263" s="120"/>
      <c r="G263" s="52"/>
      <c r="H263" s="52"/>
      <c r="I263" s="52"/>
      <c r="J263" s="121">
        <f>IF(OR($A263="",NOT(ISNUMBER($F263))),"",IF($F263&lt;=0,"No deposit",IF(NOT(ISNUMBER($G263)),"Enter date received",IF(AND(ISNUMBER($H263),ISNUMBER($I263)),IF(MAX($H263,$I263)-$G263&lt;=29,"OK","LATE: protected / info served after day 30"),IF(TODAY()-$G263&gt;29,"OVERDUE: not protected / info not served","Protect + serve info by "&amp;TEXT($G263+29,"dd/mm/yyyy"))))))</f>
        <v/>
      </c>
      <c r="K263" s="97">
        <f>IF(OR(NOT(ISNUMBER($E263)),NOT(ISNUMBER($F263))),"",IF($F263&lt;=$E263*12/52*5,"OK","Over 5 weeks"))</f>
        <v/>
      </c>
      <c r="L263" s="52"/>
      <c r="M263" s="52"/>
      <c r="N263" s="122">
        <f>IF(OR($A263="",NOT(ISNUMBER($L263))),IF($A263="","","Not recorded"),IF(NOT(ISNUMBER($M263)),"Checked (no follow-up)",IF($M263&lt;TODAY(),"OVERDUE: follow-up check",IF($M263-TODAY()&lt;=60,"Follow-up due "&amp;TEXT($M263,"dd/mm/yyyy"),"Checked"))))</f>
        <v/>
      </c>
      <c r="O263" s="52"/>
      <c r="P263" s="52"/>
      <c r="Q263" s="122">
        <f>IF($A263="","",IF(NOT(ISNUMBER($D263)),"Enter start date",IF($D263&gt;=DATE(2026,5,1),IF(ISNUMBER($O263),"Complete","Missing: written terms"),IF(OR(ISNUMBER($P263),ISNUMBER($O263)),"Complete","Missing: Information Sheet (was due 31/05/2026)"))))</f>
        <v/>
      </c>
      <c r="R263" s="52"/>
      <c r="S263" s="82">
        <f>IF(ISNUMBER($R263),$R263+364,IF(ISNUMBER($D263),$D263+364,""))</f>
        <v/>
      </c>
      <c r="T263" s="52"/>
      <c r="U263" s="82">
        <f>IF(ISNUMBER($T263),IF(ISNUMBER($S263),MAX(EDATE($T263,2),$S263),EDATE($T263,2)),"")</f>
        <v/>
      </c>
      <c r="V263" s="52"/>
      <c r="W263" s="52"/>
      <c r="X263" s="121">
        <f>IF(NOT(ISNUMBER($V263)),"",IF(ISNUMBER($W263),IF($W263-$V263&lt;=28,"Answered in time","LATE: answered after day 28"),IF(TODAY()-$V263&gt;28,"OVERDUE: no reply yet","Reply due by "&amp;TEXT($V263+28,"dd/mm/yyyy"))))</f>
        <v/>
      </c>
      <c r="Y263" s="54"/>
    </row>
    <row r="264" spans="1:25">
      <c r="A264" s="54"/>
      <c r="B264" s="54"/>
      <c r="C264" s="51"/>
      <c r="D264" s="52"/>
      <c r="E264" s="120"/>
      <c r="F264" s="120"/>
      <c r="G264" s="52"/>
      <c r="H264" s="52"/>
      <c r="I264" s="52"/>
      <c r="J264" s="121">
        <f>IF(OR($A264="",NOT(ISNUMBER($F264))),"",IF($F264&lt;=0,"No deposit",IF(NOT(ISNUMBER($G264)),"Enter date received",IF(AND(ISNUMBER($H264),ISNUMBER($I264)),IF(MAX($H264,$I264)-$G264&lt;=29,"OK","LATE: protected / info served after day 30"),IF(TODAY()-$G264&gt;29,"OVERDUE: not protected / info not served","Protect + serve info by "&amp;TEXT($G264+29,"dd/mm/yyyy"))))))</f>
        <v/>
      </c>
      <c r="K264" s="97">
        <f>IF(OR(NOT(ISNUMBER($E264)),NOT(ISNUMBER($F264))),"",IF($F264&lt;=$E264*12/52*5,"OK","Over 5 weeks"))</f>
        <v/>
      </c>
      <c r="L264" s="52"/>
      <c r="M264" s="52"/>
      <c r="N264" s="122">
        <f>IF(OR($A264="",NOT(ISNUMBER($L264))),IF($A264="","","Not recorded"),IF(NOT(ISNUMBER($M264)),"Checked (no follow-up)",IF($M264&lt;TODAY(),"OVERDUE: follow-up check",IF($M264-TODAY()&lt;=60,"Follow-up due "&amp;TEXT($M264,"dd/mm/yyyy"),"Checked"))))</f>
        <v/>
      </c>
      <c r="O264" s="52"/>
      <c r="P264" s="52"/>
      <c r="Q264" s="122">
        <f>IF($A264="","",IF(NOT(ISNUMBER($D264)),"Enter start date",IF($D264&gt;=DATE(2026,5,1),IF(ISNUMBER($O264),"Complete","Missing: written terms"),IF(OR(ISNUMBER($P264),ISNUMBER($O264)),"Complete","Missing: Information Sheet (was due 31/05/2026)"))))</f>
        <v/>
      </c>
      <c r="R264" s="52"/>
      <c r="S264" s="82">
        <f>IF(ISNUMBER($R264),$R264+364,IF(ISNUMBER($D264),$D264+364,""))</f>
        <v/>
      </c>
      <c r="T264" s="52"/>
      <c r="U264" s="82">
        <f>IF(ISNUMBER($T264),IF(ISNUMBER($S264),MAX(EDATE($T264,2),$S264),EDATE($T264,2)),"")</f>
        <v/>
      </c>
      <c r="V264" s="52"/>
      <c r="W264" s="52"/>
      <c r="X264" s="121">
        <f>IF(NOT(ISNUMBER($V264)),"",IF(ISNUMBER($W264),IF($W264-$V264&lt;=28,"Answered in time","LATE: answered after day 28"),IF(TODAY()-$V264&gt;28,"OVERDUE: no reply yet","Reply due by "&amp;TEXT($V264+28,"dd/mm/yyyy"))))</f>
        <v/>
      </c>
      <c r="Y264" s="54"/>
    </row>
    <row r="265" spans="1:25">
      <c r="A265" s="54"/>
      <c r="B265" s="54"/>
      <c r="C265" s="51"/>
      <c r="D265" s="52"/>
      <c r="E265" s="120"/>
      <c r="F265" s="120"/>
      <c r="G265" s="52"/>
      <c r="H265" s="52"/>
      <c r="I265" s="52"/>
      <c r="J265" s="121">
        <f>IF(OR($A265="",NOT(ISNUMBER($F265))),"",IF($F265&lt;=0,"No deposit",IF(NOT(ISNUMBER($G265)),"Enter date received",IF(AND(ISNUMBER($H265),ISNUMBER($I265)),IF(MAX($H265,$I265)-$G265&lt;=29,"OK","LATE: protected / info served after day 30"),IF(TODAY()-$G265&gt;29,"OVERDUE: not protected / info not served","Protect + serve info by "&amp;TEXT($G265+29,"dd/mm/yyyy"))))))</f>
        <v/>
      </c>
      <c r="K265" s="97">
        <f>IF(OR(NOT(ISNUMBER($E265)),NOT(ISNUMBER($F265))),"",IF($F265&lt;=$E265*12/52*5,"OK","Over 5 weeks"))</f>
        <v/>
      </c>
      <c r="L265" s="52"/>
      <c r="M265" s="52"/>
      <c r="N265" s="122">
        <f>IF(OR($A265="",NOT(ISNUMBER($L265))),IF($A265="","","Not recorded"),IF(NOT(ISNUMBER($M265)),"Checked (no follow-up)",IF($M265&lt;TODAY(),"OVERDUE: follow-up check",IF($M265-TODAY()&lt;=60,"Follow-up due "&amp;TEXT($M265,"dd/mm/yyyy"),"Checked"))))</f>
        <v/>
      </c>
      <c r="O265" s="52"/>
      <c r="P265" s="52"/>
      <c r="Q265" s="122">
        <f>IF($A265="","",IF(NOT(ISNUMBER($D265)),"Enter start date",IF($D265&gt;=DATE(2026,5,1),IF(ISNUMBER($O265),"Complete","Missing: written terms"),IF(OR(ISNUMBER($P265),ISNUMBER($O265)),"Complete","Missing: Information Sheet (was due 31/05/2026)"))))</f>
        <v/>
      </c>
      <c r="R265" s="52"/>
      <c r="S265" s="82">
        <f>IF(ISNUMBER($R265),$R265+364,IF(ISNUMBER($D265),$D265+364,""))</f>
        <v/>
      </c>
      <c r="T265" s="52"/>
      <c r="U265" s="82">
        <f>IF(ISNUMBER($T265),IF(ISNUMBER($S265),MAX(EDATE($T265,2),$S265),EDATE($T265,2)),"")</f>
        <v/>
      </c>
      <c r="V265" s="52"/>
      <c r="W265" s="52"/>
      <c r="X265" s="121">
        <f>IF(NOT(ISNUMBER($V265)),"",IF(ISNUMBER($W265),IF($W265-$V265&lt;=28,"Answered in time","LATE: answered after day 28"),IF(TODAY()-$V265&gt;28,"OVERDUE: no reply yet","Reply due by "&amp;TEXT($V265+28,"dd/mm/yyyy"))))</f>
        <v/>
      </c>
      <c r="Y265" s="54"/>
    </row>
    <row r="266" spans="1:25">
      <c r="A266" s="54"/>
      <c r="B266" s="54"/>
      <c r="C266" s="51"/>
      <c r="D266" s="52"/>
      <c r="E266" s="120"/>
      <c r="F266" s="120"/>
      <c r="G266" s="52"/>
      <c r="H266" s="52"/>
      <c r="I266" s="52"/>
      <c r="J266" s="121">
        <f>IF(OR($A266="",NOT(ISNUMBER($F266))),"",IF($F266&lt;=0,"No deposit",IF(NOT(ISNUMBER($G266)),"Enter date received",IF(AND(ISNUMBER($H266),ISNUMBER($I266)),IF(MAX($H266,$I266)-$G266&lt;=29,"OK","LATE: protected / info served after day 30"),IF(TODAY()-$G266&gt;29,"OVERDUE: not protected / info not served","Protect + serve info by "&amp;TEXT($G266+29,"dd/mm/yyyy"))))))</f>
        <v/>
      </c>
      <c r="K266" s="97">
        <f>IF(OR(NOT(ISNUMBER($E266)),NOT(ISNUMBER($F266))),"",IF($F266&lt;=$E266*12/52*5,"OK","Over 5 weeks"))</f>
        <v/>
      </c>
      <c r="L266" s="52"/>
      <c r="M266" s="52"/>
      <c r="N266" s="122">
        <f>IF(OR($A266="",NOT(ISNUMBER($L266))),IF($A266="","","Not recorded"),IF(NOT(ISNUMBER($M266)),"Checked (no follow-up)",IF($M266&lt;TODAY(),"OVERDUE: follow-up check",IF($M266-TODAY()&lt;=60,"Follow-up due "&amp;TEXT($M266,"dd/mm/yyyy"),"Checked"))))</f>
        <v/>
      </c>
      <c r="O266" s="52"/>
      <c r="P266" s="52"/>
      <c r="Q266" s="122">
        <f>IF($A266="","",IF(NOT(ISNUMBER($D266)),"Enter start date",IF($D266&gt;=DATE(2026,5,1),IF(ISNUMBER($O266),"Complete","Missing: written terms"),IF(OR(ISNUMBER($P266),ISNUMBER($O266)),"Complete","Missing: Information Sheet (was due 31/05/2026)"))))</f>
        <v/>
      </c>
      <c r="R266" s="52"/>
      <c r="S266" s="82">
        <f>IF(ISNUMBER($R266),$R266+364,IF(ISNUMBER($D266),$D266+364,""))</f>
        <v/>
      </c>
      <c r="T266" s="52"/>
      <c r="U266" s="82">
        <f>IF(ISNUMBER($T266),IF(ISNUMBER($S266),MAX(EDATE($T266,2),$S266),EDATE($T266,2)),"")</f>
        <v/>
      </c>
      <c r="V266" s="52"/>
      <c r="W266" s="52"/>
      <c r="X266" s="121">
        <f>IF(NOT(ISNUMBER($V266)),"",IF(ISNUMBER($W266),IF($W266-$V266&lt;=28,"Answered in time","LATE: answered after day 28"),IF(TODAY()-$V266&gt;28,"OVERDUE: no reply yet","Reply due by "&amp;TEXT($V266+28,"dd/mm/yyyy"))))</f>
        <v/>
      </c>
      <c r="Y266" s="54"/>
    </row>
    <row r="267" spans="1:25">
      <c r="A267" s="54"/>
      <c r="B267" s="54"/>
      <c r="C267" s="51"/>
      <c r="D267" s="52"/>
      <c r="E267" s="120"/>
      <c r="F267" s="120"/>
      <c r="G267" s="52"/>
      <c r="H267" s="52"/>
      <c r="I267" s="52"/>
      <c r="J267" s="121">
        <f>IF(OR($A267="",NOT(ISNUMBER($F267))),"",IF($F267&lt;=0,"No deposit",IF(NOT(ISNUMBER($G267)),"Enter date received",IF(AND(ISNUMBER($H267),ISNUMBER($I267)),IF(MAX($H267,$I267)-$G267&lt;=29,"OK","LATE: protected / info served after day 30"),IF(TODAY()-$G267&gt;29,"OVERDUE: not protected / info not served","Protect + serve info by "&amp;TEXT($G267+29,"dd/mm/yyyy"))))))</f>
        <v/>
      </c>
      <c r="K267" s="97">
        <f>IF(OR(NOT(ISNUMBER($E267)),NOT(ISNUMBER($F267))),"",IF($F267&lt;=$E267*12/52*5,"OK","Over 5 weeks"))</f>
        <v/>
      </c>
      <c r="L267" s="52"/>
      <c r="M267" s="52"/>
      <c r="N267" s="122">
        <f>IF(OR($A267="",NOT(ISNUMBER($L267))),IF($A267="","","Not recorded"),IF(NOT(ISNUMBER($M267)),"Checked (no follow-up)",IF($M267&lt;TODAY(),"OVERDUE: follow-up check",IF($M267-TODAY()&lt;=60,"Follow-up due "&amp;TEXT($M267,"dd/mm/yyyy"),"Checked"))))</f>
        <v/>
      </c>
      <c r="O267" s="52"/>
      <c r="P267" s="52"/>
      <c r="Q267" s="122">
        <f>IF($A267="","",IF(NOT(ISNUMBER($D267)),"Enter start date",IF($D267&gt;=DATE(2026,5,1),IF(ISNUMBER($O267),"Complete","Missing: written terms"),IF(OR(ISNUMBER($P267),ISNUMBER($O267)),"Complete","Missing: Information Sheet (was due 31/05/2026)"))))</f>
        <v/>
      </c>
      <c r="R267" s="52"/>
      <c r="S267" s="82">
        <f>IF(ISNUMBER($R267),$R267+364,IF(ISNUMBER($D267),$D267+364,""))</f>
        <v/>
      </c>
      <c r="T267" s="52"/>
      <c r="U267" s="82">
        <f>IF(ISNUMBER($T267),IF(ISNUMBER($S267),MAX(EDATE($T267,2),$S267),EDATE($T267,2)),"")</f>
        <v/>
      </c>
      <c r="V267" s="52"/>
      <c r="W267" s="52"/>
      <c r="X267" s="121">
        <f>IF(NOT(ISNUMBER($V267)),"",IF(ISNUMBER($W267),IF($W267-$V267&lt;=28,"Answered in time","LATE: answered after day 28"),IF(TODAY()-$V267&gt;28,"OVERDUE: no reply yet","Reply due by "&amp;TEXT($V267+28,"dd/mm/yyyy"))))</f>
        <v/>
      </c>
      <c r="Y267" s="54"/>
    </row>
    <row r="268" spans="1:25">
      <c r="A268" s="54"/>
      <c r="B268" s="54"/>
      <c r="C268" s="51"/>
      <c r="D268" s="52"/>
      <c r="E268" s="120"/>
      <c r="F268" s="120"/>
      <c r="G268" s="52"/>
      <c r="H268" s="52"/>
      <c r="I268" s="52"/>
      <c r="J268" s="121">
        <f>IF(OR($A268="",NOT(ISNUMBER($F268))),"",IF($F268&lt;=0,"No deposit",IF(NOT(ISNUMBER($G268)),"Enter date received",IF(AND(ISNUMBER($H268),ISNUMBER($I268)),IF(MAX($H268,$I268)-$G268&lt;=29,"OK","LATE: protected / info served after day 30"),IF(TODAY()-$G268&gt;29,"OVERDUE: not protected / info not served","Protect + serve info by "&amp;TEXT($G268+29,"dd/mm/yyyy"))))))</f>
        <v/>
      </c>
      <c r="K268" s="97">
        <f>IF(OR(NOT(ISNUMBER($E268)),NOT(ISNUMBER($F268))),"",IF($F268&lt;=$E268*12/52*5,"OK","Over 5 weeks"))</f>
        <v/>
      </c>
      <c r="L268" s="52"/>
      <c r="M268" s="52"/>
      <c r="N268" s="122">
        <f>IF(OR($A268="",NOT(ISNUMBER($L268))),IF($A268="","","Not recorded"),IF(NOT(ISNUMBER($M268)),"Checked (no follow-up)",IF($M268&lt;TODAY(),"OVERDUE: follow-up check",IF($M268-TODAY()&lt;=60,"Follow-up due "&amp;TEXT($M268,"dd/mm/yyyy"),"Checked"))))</f>
        <v/>
      </c>
      <c r="O268" s="52"/>
      <c r="P268" s="52"/>
      <c r="Q268" s="122">
        <f>IF($A268="","",IF(NOT(ISNUMBER($D268)),"Enter start date",IF($D268&gt;=DATE(2026,5,1),IF(ISNUMBER($O268),"Complete","Missing: written terms"),IF(OR(ISNUMBER($P268),ISNUMBER($O268)),"Complete","Missing: Information Sheet (was due 31/05/2026)"))))</f>
        <v/>
      </c>
      <c r="R268" s="52"/>
      <c r="S268" s="82">
        <f>IF(ISNUMBER($R268),$R268+364,IF(ISNUMBER($D268),$D268+364,""))</f>
        <v/>
      </c>
      <c r="T268" s="52"/>
      <c r="U268" s="82">
        <f>IF(ISNUMBER($T268),IF(ISNUMBER($S268),MAX(EDATE($T268,2),$S268),EDATE($T268,2)),"")</f>
        <v/>
      </c>
      <c r="V268" s="52"/>
      <c r="W268" s="52"/>
      <c r="X268" s="121">
        <f>IF(NOT(ISNUMBER($V268)),"",IF(ISNUMBER($W268),IF($W268-$V268&lt;=28,"Answered in time","LATE: answered after day 28"),IF(TODAY()-$V268&gt;28,"OVERDUE: no reply yet","Reply due by "&amp;TEXT($V268+28,"dd/mm/yyyy"))))</f>
        <v/>
      </c>
      <c r="Y268" s="54"/>
    </row>
    <row r="269" spans="1:25">
      <c r="A269" s="54"/>
      <c r="B269" s="54"/>
      <c r="C269" s="51"/>
      <c r="D269" s="52"/>
      <c r="E269" s="120"/>
      <c r="F269" s="120"/>
      <c r="G269" s="52"/>
      <c r="H269" s="52"/>
      <c r="I269" s="52"/>
      <c r="J269" s="121">
        <f>IF(OR($A269="",NOT(ISNUMBER($F269))),"",IF($F269&lt;=0,"No deposit",IF(NOT(ISNUMBER($G269)),"Enter date received",IF(AND(ISNUMBER($H269),ISNUMBER($I269)),IF(MAX($H269,$I269)-$G269&lt;=29,"OK","LATE: protected / info served after day 30"),IF(TODAY()-$G269&gt;29,"OVERDUE: not protected / info not served","Protect + serve info by "&amp;TEXT($G269+29,"dd/mm/yyyy"))))))</f>
        <v/>
      </c>
      <c r="K269" s="97">
        <f>IF(OR(NOT(ISNUMBER($E269)),NOT(ISNUMBER($F269))),"",IF($F269&lt;=$E269*12/52*5,"OK","Over 5 weeks"))</f>
        <v/>
      </c>
      <c r="L269" s="52"/>
      <c r="M269" s="52"/>
      <c r="N269" s="122">
        <f>IF(OR($A269="",NOT(ISNUMBER($L269))),IF($A269="","","Not recorded"),IF(NOT(ISNUMBER($M269)),"Checked (no follow-up)",IF($M269&lt;TODAY(),"OVERDUE: follow-up check",IF($M269-TODAY()&lt;=60,"Follow-up due "&amp;TEXT($M269,"dd/mm/yyyy"),"Checked"))))</f>
        <v/>
      </c>
      <c r="O269" s="52"/>
      <c r="P269" s="52"/>
      <c r="Q269" s="122">
        <f>IF($A269="","",IF(NOT(ISNUMBER($D269)),"Enter start date",IF($D269&gt;=DATE(2026,5,1),IF(ISNUMBER($O269),"Complete","Missing: written terms"),IF(OR(ISNUMBER($P269),ISNUMBER($O269)),"Complete","Missing: Information Sheet (was due 31/05/2026)"))))</f>
        <v/>
      </c>
      <c r="R269" s="52"/>
      <c r="S269" s="82">
        <f>IF(ISNUMBER($R269),$R269+364,IF(ISNUMBER($D269),$D269+364,""))</f>
        <v/>
      </c>
      <c r="T269" s="52"/>
      <c r="U269" s="82">
        <f>IF(ISNUMBER($T269),IF(ISNUMBER($S269),MAX(EDATE($T269,2),$S269),EDATE($T269,2)),"")</f>
        <v/>
      </c>
      <c r="V269" s="52"/>
      <c r="W269" s="52"/>
      <c r="X269" s="121">
        <f>IF(NOT(ISNUMBER($V269)),"",IF(ISNUMBER($W269),IF($W269-$V269&lt;=28,"Answered in time","LATE: answered after day 28"),IF(TODAY()-$V269&gt;28,"OVERDUE: no reply yet","Reply due by "&amp;TEXT($V269+28,"dd/mm/yyyy"))))</f>
        <v/>
      </c>
      <c r="Y269" s="54"/>
    </row>
    <row r="270" spans="1:25">
      <c r="A270" s="54"/>
      <c r="B270" s="54"/>
      <c r="C270" s="51"/>
      <c r="D270" s="52"/>
      <c r="E270" s="120"/>
      <c r="F270" s="120"/>
      <c r="G270" s="52"/>
      <c r="H270" s="52"/>
      <c r="I270" s="52"/>
      <c r="J270" s="121">
        <f>IF(OR($A270="",NOT(ISNUMBER($F270))),"",IF($F270&lt;=0,"No deposit",IF(NOT(ISNUMBER($G270)),"Enter date received",IF(AND(ISNUMBER($H270),ISNUMBER($I270)),IF(MAX($H270,$I270)-$G270&lt;=29,"OK","LATE: protected / info served after day 30"),IF(TODAY()-$G270&gt;29,"OVERDUE: not protected / info not served","Protect + serve info by "&amp;TEXT($G270+29,"dd/mm/yyyy"))))))</f>
        <v/>
      </c>
      <c r="K270" s="97">
        <f>IF(OR(NOT(ISNUMBER($E270)),NOT(ISNUMBER($F270))),"",IF($F270&lt;=$E270*12/52*5,"OK","Over 5 weeks"))</f>
        <v/>
      </c>
      <c r="L270" s="52"/>
      <c r="M270" s="52"/>
      <c r="N270" s="122">
        <f>IF(OR($A270="",NOT(ISNUMBER($L270))),IF($A270="","","Not recorded"),IF(NOT(ISNUMBER($M270)),"Checked (no follow-up)",IF($M270&lt;TODAY(),"OVERDUE: follow-up check",IF($M270-TODAY()&lt;=60,"Follow-up due "&amp;TEXT($M270,"dd/mm/yyyy"),"Checked"))))</f>
        <v/>
      </c>
      <c r="O270" s="52"/>
      <c r="P270" s="52"/>
      <c r="Q270" s="122">
        <f>IF($A270="","",IF(NOT(ISNUMBER($D270)),"Enter start date",IF($D270&gt;=DATE(2026,5,1),IF(ISNUMBER($O270),"Complete","Missing: written terms"),IF(OR(ISNUMBER($P270),ISNUMBER($O270)),"Complete","Missing: Information Sheet (was due 31/05/2026)"))))</f>
        <v/>
      </c>
      <c r="R270" s="52"/>
      <c r="S270" s="82">
        <f>IF(ISNUMBER($R270),$R270+364,IF(ISNUMBER($D270),$D270+364,""))</f>
        <v/>
      </c>
      <c r="T270" s="52"/>
      <c r="U270" s="82">
        <f>IF(ISNUMBER($T270),IF(ISNUMBER($S270),MAX(EDATE($T270,2),$S270),EDATE($T270,2)),"")</f>
        <v/>
      </c>
      <c r="V270" s="52"/>
      <c r="W270" s="52"/>
      <c r="X270" s="121">
        <f>IF(NOT(ISNUMBER($V270)),"",IF(ISNUMBER($W270),IF($W270-$V270&lt;=28,"Answered in time","LATE: answered after day 28"),IF(TODAY()-$V270&gt;28,"OVERDUE: no reply yet","Reply due by "&amp;TEXT($V270+28,"dd/mm/yyyy"))))</f>
        <v/>
      </c>
      <c r="Y270" s="54"/>
    </row>
    <row r="271" spans="1:25">
      <c r="A271" s="54"/>
      <c r="B271" s="54"/>
      <c r="C271" s="51"/>
      <c r="D271" s="52"/>
      <c r="E271" s="120"/>
      <c r="F271" s="120"/>
      <c r="G271" s="52"/>
      <c r="H271" s="52"/>
      <c r="I271" s="52"/>
      <c r="J271" s="121">
        <f>IF(OR($A271="",NOT(ISNUMBER($F271))),"",IF($F271&lt;=0,"No deposit",IF(NOT(ISNUMBER($G271)),"Enter date received",IF(AND(ISNUMBER($H271),ISNUMBER($I271)),IF(MAX($H271,$I271)-$G271&lt;=29,"OK","LATE: protected / info served after day 30"),IF(TODAY()-$G271&gt;29,"OVERDUE: not protected / info not served","Protect + serve info by "&amp;TEXT($G271+29,"dd/mm/yyyy"))))))</f>
        <v/>
      </c>
      <c r="K271" s="97">
        <f>IF(OR(NOT(ISNUMBER($E271)),NOT(ISNUMBER($F271))),"",IF($F271&lt;=$E271*12/52*5,"OK","Over 5 weeks"))</f>
        <v/>
      </c>
      <c r="L271" s="52"/>
      <c r="M271" s="52"/>
      <c r="N271" s="122">
        <f>IF(OR($A271="",NOT(ISNUMBER($L271))),IF($A271="","","Not recorded"),IF(NOT(ISNUMBER($M271)),"Checked (no follow-up)",IF($M271&lt;TODAY(),"OVERDUE: follow-up check",IF($M271-TODAY()&lt;=60,"Follow-up due "&amp;TEXT($M271,"dd/mm/yyyy"),"Checked"))))</f>
        <v/>
      </c>
      <c r="O271" s="52"/>
      <c r="P271" s="52"/>
      <c r="Q271" s="122">
        <f>IF($A271="","",IF(NOT(ISNUMBER($D271)),"Enter start date",IF($D271&gt;=DATE(2026,5,1),IF(ISNUMBER($O271),"Complete","Missing: written terms"),IF(OR(ISNUMBER($P271),ISNUMBER($O271)),"Complete","Missing: Information Sheet (was due 31/05/2026)"))))</f>
        <v/>
      </c>
      <c r="R271" s="52"/>
      <c r="S271" s="82">
        <f>IF(ISNUMBER($R271),$R271+364,IF(ISNUMBER($D271),$D271+364,""))</f>
        <v/>
      </c>
      <c r="T271" s="52"/>
      <c r="U271" s="82">
        <f>IF(ISNUMBER($T271),IF(ISNUMBER($S271),MAX(EDATE($T271,2),$S271),EDATE($T271,2)),"")</f>
        <v/>
      </c>
      <c r="V271" s="52"/>
      <c r="W271" s="52"/>
      <c r="X271" s="121">
        <f>IF(NOT(ISNUMBER($V271)),"",IF(ISNUMBER($W271),IF($W271-$V271&lt;=28,"Answered in time","LATE: answered after day 28"),IF(TODAY()-$V271&gt;28,"OVERDUE: no reply yet","Reply due by "&amp;TEXT($V271+28,"dd/mm/yyyy"))))</f>
        <v/>
      </c>
      <c r="Y271" s="54"/>
    </row>
    <row r="272" spans="1:25">
      <c r="A272" s="54"/>
      <c r="B272" s="54"/>
      <c r="C272" s="51"/>
      <c r="D272" s="52"/>
      <c r="E272" s="120"/>
      <c r="F272" s="120"/>
      <c r="G272" s="52"/>
      <c r="H272" s="52"/>
      <c r="I272" s="52"/>
      <c r="J272" s="121">
        <f>IF(OR($A272="",NOT(ISNUMBER($F272))),"",IF($F272&lt;=0,"No deposit",IF(NOT(ISNUMBER($G272)),"Enter date received",IF(AND(ISNUMBER($H272),ISNUMBER($I272)),IF(MAX($H272,$I272)-$G272&lt;=29,"OK","LATE: protected / info served after day 30"),IF(TODAY()-$G272&gt;29,"OVERDUE: not protected / info not served","Protect + serve info by "&amp;TEXT($G272+29,"dd/mm/yyyy"))))))</f>
        <v/>
      </c>
      <c r="K272" s="97">
        <f>IF(OR(NOT(ISNUMBER($E272)),NOT(ISNUMBER($F272))),"",IF($F272&lt;=$E272*12/52*5,"OK","Over 5 weeks"))</f>
        <v/>
      </c>
      <c r="L272" s="52"/>
      <c r="M272" s="52"/>
      <c r="N272" s="122">
        <f>IF(OR($A272="",NOT(ISNUMBER($L272))),IF($A272="","","Not recorded"),IF(NOT(ISNUMBER($M272)),"Checked (no follow-up)",IF($M272&lt;TODAY(),"OVERDUE: follow-up check",IF($M272-TODAY()&lt;=60,"Follow-up due "&amp;TEXT($M272,"dd/mm/yyyy"),"Checked"))))</f>
        <v/>
      </c>
      <c r="O272" s="52"/>
      <c r="P272" s="52"/>
      <c r="Q272" s="122">
        <f>IF($A272="","",IF(NOT(ISNUMBER($D272)),"Enter start date",IF($D272&gt;=DATE(2026,5,1),IF(ISNUMBER($O272),"Complete","Missing: written terms"),IF(OR(ISNUMBER($P272),ISNUMBER($O272)),"Complete","Missing: Information Sheet (was due 31/05/2026)"))))</f>
        <v/>
      </c>
      <c r="R272" s="52"/>
      <c r="S272" s="82">
        <f>IF(ISNUMBER($R272),$R272+364,IF(ISNUMBER($D272),$D272+364,""))</f>
        <v/>
      </c>
      <c r="T272" s="52"/>
      <c r="U272" s="82">
        <f>IF(ISNUMBER($T272),IF(ISNUMBER($S272),MAX(EDATE($T272,2),$S272),EDATE($T272,2)),"")</f>
        <v/>
      </c>
      <c r="V272" s="52"/>
      <c r="W272" s="52"/>
      <c r="X272" s="121">
        <f>IF(NOT(ISNUMBER($V272)),"",IF(ISNUMBER($W272),IF($W272-$V272&lt;=28,"Answered in time","LATE: answered after day 28"),IF(TODAY()-$V272&gt;28,"OVERDUE: no reply yet","Reply due by "&amp;TEXT($V272+28,"dd/mm/yyyy"))))</f>
        <v/>
      </c>
      <c r="Y272" s="54"/>
    </row>
    <row r="273" spans="1:25">
      <c r="A273" s="54"/>
      <c r="B273" s="54"/>
      <c r="C273" s="51"/>
      <c r="D273" s="52"/>
      <c r="E273" s="120"/>
      <c r="F273" s="120"/>
      <c r="G273" s="52"/>
      <c r="H273" s="52"/>
      <c r="I273" s="52"/>
      <c r="J273" s="121">
        <f>IF(OR($A273="",NOT(ISNUMBER($F273))),"",IF($F273&lt;=0,"No deposit",IF(NOT(ISNUMBER($G273)),"Enter date received",IF(AND(ISNUMBER($H273),ISNUMBER($I273)),IF(MAX($H273,$I273)-$G273&lt;=29,"OK","LATE: protected / info served after day 30"),IF(TODAY()-$G273&gt;29,"OVERDUE: not protected / info not served","Protect + serve info by "&amp;TEXT($G273+29,"dd/mm/yyyy"))))))</f>
        <v/>
      </c>
      <c r="K273" s="97">
        <f>IF(OR(NOT(ISNUMBER($E273)),NOT(ISNUMBER($F273))),"",IF($F273&lt;=$E273*12/52*5,"OK","Over 5 weeks"))</f>
        <v/>
      </c>
      <c r="L273" s="52"/>
      <c r="M273" s="52"/>
      <c r="N273" s="122">
        <f>IF(OR($A273="",NOT(ISNUMBER($L273))),IF($A273="","","Not recorded"),IF(NOT(ISNUMBER($M273)),"Checked (no follow-up)",IF($M273&lt;TODAY(),"OVERDUE: follow-up check",IF($M273-TODAY()&lt;=60,"Follow-up due "&amp;TEXT($M273,"dd/mm/yyyy"),"Checked"))))</f>
        <v/>
      </c>
      <c r="O273" s="52"/>
      <c r="P273" s="52"/>
      <c r="Q273" s="122">
        <f>IF($A273="","",IF(NOT(ISNUMBER($D273)),"Enter start date",IF($D273&gt;=DATE(2026,5,1),IF(ISNUMBER($O273),"Complete","Missing: written terms"),IF(OR(ISNUMBER($P273),ISNUMBER($O273)),"Complete","Missing: Information Sheet (was due 31/05/2026)"))))</f>
        <v/>
      </c>
      <c r="R273" s="52"/>
      <c r="S273" s="82">
        <f>IF(ISNUMBER($R273),$R273+364,IF(ISNUMBER($D273),$D273+364,""))</f>
        <v/>
      </c>
      <c r="T273" s="52"/>
      <c r="U273" s="82">
        <f>IF(ISNUMBER($T273),IF(ISNUMBER($S273),MAX(EDATE($T273,2),$S273),EDATE($T273,2)),"")</f>
        <v/>
      </c>
      <c r="V273" s="52"/>
      <c r="W273" s="52"/>
      <c r="X273" s="121">
        <f>IF(NOT(ISNUMBER($V273)),"",IF(ISNUMBER($W273),IF($W273-$V273&lt;=28,"Answered in time","LATE: answered after day 28"),IF(TODAY()-$V273&gt;28,"OVERDUE: no reply yet","Reply due by "&amp;TEXT($V273+28,"dd/mm/yyyy"))))</f>
        <v/>
      </c>
      <c r="Y273" s="54"/>
    </row>
    <row r="274" spans="1:25">
      <c r="A274" s="54"/>
      <c r="B274" s="54"/>
      <c r="C274" s="51"/>
      <c r="D274" s="52"/>
      <c r="E274" s="120"/>
      <c r="F274" s="120"/>
      <c r="G274" s="52"/>
      <c r="H274" s="52"/>
      <c r="I274" s="52"/>
      <c r="J274" s="121">
        <f>IF(OR($A274="",NOT(ISNUMBER($F274))),"",IF($F274&lt;=0,"No deposit",IF(NOT(ISNUMBER($G274)),"Enter date received",IF(AND(ISNUMBER($H274),ISNUMBER($I274)),IF(MAX($H274,$I274)-$G274&lt;=29,"OK","LATE: protected / info served after day 30"),IF(TODAY()-$G274&gt;29,"OVERDUE: not protected / info not served","Protect + serve info by "&amp;TEXT($G274+29,"dd/mm/yyyy"))))))</f>
        <v/>
      </c>
      <c r="K274" s="97">
        <f>IF(OR(NOT(ISNUMBER($E274)),NOT(ISNUMBER($F274))),"",IF($F274&lt;=$E274*12/52*5,"OK","Over 5 weeks"))</f>
        <v/>
      </c>
      <c r="L274" s="52"/>
      <c r="M274" s="52"/>
      <c r="N274" s="122">
        <f>IF(OR($A274="",NOT(ISNUMBER($L274))),IF($A274="","","Not recorded"),IF(NOT(ISNUMBER($M274)),"Checked (no follow-up)",IF($M274&lt;TODAY(),"OVERDUE: follow-up check",IF($M274-TODAY()&lt;=60,"Follow-up due "&amp;TEXT($M274,"dd/mm/yyyy"),"Checked"))))</f>
        <v/>
      </c>
      <c r="O274" s="52"/>
      <c r="P274" s="52"/>
      <c r="Q274" s="122">
        <f>IF($A274="","",IF(NOT(ISNUMBER($D274)),"Enter start date",IF($D274&gt;=DATE(2026,5,1),IF(ISNUMBER($O274),"Complete","Missing: written terms"),IF(OR(ISNUMBER($P274),ISNUMBER($O274)),"Complete","Missing: Information Sheet (was due 31/05/2026)"))))</f>
        <v/>
      </c>
      <c r="R274" s="52"/>
      <c r="S274" s="82">
        <f>IF(ISNUMBER($R274),$R274+364,IF(ISNUMBER($D274),$D274+364,""))</f>
        <v/>
      </c>
      <c r="T274" s="52"/>
      <c r="U274" s="82">
        <f>IF(ISNUMBER($T274),IF(ISNUMBER($S274),MAX(EDATE($T274,2),$S274),EDATE($T274,2)),"")</f>
        <v/>
      </c>
      <c r="V274" s="52"/>
      <c r="W274" s="52"/>
      <c r="X274" s="121">
        <f>IF(NOT(ISNUMBER($V274)),"",IF(ISNUMBER($W274),IF($W274-$V274&lt;=28,"Answered in time","LATE: answered after day 28"),IF(TODAY()-$V274&gt;28,"OVERDUE: no reply yet","Reply due by "&amp;TEXT($V274+28,"dd/mm/yyyy"))))</f>
        <v/>
      </c>
      <c r="Y274" s="54"/>
    </row>
    <row r="275" spans="1:25">
      <c r="A275" s="54"/>
      <c r="B275" s="54"/>
      <c r="C275" s="51"/>
      <c r="D275" s="52"/>
      <c r="E275" s="120"/>
      <c r="F275" s="120"/>
      <c r="G275" s="52"/>
      <c r="H275" s="52"/>
      <c r="I275" s="52"/>
      <c r="J275" s="121">
        <f>IF(OR($A275="",NOT(ISNUMBER($F275))),"",IF($F275&lt;=0,"No deposit",IF(NOT(ISNUMBER($G275)),"Enter date received",IF(AND(ISNUMBER($H275),ISNUMBER($I275)),IF(MAX($H275,$I275)-$G275&lt;=29,"OK","LATE: protected / info served after day 30"),IF(TODAY()-$G275&gt;29,"OVERDUE: not protected / info not served","Protect + serve info by "&amp;TEXT($G275+29,"dd/mm/yyyy"))))))</f>
        <v/>
      </c>
      <c r="K275" s="97">
        <f>IF(OR(NOT(ISNUMBER($E275)),NOT(ISNUMBER($F275))),"",IF($F275&lt;=$E275*12/52*5,"OK","Over 5 weeks"))</f>
        <v/>
      </c>
      <c r="L275" s="52"/>
      <c r="M275" s="52"/>
      <c r="N275" s="122">
        <f>IF(OR($A275="",NOT(ISNUMBER($L275))),IF($A275="","","Not recorded"),IF(NOT(ISNUMBER($M275)),"Checked (no follow-up)",IF($M275&lt;TODAY(),"OVERDUE: follow-up check",IF($M275-TODAY()&lt;=60,"Follow-up due "&amp;TEXT($M275,"dd/mm/yyyy"),"Checked"))))</f>
        <v/>
      </c>
      <c r="O275" s="52"/>
      <c r="P275" s="52"/>
      <c r="Q275" s="122">
        <f>IF($A275="","",IF(NOT(ISNUMBER($D275)),"Enter start date",IF($D275&gt;=DATE(2026,5,1),IF(ISNUMBER($O275),"Complete","Missing: written terms"),IF(OR(ISNUMBER($P275),ISNUMBER($O275)),"Complete","Missing: Information Sheet (was due 31/05/2026)"))))</f>
        <v/>
      </c>
      <c r="R275" s="52"/>
      <c r="S275" s="82">
        <f>IF(ISNUMBER($R275),$R275+364,IF(ISNUMBER($D275),$D275+364,""))</f>
        <v/>
      </c>
      <c r="T275" s="52"/>
      <c r="U275" s="82">
        <f>IF(ISNUMBER($T275),IF(ISNUMBER($S275),MAX(EDATE($T275,2),$S275),EDATE($T275,2)),"")</f>
        <v/>
      </c>
      <c r="V275" s="52"/>
      <c r="W275" s="52"/>
      <c r="X275" s="121">
        <f>IF(NOT(ISNUMBER($V275)),"",IF(ISNUMBER($W275),IF($W275-$V275&lt;=28,"Answered in time","LATE: answered after day 28"),IF(TODAY()-$V275&gt;28,"OVERDUE: no reply yet","Reply due by "&amp;TEXT($V275+28,"dd/mm/yyyy"))))</f>
        <v/>
      </c>
      <c r="Y275" s="54"/>
    </row>
    <row r="276" spans="1:25">
      <c r="A276" s="54"/>
      <c r="B276" s="54"/>
      <c r="C276" s="51"/>
      <c r="D276" s="52"/>
      <c r="E276" s="120"/>
      <c r="F276" s="120"/>
      <c r="G276" s="52"/>
      <c r="H276" s="52"/>
      <c r="I276" s="52"/>
      <c r="J276" s="121">
        <f>IF(OR($A276="",NOT(ISNUMBER($F276))),"",IF($F276&lt;=0,"No deposit",IF(NOT(ISNUMBER($G276)),"Enter date received",IF(AND(ISNUMBER($H276),ISNUMBER($I276)),IF(MAX($H276,$I276)-$G276&lt;=29,"OK","LATE: protected / info served after day 30"),IF(TODAY()-$G276&gt;29,"OVERDUE: not protected / info not served","Protect + serve info by "&amp;TEXT($G276+29,"dd/mm/yyyy"))))))</f>
        <v/>
      </c>
      <c r="K276" s="97">
        <f>IF(OR(NOT(ISNUMBER($E276)),NOT(ISNUMBER($F276))),"",IF($F276&lt;=$E276*12/52*5,"OK","Over 5 weeks"))</f>
        <v/>
      </c>
      <c r="L276" s="52"/>
      <c r="M276" s="52"/>
      <c r="N276" s="122">
        <f>IF(OR($A276="",NOT(ISNUMBER($L276))),IF($A276="","","Not recorded"),IF(NOT(ISNUMBER($M276)),"Checked (no follow-up)",IF($M276&lt;TODAY(),"OVERDUE: follow-up check",IF($M276-TODAY()&lt;=60,"Follow-up due "&amp;TEXT($M276,"dd/mm/yyyy"),"Checked"))))</f>
        <v/>
      </c>
      <c r="O276" s="52"/>
      <c r="P276" s="52"/>
      <c r="Q276" s="122">
        <f>IF($A276="","",IF(NOT(ISNUMBER($D276)),"Enter start date",IF($D276&gt;=DATE(2026,5,1),IF(ISNUMBER($O276),"Complete","Missing: written terms"),IF(OR(ISNUMBER($P276),ISNUMBER($O276)),"Complete","Missing: Information Sheet (was due 31/05/2026)"))))</f>
        <v/>
      </c>
      <c r="R276" s="52"/>
      <c r="S276" s="82">
        <f>IF(ISNUMBER($R276),$R276+364,IF(ISNUMBER($D276),$D276+364,""))</f>
        <v/>
      </c>
      <c r="T276" s="52"/>
      <c r="U276" s="82">
        <f>IF(ISNUMBER($T276),IF(ISNUMBER($S276),MAX(EDATE($T276,2),$S276),EDATE($T276,2)),"")</f>
        <v/>
      </c>
      <c r="V276" s="52"/>
      <c r="W276" s="52"/>
      <c r="X276" s="121">
        <f>IF(NOT(ISNUMBER($V276)),"",IF(ISNUMBER($W276),IF($W276-$V276&lt;=28,"Answered in time","LATE: answered after day 28"),IF(TODAY()-$V276&gt;28,"OVERDUE: no reply yet","Reply due by "&amp;TEXT($V276+28,"dd/mm/yyyy"))))</f>
        <v/>
      </c>
      <c r="Y276" s="54"/>
    </row>
    <row r="277" spans="1:25">
      <c r="A277" s="54"/>
      <c r="B277" s="54"/>
      <c r="C277" s="51"/>
      <c r="D277" s="52"/>
      <c r="E277" s="120"/>
      <c r="F277" s="120"/>
      <c r="G277" s="52"/>
      <c r="H277" s="52"/>
      <c r="I277" s="52"/>
      <c r="J277" s="121">
        <f>IF(OR($A277="",NOT(ISNUMBER($F277))),"",IF($F277&lt;=0,"No deposit",IF(NOT(ISNUMBER($G277)),"Enter date received",IF(AND(ISNUMBER($H277),ISNUMBER($I277)),IF(MAX($H277,$I277)-$G277&lt;=29,"OK","LATE: protected / info served after day 30"),IF(TODAY()-$G277&gt;29,"OVERDUE: not protected / info not served","Protect + serve info by "&amp;TEXT($G277+29,"dd/mm/yyyy"))))))</f>
        <v/>
      </c>
      <c r="K277" s="97">
        <f>IF(OR(NOT(ISNUMBER($E277)),NOT(ISNUMBER($F277))),"",IF($F277&lt;=$E277*12/52*5,"OK","Over 5 weeks"))</f>
        <v/>
      </c>
      <c r="L277" s="52"/>
      <c r="M277" s="52"/>
      <c r="N277" s="122">
        <f>IF(OR($A277="",NOT(ISNUMBER($L277))),IF($A277="","","Not recorded"),IF(NOT(ISNUMBER($M277)),"Checked (no follow-up)",IF($M277&lt;TODAY(),"OVERDUE: follow-up check",IF($M277-TODAY()&lt;=60,"Follow-up due "&amp;TEXT($M277,"dd/mm/yyyy"),"Checked"))))</f>
        <v/>
      </c>
      <c r="O277" s="52"/>
      <c r="P277" s="52"/>
      <c r="Q277" s="122">
        <f>IF($A277="","",IF(NOT(ISNUMBER($D277)),"Enter start date",IF($D277&gt;=DATE(2026,5,1),IF(ISNUMBER($O277),"Complete","Missing: written terms"),IF(OR(ISNUMBER($P277),ISNUMBER($O277)),"Complete","Missing: Information Sheet (was due 31/05/2026)"))))</f>
        <v/>
      </c>
      <c r="R277" s="52"/>
      <c r="S277" s="82">
        <f>IF(ISNUMBER($R277),$R277+364,IF(ISNUMBER($D277),$D277+364,""))</f>
        <v/>
      </c>
      <c r="T277" s="52"/>
      <c r="U277" s="82">
        <f>IF(ISNUMBER($T277),IF(ISNUMBER($S277),MAX(EDATE($T277,2),$S277),EDATE($T277,2)),"")</f>
        <v/>
      </c>
      <c r="V277" s="52"/>
      <c r="W277" s="52"/>
      <c r="X277" s="121">
        <f>IF(NOT(ISNUMBER($V277)),"",IF(ISNUMBER($W277),IF($W277-$V277&lt;=28,"Answered in time","LATE: answered after day 28"),IF(TODAY()-$V277&gt;28,"OVERDUE: no reply yet","Reply due by "&amp;TEXT($V277+28,"dd/mm/yyyy"))))</f>
        <v/>
      </c>
      <c r="Y277" s="54"/>
    </row>
    <row r="278" spans="1:25">
      <c r="A278" s="54"/>
      <c r="B278" s="54"/>
      <c r="C278" s="51"/>
      <c r="D278" s="52"/>
      <c r="E278" s="120"/>
      <c r="F278" s="120"/>
      <c r="G278" s="52"/>
      <c r="H278" s="52"/>
      <c r="I278" s="52"/>
      <c r="J278" s="121">
        <f>IF(OR($A278="",NOT(ISNUMBER($F278))),"",IF($F278&lt;=0,"No deposit",IF(NOT(ISNUMBER($G278)),"Enter date received",IF(AND(ISNUMBER($H278),ISNUMBER($I278)),IF(MAX($H278,$I278)-$G278&lt;=29,"OK","LATE: protected / info served after day 30"),IF(TODAY()-$G278&gt;29,"OVERDUE: not protected / info not served","Protect + serve info by "&amp;TEXT($G278+29,"dd/mm/yyyy"))))))</f>
        <v/>
      </c>
      <c r="K278" s="97">
        <f>IF(OR(NOT(ISNUMBER($E278)),NOT(ISNUMBER($F278))),"",IF($F278&lt;=$E278*12/52*5,"OK","Over 5 weeks"))</f>
        <v/>
      </c>
      <c r="L278" s="52"/>
      <c r="M278" s="52"/>
      <c r="N278" s="122">
        <f>IF(OR($A278="",NOT(ISNUMBER($L278))),IF($A278="","","Not recorded"),IF(NOT(ISNUMBER($M278)),"Checked (no follow-up)",IF($M278&lt;TODAY(),"OVERDUE: follow-up check",IF($M278-TODAY()&lt;=60,"Follow-up due "&amp;TEXT($M278,"dd/mm/yyyy"),"Checked"))))</f>
        <v/>
      </c>
      <c r="O278" s="52"/>
      <c r="P278" s="52"/>
      <c r="Q278" s="122">
        <f>IF($A278="","",IF(NOT(ISNUMBER($D278)),"Enter start date",IF($D278&gt;=DATE(2026,5,1),IF(ISNUMBER($O278),"Complete","Missing: written terms"),IF(OR(ISNUMBER($P278),ISNUMBER($O278)),"Complete","Missing: Information Sheet (was due 31/05/2026)"))))</f>
        <v/>
      </c>
      <c r="R278" s="52"/>
      <c r="S278" s="82">
        <f>IF(ISNUMBER($R278),$R278+364,IF(ISNUMBER($D278),$D278+364,""))</f>
        <v/>
      </c>
      <c r="T278" s="52"/>
      <c r="U278" s="82">
        <f>IF(ISNUMBER($T278),IF(ISNUMBER($S278),MAX(EDATE($T278,2),$S278),EDATE($T278,2)),"")</f>
        <v/>
      </c>
      <c r="V278" s="52"/>
      <c r="W278" s="52"/>
      <c r="X278" s="121">
        <f>IF(NOT(ISNUMBER($V278)),"",IF(ISNUMBER($W278),IF($W278-$V278&lt;=28,"Answered in time","LATE: answered after day 28"),IF(TODAY()-$V278&gt;28,"OVERDUE: no reply yet","Reply due by "&amp;TEXT($V278+28,"dd/mm/yyyy"))))</f>
        <v/>
      </c>
      <c r="Y278" s="54"/>
    </row>
    <row r="279" spans="1:25">
      <c r="A279" s="54"/>
      <c r="B279" s="54"/>
      <c r="C279" s="51"/>
      <c r="D279" s="52"/>
      <c r="E279" s="120"/>
      <c r="F279" s="120"/>
      <c r="G279" s="52"/>
      <c r="H279" s="52"/>
      <c r="I279" s="52"/>
      <c r="J279" s="121">
        <f>IF(OR($A279="",NOT(ISNUMBER($F279))),"",IF($F279&lt;=0,"No deposit",IF(NOT(ISNUMBER($G279)),"Enter date received",IF(AND(ISNUMBER($H279),ISNUMBER($I279)),IF(MAX($H279,$I279)-$G279&lt;=29,"OK","LATE: protected / info served after day 30"),IF(TODAY()-$G279&gt;29,"OVERDUE: not protected / info not served","Protect + serve info by "&amp;TEXT($G279+29,"dd/mm/yyyy"))))))</f>
        <v/>
      </c>
      <c r="K279" s="97">
        <f>IF(OR(NOT(ISNUMBER($E279)),NOT(ISNUMBER($F279))),"",IF($F279&lt;=$E279*12/52*5,"OK","Over 5 weeks"))</f>
        <v/>
      </c>
      <c r="L279" s="52"/>
      <c r="M279" s="52"/>
      <c r="N279" s="122">
        <f>IF(OR($A279="",NOT(ISNUMBER($L279))),IF($A279="","","Not recorded"),IF(NOT(ISNUMBER($M279)),"Checked (no follow-up)",IF($M279&lt;TODAY(),"OVERDUE: follow-up check",IF($M279-TODAY()&lt;=60,"Follow-up due "&amp;TEXT($M279,"dd/mm/yyyy"),"Checked"))))</f>
        <v/>
      </c>
      <c r="O279" s="52"/>
      <c r="P279" s="52"/>
      <c r="Q279" s="122">
        <f>IF($A279="","",IF(NOT(ISNUMBER($D279)),"Enter start date",IF($D279&gt;=DATE(2026,5,1),IF(ISNUMBER($O279),"Complete","Missing: written terms"),IF(OR(ISNUMBER($P279),ISNUMBER($O279)),"Complete","Missing: Information Sheet (was due 31/05/2026)"))))</f>
        <v/>
      </c>
      <c r="R279" s="52"/>
      <c r="S279" s="82">
        <f>IF(ISNUMBER($R279),$R279+364,IF(ISNUMBER($D279),$D279+364,""))</f>
        <v/>
      </c>
      <c r="T279" s="52"/>
      <c r="U279" s="82">
        <f>IF(ISNUMBER($T279),IF(ISNUMBER($S279),MAX(EDATE($T279,2),$S279),EDATE($T279,2)),"")</f>
        <v/>
      </c>
      <c r="V279" s="52"/>
      <c r="W279" s="52"/>
      <c r="X279" s="121">
        <f>IF(NOT(ISNUMBER($V279)),"",IF(ISNUMBER($W279),IF($W279-$V279&lt;=28,"Answered in time","LATE: answered after day 28"),IF(TODAY()-$V279&gt;28,"OVERDUE: no reply yet","Reply due by "&amp;TEXT($V279+28,"dd/mm/yyyy"))))</f>
        <v/>
      </c>
      <c r="Y279" s="54"/>
    </row>
    <row r="280" spans="1:25">
      <c r="A280" s="54"/>
      <c r="B280" s="54"/>
      <c r="C280" s="51"/>
      <c r="D280" s="52"/>
      <c r="E280" s="120"/>
      <c r="F280" s="120"/>
      <c r="G280" s="52"/>
      <c r="H280" s="52"/>
      <c r="I280" s="52"/>
      <c r="J280" s="121">
        <f>IF(OR($A280="",NOT(ISNUMBER($F280))),"",IF($F280&lt;=0,"No deposit",IF(NOT(ISNUMBER($G280)),"Enter date received",IF(AND(ISNUMBER($H280),ISNUMBER($I280)),IF(MAX($H280,$I280)-$G280&lt;=29,"OK","LATE: protected / info served after day 30"),IF(TODAY()-$G280&gt;29,"OVERDUE: not protected / info not served","Protect + serve info by "&amp;TEXT($G280+29,"dd/mm/yyyy"))))))</f>
        <v/>
      </c>
      <c r="K280" s="97">
        <f>IF(OR(NOT(ISNUMBER($E280)),NOT(ISNUMBER($F280))),"",IF($F280&lt;=$E280*12/52*5,"OK","Over 5 weeks"))</f>
        <v/>
      </c>
      <c r="L280" s="52"/>
      <c r="M280" s="52"/>
      <c r="N280" s="122">
        <f>IF(OR($A280="",NOT(ISNUMBER($L280))),IF($A280="","","Not recorded"),IF(NOT(ISNUMBER($M280)),"Checked (no follow-up)",IF($M280&lt;TODAY(),"OVERDUE: follow-up check",IF($M280-TODAY()&lt;=60,"Follow-up due "&amp;TEXT($M280,"dd/mm/yyyy"),"Checked"))))</f>
        <v/>
      </c>
      <c r="O280" s="52"/>
      <c r="P280" s="52"/>
      <c r="Q280" s="122">
        <f>IF($A280="","",IF(NOT(ISNUMBER($D280)),"Enter start date",IF($D280&gt;=DATE(2026,5,1),IF(ISNUMBER($O280),"Complete","Missing: written terms"),IF(OR(ISNUMBER($P280),ISNUMBER($O280)),"Complete","Missing: Information Sheet (was due 31/05/2026)"))))</f>
        <v/>
      </c>
      <c r="R280" s="52"/>
      <c r="S280" s="82">
        <f>IF(ISNUMBER($R280),$R280+364,IF(ISNUMBER($D280),$D280+364,""))</f>
        <v/>
      </c>
      <c r="T280" s="52"/>
      <c r="U280" s="82">
        <f>IF(ISNUMBER($T280),IF(ISNUMBER($S280),MAX(EDATE($T280,2),$S280),EDATE($T280,2)),"")</f>
        <v/>
      </c>
      <c r="V280" s="52"/>
      <c r="W280" s="52"/>
      <c r="X280" s="121">
        <f>IF(NOT(ISNUMBER($V280)),"",IF(ISNUMBER($W280),IF($W280-$V280&lt;=28,"Answered in time","LATE: answered after day 28"),IF(TODAY()-$V280&gt;28,"OVERDUE: no reply yet","Reply due by "&amp;TEXT($V280+28,"dd/mm/yyyy"))))</f>
        <v/>
      </c>
      <c r="Y280" s="54"/>
    </row>
    <row r="281" spans="1:25">
      <c r="A281" s="54"/>
      <c r="B281" s="54"/>
      <c r="C281" s="51"/>
      <c r="D281" s="52"/>
      <c r="E281" s="120"/>
      <c r="F281" s="120"/>
      <c r="G281" s="52"/>
      <c r="H281" s="52"/>
      <c r="I281" s="52"/>
      <c r="J281" s="121">
        <f>IF(OR($A281="",NOT(ISNUMBER($F281))),"",IF($F281&lt;=0,"No deposit",IF(NOT(ISNUMBER($G281)),"Enter date received",IF(AND(ISNUMBER($H281),ISNUMBER($I281)),IF(MAX($H281,$I281)-$G281&lt;=29,"OK","LATE: protected / info served after day 30"),IF(TODAY()-$G281&gt;29,"OVERDUE: not protected / info not served","Protect + serve info by "&amp;TEXT($G281+29,"dd/mm/yyyy"))))))</f>
        <v/>
      </c>
      <c r="K281" s="97">
        <f>IF(OR(NOT(ISNUMBER($E281)),NOT(ISNUMBER($F281))),"",IF($F281&lt;=$E281*12/52*5,"OK","Over 5 weeks"))</f>
        <v/>
      </c>
      <c r="L281" s="52"/>
      <c r="M281" s="52"/>
      <c r="N281" s="122">
        <f>IF(OR($A281="",NOT(ISNUMBER($L281))),IF($A281="","","Not recorded"),IF(NOT(ISNUMBER($M281)),"Checked (no follow-up)",IF($M281&lt;TODAY(),"OVERDUE: follow-up check",IF($M281-TODAY()&lt;=60,"Follow-up due "&amp;TEXT($M281,"dd/mm/yyyy"),"Checked"))))</f>
        <v/>
      </c>
      <c r="O281" s="52"/>
      <c r="P281" s="52"/>
      <c r="Q281" s="122">
        <f>IF($A281="","",IF(NOT(ISNUMBER($D281)),"Enter start date",IF($D281&gt;=DATE(2026,5,1),IF(ISNUMBER($O281),"Complete","Missing: written terms"),IF(OR(ISNUMBER($P281),ISNUMBER($O281)),"Complete","Missing: Information Sheet (was due 31/05/2026)"))))</f>
        <v/>
      </c>
      <c r="R281" s="52"/>
      <c r="S281" s="82">
        <f>IF(ISNUMBER($R281),$R281+364,IF(ISNUMBER($D281),$D281+364,""))</f>
        <v/>
      </c>
      <c r="T281" s="52"/>
      <c r="U281" s="82">
        <f>IF(ISNUMBER($T281),IF(ISNUMBER($S281),MAX(EDATE($T281,2),$S281),EDATE($T281,2)),"")</f>
        <v/>
      </c>
      <c r="V281" s="52"/>
      <c r="W281" s="52"/>
      <c r="X281" s="121">
        <f>IF(NOT(ISNUMBER($V281)),"",IF(ISNUMBER($W281),IF($W281-$V281&lt;=28,"Answered in time","LATE: answered after day 28"),IF(TODAY()-$V281&gt;28,"OVERDUE: no reply yet","Reply due by "&amp;TEXT($V281+28,"dd/mm/yyyy"))))</f>
        <v/>
      </c>
      <c r="Y281" s="54"/>
    </row>
    <row r="282" spans="1:25">
      <c r="A282" s="54"/>
      <c r="B282" s="54"/>
      <c r="C282" s="51"/>
      <c r="D282" s="52"/>
      <c r="E282" s="120"/>
      <c r="F282" s="120"/>
      <c r="G282" s="52"/>
      <c r="H282" s="52"/>
      <c r="I282" s="52"/>
      <c r="J282" s="121">
        <f>IF(OR($A282="",NOT(ISNUMBER($F282))),"",IF($F282&lt;=0,"No deposit",IF(NOT(ISNUMBER($G282)),"Enter date received",IF(AND(ISNUMBER($H282),ISNUMBER($I282)),IF(MAX($H282,$I282)-$G282&lt;=29,"OK","LATE: protected / info served after day 30"),IF(TODAY()-$G282&gt;29,"OVERDUE: not protected / info not served","Protect + serve info by "&amp;TEXT($G282+29,"dd/mm/yyyy"))))))</f>
        <v/>
      </c>
      <c r="K282" s="97">
        <f>IF(OR(NOT(ISNUMBER($E282)),NOT(ISNUMBER($F282))),"",IF($F282&lt;=$E282*12/52*5,"OK","Over 5 weeks"))</f>
        <v/>
      </c>
      <c r="L282" s="52"/>
      <c r="M282" s="52"/>
      <c r="N282" s="122">
        <f>IF(OR($A282="",NOT(ISNUMBER($L282))),IF($A282="","","Not recorded"),IF(NOT(ISNUMBER($M282)),"Checked (no follow-up)",IF($M282&lt;TODAY(),"OVERDUE: follow-up check",IF($M282-TODAY()&lt;=60,"Follow-up due "&amp;TEXT($M282,"dd/mm/yyyy"),"Checked"))))</f>
        <v/>
      </c>
      <c r="O282" s="52"/>
      <c r="P282" s="52"/>
      <c r="Q282" s="122">
        <f>IF($A282="","",IF(NOT(ISNUMBER($D282)),"Enter start date",IF($D282&gt;=DATE(2026,5,1),IF(ISNUMBER($O282),"Complete","Missing: written terms"),IF(OR(ISNUMBER($P282),ISNUMBER($O282)),"Complete","Missing: Information Sheet (was due 31/05/2026)"))))</f>
        <v/>
      </c>
      <c r="R282" s="52"/>
      <c r="S282" s="82">
        <f>IF(ISNUMBER($R282),$R282+364,IF(ISNUMBER($D282),$D282+364,""))</f>
        <v/>
      </c>
      <c r="T282" s="52"/>
      <c r="U282" s="82">
        <f>IF(ISNUMBER($T282),IF(ISNUMBER($S282),MAX(EDATE($T282,2),$S282),EDATE($T282,2)),"")</f>
        <v/>
      </c>
      <c r="V282" s="52"/>
      <c r="W282" s="52"/>
      <c r="X282" s="121">
        <f>IF(NOT(ISNUMBER($V282)),"",IF(ISNUMBER($W282),IF($W282-$V282&lt;=28,"Answered in time","LATE: answered after day 28"),IF(TODAY()-$V282&gt;28,"OVERDUE: no reply yet","Reply due by "&amp;TEXT($V282+28,"dd/mm/yyyy"))))</f>
        <v/>
      </c>
      <c r="Y282" s="54"/>
    </row>
    <row r="283" spans="1:25">
      <c r="A283" s="54"/>
      <c r="B283" s="54"/>
      <c r="C283" s="51"/>
      <c r="D283" s="52"/>
      <c r="E283" s="120"/>
      <c r="F283" s="120"/>
      <c r="G283" s="52"/>
      <c r="H283" s="52"/>
      <c r="I283" s="52"/>
      <c r="J283" s="121">
        <f>IF(OR($A283="",NOT(ISNUMBER($F283))),"",IF($F283&lt;=0,"No deposit",IF(NOT(ISNUMBER($G283)),"Enter date received",IF(AND(ISNUMBER($H283),ISNUMBER($I283)),IF(MAX($H283,$I283)-$G283&lt;=29,"OK","LATE: protected / info served after day 30"),IF(TODAY()-$G283&gt;29,"OVERDUE: not protected / info not served","Protect + serve info by "&amp;TEXT($G283+29,"dd/mm/yyyy"))))))</f>
        <v/>
      </c>
      <c r="K283" s="97">
        <f>IF(OR(NOT(ISNUMBER($E283)),NOT(ISNUMBER($F283))),"",IF($F283&lt;=$E283*12/52*5,"OK","Over 5 weeks"))</f>
        <v/>
      </c>
      <c r="L283" s="52"/>
      <c r="M283" s="52"/>
      <c r="N283" s="122">
        <f>IF(OR($A283="",NOT(ISNUMBER($L283))),IF($A283="","","Not recorded"),IF(NOT(ISNUMBER($M283)),"Checked (no follow-up)",IF($M283&lt;TODAY(),"OVERDUE: follow-up check",IF($M283-TODAY()&lt;=60,"Follow-up due "&amp;TEXT($M283,"dd/mm/yyyy"),"Checked"))))</f>
        <v/>
      </c>
      <c r="O283" s="52"/>
      <c r="P283" s="52"/>
      <c r="Q283" s="122">
        <f>IF($A283="","",IF(NOT(ISNUMBER($D283)),"Enter start date",IF($D283&gt;=DATE(2026,5,1),IF(ISNUMBER($O283),"Complete","Missing: written terms"),IF(OR(ISNUMBER($P283),ISNUMBER($O283)),"Complete","Missing: Information Sheet (was due 31/05/2026)"))))</f>
        <v/>
      </c>
      <c r="R283" s="52"/>
      <c r="S283" s="82">
        <f>IF(ISNUMBER($R283),$R283+364,IF(ISNUMBER($D283),$D283+364,""))</f>
        <v/>
      </c>
      <c r="T283" s="52"/>
      <c r="U283" s="82">
        <f>IF(ISNUMBER($T283),IF(ISNUMBER($S283),MAX(EDATE($T283,2),$S283),EDATE($T283,2)),"")</f>
        <v/>
      </c>
      <c r="V283" s="52"/>
      <c r="W283" s="52"/>
      <c r="X283" s="121">
        <f>IF(NOT(ISNUMBER($V283)),"",IF(ISNUMBER($W283),IF($W283-$V283&lt;=28,"Answered in time","LATE: answered after day 28"),IF(TODAY()-$V283&gt;28,"OVERDUE: no reply yet","Reply due by "&amp;TEXT($V283+28,"dd/mm/yyyy"))))</f>
        <v/>
      </c>
      <c r="Y283" s="54"/>
    </row>
    <row r="284" spans="1:25">
      <c r="A284" s="54"/>
      <c r="B284" s="54"/>
      <c r="C284" s="51"/>
      <c r="D284" s="52"/>
      <c r="E284" s="120"/>
      <c r="F284" s="120"/>
      <c r="G284" s="52"/>
      <c r="H284" s="52"/>
      <c r="I284" s="52"/>
      <c r="J284" s="121">
        <f>IF(OR($A284="",NOT(ISNUMBER($F284))),"",IF($F284&lt;=0,"No deposit",IF(NOT(ISNUMBER($G284)),"Enter date received",IF(AND(ISNUMBER($H284),ISNUMBER($I284)),IF(MAX($H284,$I284)-$G284&lt;=29,"OK","LATE: protected / info served after day 30"),IF(TODAY()-$G284&gt;29,"OVERDUE: not protected / info not served","Protect + serve info by "&amp;TEXT($G284+29,"dd/mm/yyyy"))))))</f>
        <v/>
      </c>
      <c r="K284" s="97">
        <f>IF(OR(NOT(ISNUMBER($E284)),NOT(ISNUMBER($F284))),"",IF($F284&lt;=$E284*12/52*5,"OK","Over 5 weeks"))</f>
        <v/>
      </c>
      <c r="L284" s="52"/>
      <c r="M284" s="52"/>
      <c r="N284" s="122">
        <f>IF(OR($A284="",NOT(ISNUMBER($L284))),IF($A284="","","Not recorded"),IF(NOT(ISNUMBER($M284)),"Checked (no follow-up)",IF($M284&lt;TODAY(),"OVERDUE: follow-up check",IF($M284-TODAY()&lt;=60,"Follow-up due "&amp;TEXT($M284,"dd/mm/yyyy"),"Checked"))))</f>
        <v/>
      </c>
      <c r="O284" s="52"/>
      <c r="P284" s="52"/>
      <c r="Q284" s="122">
        <f>IF($A284="","",IF(NOT(ISNUMBER($D284)),"Enter start date",IF($D284&gt;=DATE(2026,5,1),IF(ISNUMBER($O284),"Complete","Missing: written terms"),IF(OR(ISNUMBER($P284),ISNUMBER($O284)),"Complete","Missing: Information Sheet (was due 31/05/2026)"))))</f>
        <v/>
      </c>
      <c r="R284" s="52"/>
      <c r="S284" s="82">
        <f>IF(ISNUMBER($R284),$R284+364,IF(ISNUMBER($D284),$D284+364,""))</f>
        <v/>
      </c>
      <c r="T284" s="52"/>
      <c r="U284" s="82">
        <f>IF(ISNUMBER($T284),IF(ISNUMBER($S284),MAX(EDATE($T284,2),$S284),EDATE($T284,2)),"")</f>
        <v/>
      </c>
      <c r="V284" s="52"/>
      <c r="W284" s="52"/>
      <c r="X284" s="121">
        <f>IF(NOT(ISNUMBER($V284)),"",IF(ISNUMBER($W284),IF($W284-$V284&lt;=28,"Answered in time","LATE: answered after day 28"),IF(TODAY()-$V284&gt;28,"OVERDUE: no reply yet","Reply due by "&amp;TEXT($V284+28,"dd/mm/yyyy"))))</f>
        <v/>
      </c>
      <c r="Y284" s="54"/>
    </row>
    <row r="285" spans="1:25">
      <c r="A285" s="54"/>
      <c r="B285" s="54"/>
      <c r="C285" s="51"/>
      <c r="D285" s="52"/>
      <c r="E285" s="120"/>
      <c r="F285" s="120"/>
      <c r="G285" s="52"/>
      <c r="H285" s="52"/>
      <c r="I285" s="52"/>
      <c r="J285" s="121">
        <f>IF(OR($A285="",NOT(ISNUMBER($F285))),"",IF($F285&lt;=0,"No deposit",IF(NOT(ISNUMBER($G285)),"Enter date received",IF(AND(ISNUMBER($H285),ISNUMBER($I285)),IF(MAX($H285,$I285)-$G285&lt;=29,"OK","LATE: protected / info served after day 30"),IF(TODAY()-$G285&gt;29,"OVERDUE: not protected / info not served","Protect + serve info by "&amp;TEXT($G285+29,"dd/mm/yyyy"))))))</f>
        <v/>
      </c>
      <c r="K285" s="97">
        <f>IF(OR(NOT(ISNUMBER($E285)),NOT(ISNUMBER($F285))),"",IF($F285&lt;=$E285*12/52*5,"OK","Over 5 weeks"))</f>
        <v/>
      </c>
      <c r="L285" s="52"/>
      <c r="M285" s="52"/>
      <c r="N285" s="122">
        <f>IF(OR($A285="",NOT(ISNUMBER($L285))),IF($A285="","","Not recorded"),IF(NOT(ISNUMBER($M285)),"Checked (no follow-up)",IF($M285&lt;TODAY(),"OVERDUE: follow-up check",IF($M285-TODAY()&lt;=60,"Follow-up due "&amp;TEXT($M285,"dd/mm/yyyy"),"Checked"))))</f>
        <v/>
      </c>
      <c r="O285" s="52"/>
      <c r="P285" s="52"/>
      <c r="Q285" s="122">
        <f>IF($A285="","",IF(NOT(ISNUMBER($D285)),"Enter start date",IF($D285&gt;=DATE(2026,5,1),IF(ISNUMBER($O285),"Complete","Missing: written terms"),IF(OR(ISNUMBER($P285),ISNUMBER($O285)),"Complete","Missing: Information Sheet (was due 31/05/2026)"))))</f>
        <v/>
      </c>
      <c r="R285" s="52"/>
      <c r="S285" s="82">
        <f>IF(ISNUMBER($R285),$R285+364,IF(ISNUMBER($D285),$D285+364,""))</f>
        <v/>
      </c>
      <c r="T285" s="52"/>
      <c r="U285" s="82">
        <f>IF(ISNUMBER($T285),IF(ISNUMBER($S285),MAX(EDATE($T285,2),$S285),EDATE($T285,2)),"")</f>
        <v/>
      </c>
      <c r="V285" s="52"/>
      <c r="W285" s="52"/>
      <c r="X285" s="121">
        <f>IF(NOT(ISNUMBER($V285)),"",IF(ISNUMBER($W285),IF($W285-$V285&lt;=28,"Answered in time","LATE: answered after day 28"),IF(TODAY()-$V285&gt;28,"OVERDUE: no reply yet","Reply due by "&amp;TEXT($V285+28,"dd/mm/yyyy"))))</f>
        <v/>
      </c>
      <c r="Y285" s="54"/>
    </row>
    <row r="286" spans="1:25">
      <c r="A286" s="54"/>
      <c r="B286" s="54"/>
      <c r="C286" s="51"/>
      <c r="D286" s="52"/>
      <c r="E286" s="120"/>
      <c r="F286" s="120"/>
      <c r="G286" s="52"/>
      <c r="H286" s="52"/>
      <c r="I286" s="52"/>
      <c r="J286" s="121">
        <f>IF(OR($A286="",NOT(ISNUMBER($F286))),"",IF($F286&lt;=0,"No deposit",IF(NOT(ISNUMBER($G286)),"Enter date received",IF(AND(ISNUMBER($H286),ISNUMBER($I286)),IF(MAX($H286,$I286)-$G286&lt;=29,"OK","LATE: protected / info served after day 30"),IF(TODAY()-$G286&gt;29,"OVERDUE: not protected / info not served","Protect + serve info by "&amp;TEXT($G286+29,"dd/mm/yyyy"))))))</f>
        <v/>
      </c>
      <c r="K286" s="97">
        <f>IF(OR(NOT(ISNUMBER($E286)),NOT(ISNUMBER($F286))),"",IF($F286&lt;=$E286*12/52*5,"OK","Over 5 weeks"))</f>
        <v/>
      </c>
      <c r="L286" s="52"/>
      <c r="M286" s="52"/>
      <c r="N286" s="122">
        <f>IF(OR($A286="",NOT(ISNUMBER($L286))),IF($A286="","","Not recorded"),IF(NOT(ISNUMBER($M286)),"Checked (no follow-up)",IF($M286&lt;TODAY(),"OVERDUE: follow-up check",IF($M286-TODAY()&lt;=60,"Follow-up due "&amp;TEXT($M286,"dd/mm/yyyy"),"Checked"))))</f>
        <v/>
      </c>
      <c r="O286" s="52"/>
      <c r="P286" s="52"/>
      <c r="Q286" s="122">
        <f>IF($A286="","",IF(NOT(ISNUMBER($D286)),"Enter start date",IF($D286&gt;=DATE(2026,5,1),IF(ISNUMBER($O286),"Complete","Missing: written terms"),IF(OR(ISNUMBER($P286),ISNUMBER($O286)),"Complete","Missing: Information Sheet (was due 31/05/2026)"))))</f>
        <v/>
      </c>
      <c r="R286" s="52"/>
      <c r="S286" s="82">
        <f>IF(ISNUMBER($R286),$R286+364,IF(ISNUMBER($D286),$D286+364,""))</f>
        <v/>
      </c>
      <c r="T286" s="52"/>
      <c r="U286" s="82">
        <f>IF(ISNUMBER($T286),IF(ISNUMBER($S286),MAX(EDATE($T286,2),$S286),EDATE($T286,2)),"")</f>
        <v/>
      </c>
      <c r="V286" s="52"/>
      <c r="W286" s="52"/>
      <c r="X286" s="121">
        <f>IF(NOT(ISNUMBER($V286)),"",IF(ISNUMBER($W286),IF($W286-$V286&lt;=28,"Answered in time","LATE: answered after day 28"),IF(TODAY()-$V286&gt;28,"OVERDUE: no reply yet","Reply due by "&amp;TEXT($V286+28,"dd/mm/yyyy"))))</f>
        <v/>
      </c>
      <c r="Y286" s="54"/>
    </row>
    <row r="287" spans="1:25">
      <c r="A287" s="54"/>
      <c r="B287" s="54"/>
      <c r="C287" s="51"/>
      <c r="D287" s="52"/>
      <c r="E287" s="120"/>
      <c r="F287" s="120"/>
      <c r="G287" s="52"/>
      <c r="H287" s="52"/>
      <c r="I287" s="52"/>
      <c r="J287" s="121">
        <f>IF(OR($A287="",NOT(ISNUMBER($F287))),"",IF($F287&lt;=0,"No deposit",IF(NOT(ISNUMBER($G287)),"Enter date received",IF(AND(ISNUMBER($H287),ISNUMBER($I287)),IF(MAX($H287,$I287)-$G287&lt;=29,"OK","LATE: protected / info served after day 30"),IF(TODAY()-$G287&gt;29,"OVERDUE: not protected / info not served","Protect + serve info by "&amp;TEXT($G287+29,"dd/mm/yyyy"))))))</f>
        <v/>
      </c>
      <c r="K287" s="97">
        <f>IF(OR(NOT(ISNUMBER($E287)),NOT(ISNUMBER($F287))),"",IF($F287&lt;=$E287*12/52*5,"OK","Over 5 weeks"))</f>
        <v/>
      </c>
      <c r="L287" s="52"/>
      <c r="M287" s="52"/>
      <c r="N287" s="122">
        <f>IF(OR($A287="",NOT(ISNUMBER($L287))),IF($A287="","","Not recorded"),IF(NOT(ISNUMBER($M287)),"Checked (no follow-up)",IF($M287&lt;TODAY(),"OVERDUE: follow-up check",IF($M287-TODAY()&lt;=60,"Follow-up due "&amp;TEXT($M287,"dd/mm/yyyy"),"Checked"))))</f>
        <v/>
      </c>
      <c r="O287" s="52"/>
      <c r="P287" s="52"/>
      <c r="Q287" s="122">
        <f>IF($A287="","",IF(NOT(ISNUMBER($D287)),"Enter start date",IF($D287&gt;=DATE(2026,5,1),IF(ISNUMBER($O287),"Complete","Missing: written terms"),IF(OR(ISNUMBER($P287),ISNUMBER($O287)),"Complete","Missing: Information Sheet (was due 31/05/2026)"))))</f>
        <v/>
      </c>
      <c r="R287" s="52"/>
      <c r="S287" s="82">
        <f>IF(ISNUMBER($R287),$R287+364,IF(ISNUMBER($D287),$D287+364,""))</f>
        <v/>
      </c>
      <c r="T287" s="52"/>
      <c r="U287" s="82">
        <f>IF(ISNUMBER($T287),IF(ISNUMBER($S287),MAX(EDATE($T287,2),$S287),EDATE($T287,2)),"")</f>
        <v/>
      </c>
      <c r="V287" s="52"/>
      <c r="W287" s="52"/>
      <c r="X287" s="121">
        <f>IF(NOT(ISNUMBER($V287)),"",IF(ISNUMBER($W287),IF($W287-$V287&lt;=28,"Answered in time","LATE: answered after day 28"),IF(TODAY()-$V287&gt;28,"OVERDUE: no reply yet","Reply due by "&amp;TEXT($V287+28,"dd/mm/yyyy"))))</f>
        <v/>
      </c>
      <c r="Y287" s="54"/>
    </row>
    <row r="288" spans="1:25">
      <c r="A288" s="54"/>
      <c r="B288" s="54"/>
      <c r="C288" s="51"/>
      <c r="D288" s="52"/>
      <c r="E288" s="120"/>
      <c r="F288" s="120"/>
      <c r="G288" s="52"/>
      <c r="H288" s="52"/>
      <c r="I288" s="52"/>
      <c r="J288" s="121">
        <f>IF(OR($A288="",NOT(ISNUMBER($F288))),"",IF($F288&lt;=0,"No deposit",IF(NOT(ISNUMBER($G288)),"Enter date received",IF(AND(ISNUMBER($H288),ISNUMBER($I288)),IF(MAX($H288,$I288)-$G288&lt;=29,"OK","LATE: protected / info served after day 30"),IF(TODAY()-$G288&gt;29,"OVERDUE: not protected / info not served","Protect + serve info by "&amp;TEXT($G288+29,"dd/mm/yyyy"))))))</f>
        <v/>
      </c>
      <c r="K288" s="97">
        <f>IF(OR(NOT(ISNUMBER($E288)),NOT(ISNUMBER($F288))),"",IF($F288&lt;=$E288*12/52*5,"OK","Over 5 weeks"))</f>
        <v/>
      </c>
      <c r="L288" s="52"/>
      <c r="M288" s="52"/>
      <c r="N288" s="122">
        <f>IF(OR($A288="",NOT(ISNUMBER($L288))),IF($A288="","","Not recorded"),IF(NOT(ISNUMBER($M288)),"Checked (no follow-up)",IF($M288&lt;TODAY(),"OVERDUE: follow-up check",IF($M288-TODAY()&lt;=60,"Follow-up due "&amp;TEXT($M288,"dd/mm/yyyy"),"Checked"))))</f>
        <v/>
      </c>
      <c r="O288" s="52"/>
      <c r="P288" s="52"/>
      <c r="Q288" s="122">
        <f>IF($A288="","",IF(NOT(ISNUMBER($D288)),"Enter start date",IF($D288&gt;=DATE(2026,5,1),IF(ISNUMBER($O288),"Complete","Missing: written terms"),IF(OR(ISNUMBER($P288),ISNUMBER($O288)),"Complete","Missing: Information Sheet (was due 31/05/2026)"))))</f>
        <v/>
      </c>
      <c r="R288" s="52"/>
      <c r="S288" s="82">
        <f>IF(ISNUMBER($R288),$R288+364,IF(ISNUMBER($D288),$D288+364,""))</f>
        <v/>
      </c>
      <c r="T288" s="52"/>
      <c r="U288" s="82">
        <f>IF(ISNUMBER($T288),IF(ISNUMBER($S288),MAX(EDATE($T288,2),$S288),EDATE($T288,2)),"")</f>
        <v/>
      </c>
      <c r="V288" s="52"/>
      <c r="W288" s="52"/>
      <c r="X288" s="121">
        <f>IF(NOT(ISNUMBER($V288)),"",IF(ISNUMBER($W288),IF($W288-$V288&lt;=28,"Answered in time","LATE: answered after day 28"),IF(TODAY()-$V288&gt;28,"OVERDUE: no reply yet","Reply due by "&amp;TEXT($V288+28,"dd/mm/yyyy"))))</f>
        <v/>
      </c>
      <c r="Y288" s="54"/>
    </row>
    <row r="289" spans="1:25">
      <c r="A289" s="54"/>
      <c r="B289" s="54"/>
      <c r="C289" s="51"/>
      <c r="D289" s="52"/>
      <c r="E289" s="120"/>
      <c r="F289" s="120"/>
      <c r="G289" s="52"/>
      <c r="H289" s="52"/>
      <c r="I289" s="52"/>
      <c r="J289" s="121">
        <f>IF(OR($A289="",NOT(ISNUMBER($F289))),"",IF($F289&lt;=0,"No deposit",IF(NOT(ISNUMBER($G289)),"Enter date received",IF(AND(ISNUMBER($H289),ISNUMBER($I289)),IF(MAX($H289,$I289)-$G289&lt;=29,"OK","LATE: protected / info served after day 30"),IF(TODAY()-$G289&gt;29,"OVERDUE: not protected / info not served","Protect + serve info by "&amp;TEXT($G289+29,"dd/mm/yyyy"))))))</f>
        <v/>
      </c>
      <c r="K289" s="97">
        <f>IF(OR(NOT(ISNUMBER($E289)),NOT(ISNUMBER($F289))),"",IF($F289&lt;=$E289*12/52*5,"OK","Over 5 weeks"))</f>
        <v/>
      </c>
      <c r="L289" s="52"/>
      <c r="M289" s="52"/>
      <c r="N289" s="122">
        <f>IF(OR($A289="",NOT(ISNUMBER($L289))),IF($A289="","","Not recorded"),IF(NOT(ISNUMBER($M289)),"Checked (no follow-up)",IF($M289&lt;TODAY(),"OVERDUE: follow-up check",IF($M289-TODAY()&lt;=60,"Follow-up due "&amp;TEXT($M289,"dd/mm/yyyy"),"Checked"))))</f>
        <v/>
      </c>
      <c r="O289" s="52"/>
      <c r="P289" s="52"/>
      <c r="Q289" s="122">
        <f>IF($A289="","",IF(NOT(ISNUMBER($D289)),"Enter start date",IF($D289&gt;=DATE(2026,5,1),IF(ISNUMBER($O289),"Complete","Missing: written terms"),IF(OR(ISNUMBER($P289),ISNUMBER($O289)),"Complete","Missing: Information Sheet (was due 31/05/2026)"))))</f>
        <v/>
      </c>
      <c r="R289" s="52"/>
      <c r="S289" s="82">
        <f>IF(ISNUMBER($R289),$R289+364,IF(ISNUMBER($D289),$D289+364,""))</f>
        <v/>
      </c>
      <c r="T289" s="52"/>
      <c r="U289" s="82">
        <f>IF(ISNUMBER($T289),IF(ISNUMBER($S289),MAX(EDATE($T289,2),$S289),EDATE($T289,2)),"")</f>
        <v/>
      </c>
      <c r="V289" s="52"/>
      <c r="W289" s="52"/>
      <c r="X289" s="121">
        <f>IF(NOT(ISNUMBER($V289)),"",IF(ISNUMBER($W289),IF($W289-$V289&lt;=28,"Answered in time","LATE: answered after day 28"),IF(TODAY()-$V289&gt;28,"OVERDUE: no reply yet","Reply due by "&amp;TEXT($V289+28,"dd/mm/yyyy"))))</f>
        <v/>
      </c>
      <c r="Y289" s="54"/>
    </row>
    <row r="290" spans="1:25">
      <c r="A290" s="54"/>
      <c r="B290" s="54"/>
      <c r="C290" s="51"/>
      <c r="D290" s="52"/>
      <c r="E290" s="120"/>
      <c r="F290" s="120"/>
      <c r="G290" s="52"/>
      <c r="H290" s="52"/>
      <c r="I290" s="52"/>
      <c r="J290" s="121">
        <f>IF(OR($A290="",NOT(ISNUMBER($F290))),"",IF($F290&lt;=0,"No deposit",IF(NOT(ISNUMBER($G290)),"Enter date received",IF(AND(ISNUMBER($H290),ISNUMBER($I290)),IF(MAX($H290,$I290)-$G290&lt;=29,"OK","LATE: protected / info served after day 30"),IF(TODAY()-$G290&gt;29,"OVERDUE: not protected / info not served","Protect + serve info by "&amp;TEXT($G290+29,"dd/mm/yyyy"))))))</f>
        <v/>
      </c>
      <c r="K290" s="97">
        <f>IF(OR(NOT(ISNUMBER($E290)),NOT(ISNUMBER($F290))),"",IF($F290&lt;=$E290*12/52*5,"OK","Over 5 weeks"))</f>
        <v/>
      </c>
      <c r="L290" s="52"/>
      <c r="M290" s="52"/>
      <c r="N290" s="122">
        <f>IF(OR($A290="",NOT(ISNUMBER($L290))),IF($A290="","","Not recorded"),IF(NOT(ISNUMBER($M290)),"Checked (no follow-up)",IF($M290&lt;TODAY(),"OVERDUE: follow-up check",IF($M290-TODAY()&lt;=60,"Follow-up due "&amp;TEXT($M290,"dd/mm/yyyy"),"Checked"))))</f>
        <v/>
      </c>
      <c r="O290" s="52"/>
      <c r="P290" s="52"/>
      <c r="Q290" s="122">
        <f>IF($A290="","",IF(NOT(ISNUMBER($D290)),"Enter start date",IF($D290&gt;=DATE(2026,5,1),IF(ISNUMBER($O290),"Complete","Missing: written terms"),IF(OR(ISNUMBER($P290),ISNUMBER($O290)),"Complete","Missing: Information Sheet (was due 31/05/2026)"))))</f>
        <v/>
      </c>
      <c r="R290" s="52"/>
      <c r="S290" s="82">
        <f>IF(ISNUMBER($R290),$R290+364,IF(ISNUMBER($D290),$D290+364,""))</f>
        <v/>
      </c>
      <c r="T290" s="52"/>
      <c r="U290" s="82">
        <f>IF(ISNUMBER($T290),IF(ISNUMBER($S290),MAX(EDATE($T290,2),$S290),EDATE($T290,2)),"")</f>
        <v/>
      </c>
      <c r="V290" s="52"/>
      <c r="W290" s="52"/>
      <c r="X290" s="121">
        <f>IF(NOT(ISNUMBER($V290)),"",IF(ISNUMBER($W290),IF($W290-$V290&lt;=28,"Answered in time","LATE: answered after day 28"),IF(TODAY()-$V290&gt;28,"OVERDUE: no reply yet","Reply due by "&amp;TEXT($V290+28,"dd/mm/yyyy"))))</f>
        <v/>
      </c>
      <c r="Y290" s="54"/>
    </row>
    <row r="291" spans="1:25">
      <c r="A291" s="54"/>
      <c r="B291" s="54"/>
      <c r="C291" s="51"/>
      <c r="D291" s="52"/>
      <c r="E291" s="120"/>
      <c r="F291" s="120"/>
      <c r="G291" s="52"/>
      <c r="H291" s="52"/>
      <c r="I291" s="52"/>
      <c r="J291" s="121">
        <f>IF(OR($A291="",NOT(ISNUMBER($F291))),"",IF($F291&lt;=0,"No deposit",IF(NOT(ISNUMBER($G291)),"Enter date received",IF(AND(ISNUMBER($H291),ISNUMBER($I291)),IF(MAX($H291,$I291)-$G291&lt;=29,"OK","LATE: protected / info served after day 30"),IF(TODAY()-$G291&gt;29,"OVERDUE: not protected / info not served","Protect + serve info by "&amp;TEXT($G291+29,"dd/mm/yyyy"))))))</f>
        <v/>
      </c>
      <c r="K291" s="97">
        <f>IF(OR(NOT(ISNUMBER($E291)),NOT(ISNUMBER($F291))),"",IF($F291&lt;=$E291*12/52*5,"OK","Over 5 weeks"))</f>
        <v/>
      </c>
      <c r="L291" s="52"/>
      <c r="M291" s="52"/>
      <c r="N291" s="122">
        <f>IF(OR($A291="",NOT(ISNUMBER($L291))),IF($A291="","","Not recorded"),IF(NOT(ISNUMBER($M291)),"Checked (no follow-up)",IF($M291&lt;TODAY(),"OVERDUE: follow-up check",IF($M291-TODAY()&lt;=60,"Follow-up due "&amp;TEXT($M291,"dd/mm/yyyy"),"Checked"))))</f>
        <v/>
      </c>
      <c r="O291" s="52"/>
      <c r="P291" s="52"/>
      <c r="Q291" s="122">
        <f>IF($A291="","",IF(NOT(ISNUMBER($D291)),"Enter start date",IF($D291&gt;=DATE(2026,5,1),IF(ISNUMBER($O291),"Complete","Missing: written terms"),IF(OR(ISNUMBER($P291),ISNUMBER($O291)),"Complete","Missing: Information Sheet (was due 31/05/2026)"))))</f>
        <v/>
      </c>
      <c r="R291" s="52"/>
      <c r="S291" s="82">
        <f>IF(ISNUMBER($R291),$R291+364,IF(ISNUMBER($D291),$D291+364,""))</f>
        <v/>
      </c>
      <c r="T291" s="52"/>
      <c r="U291" s="82">
        <f>IF(ISNUMBER($T291),IF(ISNUMBER($S291),MAX(EDATE($T291,2),$S291),EDATE($T291,2)),"")</f>
        <v/>
      </c>
      <c r="V291" s="52"/>
      <c r="W291" s="52"/>
      <c r="X291" s="121">
        <f>IF(NOT(ISNUMBER($V291)),"",IF(ISNUMBER($W291),IF($W291-$V291&lt;=28,"Answered in time","LATE: answered after day 28"),IF(TODAY()-$V291&gt;28,"OVERDUE: no reply yet","Reply due by "&amp;TEXT($V291+28,"dd/mm/yyyy"))))</f>
        <v/>
      </c>
      <c r="Y291" s="54"/>
    </row>
    <row r="292" spans="1:25">
      <c r="A292" s="54"/>
      <c r="B292" s="54"/>
      <c r="C292" s="51"/>
      <c r="D292" s="52"/>
      <c r="E292" s="120"/>
      <c r="F292" s="120"/>
      <c r="G292" s="52"/>
      <c r="H292" s="52"/>
      <c r="I292" s="52"/>
      <c r="J292" s="121">
        <f>IF(OR($A292="",NOT(ISNUMBER($F292))),"",IF($F292&lt;=0,"No deposit",IF(NOT(ISNUMBER($G292)),"Enter date received",IF(AND(ISNUMBER($H292),ISNUMBER($I292)),IF(MAX($H292,$I292)-$G292&lt;=29,"OK","LATE: protected / info served after day 30"),IF(TODAY()-$G292&gt;29,"OVERDUE: not protected / info not served","Protect + serve info by "&amp;TEXT($G292+29,"dd/mm/yyyy"))))))</f>
        <v/>
      </c>
      <c r="K292" s="97">
        <f>IF(OR(NOT(ISNUMBER($E292)),NOT(ISNUMBER($F292))),"",IF($F292&lt;=$E292*12/52*5,"OK","Over 5 weeks"))</f>
        <v/>
      </c>
      <c r="L292" s="52"/>
      <c r="M292" s="52"/>
      <c r="N292" s="122">
        <f>IF(OR($A292="",NOT(ISNUMBER($L292))),IF($A292="","","Not recorded"),IF(NOT(ISNUMBER($M292)),"Checked (no follow-up)",IF($M292&lt;TODAY(),"OVERDUE: follow-up check",IF($M292-TODAY()&lt;=60,"Follow-up due "&amp;TEXT($M292,"dd/mm/yyyy"),"Checked"))))</f>
        <v/>
      </c>
      <c r="O292" s="52"/>
      <c r="P292" s="52"/>
      <c r="Q292" s="122">
        <f>IF($A292="","",IF(NOT(ISNUMBER($D292)),"Enter start date",IF($D292&gt;=DATE(2026,5,1),IF(ISNUMBER($O292),"Complete","Missing: written terms"),IF(OR(ISNUMBER($P292),ISNUMBER($O292)),"Complete","Missing: Information Sheet (was due 31/05/2026)"))))</f>
        <v/>
      </c>
      <c r="R292" s="52"/>
      <c r="S292" s="82">
        <f>IF(ISNUMBER($R292),$R292+364,IF(ISNUMBER($D292),$D292+364,""))</f>
        <v/>
      </c>
      <c r="T292" s="52"/>
      <c r="U292" s="82">
        <f>IF(ISNUMBER($T292),IF(ISNUMBER($S292),MAX(EDATE($T292,2),$S292),EDATE($T292,2)),"")</f>
        <v/>
      </c>
      <c r="V292" s="52"/>
      <c r="W292" s="52"/>
      <c r="X292" s="121">
        <f>IF(NOT(ISNUMBER($V292)),"",IF(ISNUMBER($W292),IF($W292-$V292&lt;=28,"Answered in time","LATE: answered after day 28"),IF(TODAY()-$V292&gt;28,"OVERDUE: no reply yet","Reply due by "&amp;TEXT($V292+28,"dd/mm/yyyy"))))</f>
        <v/>
      </c>
      <c r="Y292" s="54"/>
    </row>
    <row r="293" spans="1:25">
      <c r="A293" s="54"/>
      <c r="B293" s="54"/>
      <c r="C293" s="51"/>
      <c r="D293" s="52"/>
      <c r="E293" s="120"/>
      <c r="F293" s="120"/>
      <c r="G293" s="52"/>
      <c r="H293" s="52"/>
      <c r="I293" s="52"/>
      <c r="J293" s="121">
        <f>IF(OR($A293="",NOT(ISNUMBER($F293))),"",IF($F293&lt;=0,"No deposit",IF(NOT(ISNUMBER($G293)),"Enter date received",IF(AND(ISNUMBER($H293),ISNUMBER($I293)),IF(MAX($H293,$I293)-$G293&lt;=29,"OK","LATE: protected / info served after day 30"),IF(TODAY()-$G293&gt;29,"OVERDUE: not protected / info not served","Protect + serve info by "&amp;TEXT($G293+29,"dd/mm/yyyy"))))))</f>
        <v/>
      </c>
      <c r="K293" s="97">
        <f>IF(OR(NOT(ISNUMBER($E293)),NOT(ISNUMBER($F293))),"",IF($F293&lt;=$E293*12/52*5,"OK","Over 5 weeks"))</f>
        <v/>
      </c>
      <c r="L293" s="52"/>
      <c r="M293" s="52"/>
      <c r="N293" s="122">
        <f>IF(OR($A293="",NOT(ISNUMBER($L293))),IF($A293="","","Not recorded"),IF(NOT(ISNUMBER($M293)),"Checked (no follow-up)",IF($M293&lt;TODAY(),"OVERDUE: follow-up check",IF($M293-TODAY()&lt;=60,"Follow-up due "&amp;TEXT($M293,"dd/mm/yyyy"),"Checked"))))</f>
        <v/>
      </c>
      <c r="O293" s="52"/>
      <c r="P293" s="52"/>
      <c r="Q293" s="122">
        <f>IF($A293="","",IF(NOT(ISNUMBER($D293)),"Enter start date",IF($D293&gt;=DATE(2026,5,1),IF(ISNUMBER($O293),"Complete","Missing: written terms"),IF(OR(ISNUMBER($P293),ISNUMBER($O293)),"Complete","Missing: Information Sheet (was due 31/05/2026)"))))</f>
        <v/>
      </c>
      <c r="R293" s="52"/>
      <c r="S293" s="82">
        <f>IF(ISNUMBER($R293),$R293+364,IF(ISNUMBER($D293),$D293+364,""))</f>
        <v/>
      </c>
      <c r="T293" s="52"/>
      <c r="U293" s="82">
        <f>IF(ISNUMBER($T293),IF(ISNUMBER($S293),MAX(EDATE($T293,2),$S293),EDATE($T293,2)),"")</f>
        <v/>
      </c>
      <c r="V293" s="52"/>
      <c r="W293" s="52"/>
      <c r="X293" s="121">
        <f>IF(NOT(ISNUMBER($V293)),"",IF(ISNUMBER($W293),IF($W293-$V293&lt;=28,"Answered in time","LATE: answered after day 28"),IF(TODAY()-$V293&gt;28,"OVERDUE: no reply yet","Reply due by "&amp;TEXT($V293+28,"dd/mm/yyyy"))))</f>
        <v/>
      </c>
      <c r="Y293" s="54"/>
    </row>
    <row r="294" spans="1:25">
      <c r="A294" s="54"/>
      <c r="B294" s="54"/>
      <c r="C294" s="51"/>
      <c r="D294" s="52"/>
      <c r="E294" s="120"/>
      <c r="F294" s="120"/>
      <c r="G294" s="52"/>
      <c r="H294" s="52"/>
      <c r="I294" s="52"/>
      <c r="J294" s="121">
        <f>IF(OR($A294="",NOT(ISNUMBER($F294))),"",IF($F294&lt;=0,"No deposit",IF(NOT(ISNUMBER($G294)),"Enter date received",IF(AND(ISNUMBER($H294),ISNUMBER($I294)),IF(MAX($H294,$I294)-$G294&lt;=29,"OK","LATE: protected / info served after day 30"),IF(TODAY()-$G294&gt;29,"OVERDUE: not protected / info not served","Protect + serve info by "&amp;TEXT($G294+29,"dd/mm/yyyy"))))))</f>
        <v/>
      </c>
      <c r="K294" s="97">
        <f>IF(OR(NOT(ISNUMBER($E294)),NOT(ISNUMBER($F294))),"",IF($F294&lt;=$E294*12/52*5,"OK","Over 5 weeks"))</f>
        <v/>
      </c>
      <c r="L294" s="52"/>
      <c r="M294" s="52"/>
      <c r="N294" s="122">
        <f>IF(OR($A294="",NOT(ISNUMBER($L294))),IF($A294="","","Not recorded"),IF(NOT(ISNUMBER($M294)),"Checked (no follow-up)",IF($M294&lt;TODAY(),"OVERDUE: follow-up check",IF($M294-TODAY()&lt;=60,"Follow-up due "&amp;TEXT($M294,"dd/mm/yyyy"),"Checked"))))</f>
        <v/>
      </c>
      <c r="O294" s="52"/>
      <c r="P294" s="52"/>
      <c r="Q294" s="122">
        <f>IF($A294="","",IF(NOT(ISNUMBER($D294)),"Enter start date",IF($D294&gt;=DATE(2026,5,1),IF(ISNUMBER($O294),"Complete","Missing: written terms"),IF(OR(ISNUMBER($P294),ISNUMBER($O294)),"Complete","Missing: Information Sheet (was due 31/05/2026)"))))</f>
        <v/>
      </c>
      <c r="R294" s="52"/>
      <c r="S294" s="82">
        <f>IF(ISNUMBER($R294),$R294+364,IF(ISNUMBER($D294),$D294+364,""))</f>
        <v/>
      </c>
      <c r="T294" s="52"/>
      <c r="U294" s="82">
        <f>IF(ISNUMBER($T294),IF(ISNUMBER($S294),MAX(EDATE($T294,2),$S294),EDATE($T294,2)),"")</f>
        <v/>
      </c>
      <c r="V294" s="52"/>
      <c r="W294" s="52"/>
      <c r="X294" s="121">
        <f>IF(NOT(ISNUMBER($V294)),"",IF(ISNUMBER($W294),IF($W294-$V294&lt;=28,"Answered in time","LATE: answered after day 28"),IF(TODAY()-$V294&gt;28,"OVERDUE: no reply yet","Reply due by "&amp;TEXT($V294+28,"dd/mm/yyyy"))))</f>
        <v/>
      </c>
      <c r="Y294" s="54"/>
    </row>
    <row r="295" spans="1:25">
      <c r="A295" s="54"/>
      <c r="B295" s="54"/>
      <c r="C295" s="51"/>
      <c r="D295" s="52"/>
      <c r="E295" s="120"/>
      <c r="F295" s="120"/>
      <c r="G295" s="52"/>
      <c r="H295" s="52"/>
      <c r="I295" s="52"/>
      <c r="J295" s="121">
        <f>IF(OR($A295="",NOT(ISNUMBER($F295))),"",IF($F295&lt;=0,"No deposit",IF(NOT(ISNUMBER($G295)),"Enter date received",IF(AND(ISNUMBER($H295),ISNUMBER($I295)),IF(MAX($H295,$I295)-$G295&lt;=29,"OK","LATE: protected / info served after day 30"),IF(TODAY()-$G295&gt;29,"OVERDUE: not protected / info not served","Protect + serve info by "&amp;TEXT($G295+29,"dd/mm/yyyy"))))))</f>
        <v/>
      </c>
      <c r="K295" s="97">
        <f>IF(OR(NOT(ISNUMBER($E295)),NOT(ISNUMBER($F295))),"",IF($F295&lt;=$E295*12/52*5,"OK","Over 5 weeks"))</f>
        <v/>
      </c>
      <c r="L295" s="52"/>
      <c r="M295" s="52"/>
      <c r="N295" s="122">
        <f>IF(OR($A295="",NOT(ISNUMBER($L295))),IF($A295="","","Not recorded"),IF(NOT(ISNUMBER($M295)),"Checked (no follow-up)",IF($M295&lt;TODAY(),"OVERDUE: follow-up check",IF($M295-TODAY()&lt;=60,"Follow-up due "&amp;TEXT($M295,"dd/mm/yyyy"),"Checked"))))</f>
        <v/>
      </c>
      <c r="O295" s="52"/>
      <c r="P295" s="52"/>
      <c r="Q295" s="122">
        <f>IF($A295="","",IF(NOT(ISNUMBER($D295)),"Enter start date",IF($D295&gt;=DATE(2026,5,1),IF(ISNUMBER($O295),"Complete","Missing: written terms"),IF(OR(ISNUMBER($P295),ISNUMBER($O295)),"Complete","Missing: Information Sheet (was due 31/05/2026)"))))</f>
        <v/>
      </c>
      <c r="R295" s="52"/>
      <c r="S295" s="82">
        <f>IF(ISNUMBER($R295),$R295+364,IF(ISNUMBER($D295),$D295+364,""))</f>
        <v/>
      </c>
      <c r="T295" s="52"/>
      <c r="U295" s="82">
        <f>IF(ISNUMBER($T295),IF(ISNUMBER($S295),MAX(EDATE($T295,2),$S295),EDATE($T295,2)),"")</f>
        <v/>
      </c>
      <c r="V295" s="52"/>
      <c r="W295" s="52"/>
      <c r="X295" s="121">
        <f>IF(NOT(ISNUMBER($V295)),"",IF(ISNUMBER($W295),IF($W295-$V295&lt;=28,"Answered in time","LATE: answered after day 28"),IF(TODAY()-$V295&gt;28,"OVERDUE: no reply yet","Reply due by "&amp;TEXT($V295+28,"dd/mm/yyyy"))))</f>
        <v/>
      </c>
      <c r="Y295" s="54"/>
    </row>
    <row r="296" spans="1:25">
      <c r="A296" s="54"/>
      <c r="B296" s="54"/>
      <c r="C296" s="51"/>
      <c r="D296" s="52"/>
      <c r="E296" s="120"/>
      <c r="F296" s="120"/>
      <c r="G296" s="52"/>
      <c r="H296" s="52"/>
      <c r="I296" s="52"/>
      <c r="J296" s="121">
        <f>IF(OR($A296="",NOT(ISNUMBER($F296))),"",IF($F296&lt;=0,"No deposit",IF(NOT(ISNUMBER($G296)),"Enter date received",IF(AND(ISNUMBER($H296),ISNUMBER($I296)),IF(MAX($H296,$I296)-$G296&lt;=29,"OK","LATE: protected / info served after day 30"),IF(TODAY()-$G296&gt;29,"OVERDUE: not protected / info not served","Protect + serve info by "&amp;TEXT($G296+29,"dd/mm/yyyy"))))))</f>
        <v/>
      </c>
      <c r="K296" s="97">
        <f>IF(OR(NOT(ISNUMBER($E296)),NOT(ISNUMBER($F296))),"",IF($F296&lt;=$E296*12/52*5,"OK","Over 5 weeks"))</f>
        <v/>
      </c>
      <c r="L296" s="52"/>
      <c r="M296" s="52"/>
      <c r="N296" s="122">
        <f>IF(OR($A296="",NOT(ISNUMBER($L296))),IF($A296="","","Not recorded"),IF(NOT(ISNUMBER($M296)),"Checked (no follow-up)",IF($M296&lt;TODAY(),"OVERDUE: follow-up check",IF($M296-TODAY()&lt;=60,"Follow-up due "&amp;TEXT($M296,"dd/mm/yyyy"),"Checked"))))</f>
        <v/>
      </c>
      <c r="O296" s="52"/>
      <c r="P296" s="52"/>
      <c r="Q296" s="122">
        <f>IF($A296="","",IF(NOT(ISNUMBER($D296)),"Enter start date",IF($D296&gt;=DATE(2026,5,1),IF(ISNUMBER($O296),"Complete","Missing: written terms"),IF(OR(ISNUMBER($P296),ISNUMBER($O296)),"Complete","Missing: Information Sheet (was due 31/05/2026)"))))</f>
        <v/>
      </c>
      <c r="R296" s="52"/>
      <c r="S296" s="82">
        <f>IF(ISNUMBER($R296),$R296+364,IF(ISNUMBER($D296),$D296+364,""))</f>
        <v/>
      </c>
      <c r="T296" s="52"/>
      <c r="U296" s="82">
        <f>IF(ISNUMBER($T296),IF(ISNUMBER($S296),MAX(EDATE($T296,2),$S296),EDATE($T296,2)),"")</f>
        <v/>
      </c>
      <c r="V296" s="52"/>
      <c r="W296" s="52"/>
      <c r="X296" s="121">
        <f>IF(NOT(ISNUMBER($V296)),"",IF(ISNUMBER($W296),IF($W296-$V296&lt;=28,"Answered in time","LATE: answered after day 28"),IF(TODAY()-$V296&gt;28,"OVERDUE: no reply yet","Reply due by "&amp;TEXT($V296+28,"dd/mm/yyyy"))))</f>
        <v/>
      </c>
      <c r="Y296" s="54"/>
    </row>
    <row r="297" spans="1:25">
      <c r="A297" s="54"/>
      <c r="B297" s="54"/>
      <c r="C297" s="51"/>
      <c r="D297" s="52"/>
      <c r="E297" s="120"/>
      <c r="F297" s="120"/>
      <c r="G297" s="52"/>
      <c r="H297" s="52"/>
      <c r="I297" s="52"/>
      <c r="J297" s="121">
        <f>IF(OR($A297="",NOT(ISNUMBER($F297))),"",IF($F297&lt;=0,"No deposit",IF(NOT(ISNUMBER($G297)),"Enter date received",IF(AND(ISNUMBER($H297),ISNUMBER($I297)),IF(MAX($H297,$I297)-$G297&lt;=29,"OK","LATE: protected / info served after day 30"),IF(TODAY()-$G297&gt;29,"OVERDUE: not protected / info not served","Protect + serve info by "&amp;TEXT($G297+29,"dd/mm/yyyy"))))))</f>
        <v/>
      </c>
      <c r="K297" s="97">
        <f>IF(OR(NOT(ISNUMBER($E297)),NOT(ISNUMBER($F297))),"",IF($F297&lt;=$E297*12/52*5,"OK","Over 5 weeks"))</f>
        <v/>
      </c>
      <c r="L297" s="52"/>
      <c r="M297" s="52"/>
      <c r="N297" s="122">
        <f>IF(OR($A297="",NOT(ISNUMBER($L297))),IF($A297="","","Not recorded"),IF(NOT(ISNUMBER($M297)),"Checked (no follow-up)",IF($M297&lt;TODAY(),"OVERDUE: follow-up check",IF($M297-TODAY()&lt;=60,"Follow-up due "&amp;TEXT($M297,"dd/mm/yyyy"),"Checked"))))</f>
        <v/>
      </c>
      <c r="O297" s="52"/>
      <c r="P297" s="52"/>
      <c r="Q297" s="122">
        <f>IF($A297="","",IF(NOT(ISNUMBER($D297)),"Enter start date",IF($D297&gt;=DATE(2026,5,1),IF(ISNUMBER($O297),"Complete","Missing: written terms"),IF(OR(ISNUMBER($P297),ISNUMBER($O297)),"Complete","Missing: Information Sheet (was due 31/05/2026)"))))</f>
        <v/>
      </c>
      <c r="R297" s="52"/>
      <c r="S297" s="82">
        <f>IF(ISNUMBER($R297),$R297+364,IF(ISNUMBER($D297),$D297+364,""))</f>
        <v/>
      </c>
      <c r="T297" s="52"/>
      <c r="U297" s="82">
        <f>IF(ISNUMBER($T297),IF(ISNUMBER($S297),MAX(EDATE($T297,2),$S297),EDATE($T297,2)),"")</f>
        <v/>
      </c>
      <c r="V297" s="52"/>
      <c r="W297" s="52"/>
      <c r="X297" s="121">
        <f>IF(NOT(ISNUMBER($V297)),"",IF(ISNUMBER($W297),IF($W297-$V297&lt;=28,"Answered in time","LATE: answered after day 28"),IF(TODAY()-$V297&gt;28,"OVERDUE: no reply yet","Reply due by "&amp;TEXT($V297+28,"dd/mm/yyyy"))))</f>
        <v/>
      </c>
      <c r="Y297" s="54"/>
    </row>
    <row r="298" spans="1:25">
      <c r="A298" s="54"/>
      <c r="B298" s="54"/>
      <c r="C298" s="51"/>
      <c r="D298" s="52"/>
      <c r="E298" s="120"/>
      <c r="F298" s="120"/>
      <c r="G298" s="52"/>
      <c r="H298" s="52"/>
      <c r="I298" s="52"/>
      <c r="J298" s="121">
        <f>IF(OR($A298="",NOT(ISNUMBER($F298))),"",IF($F298&lt;=0,"No deposit",IF(NOT(ISNUMBER($G298)),"Enter date received",IF(AND(ISNUMBER($H298),ISNUMBER($I298)),IF(MAX($H298,$I298)-$G298&lt;=29,"OK","LATE: protected / info served after day 30"),IF(TODAY()-$G298&gt;29,"OVERDUE: not protected / info not served","Protect + serve info by "&amp;TEXT($G298+29,"dd/mm/yyyy"))))))</f>
        <v/>
      </c>
      <c r="K298" s="97">
        <f>IF(OR(NOT(ISNUMBER($E298)),NOT(ISNUMBER($F298))),"",IF($F298&lt;=$E298*12/52*5,"OK","Over 5 weeks"))</f>
        <v/>
      </c>
      <c r="L298" s="52"/>
      <c r="M298" s="52"/>
      <c r="N298" s="122">
        <f>IF(OR($A298="",NOT(ISNUMBER($L298))),IF($A298="","","Not recorded"),IF(NOT(ISNUMBER($M298)),"Checked (no follow-up)",IF($M298&lt;TODAY(),"OVERDUE: follow-up check",IF($M298-TODAY()&lt;=60,"Follow-up due "&amp;TEXT($M298,"dd/mm/yyyy"),"Checked"))))</f>
        <v/>
      </c>
      <c r="O298" s="52"/>
      <c r="P298" s="52"/>
      <c r="Q298" s="122">
        <f>IF($A298="","",IF(NOT(ISNUMBER($D298)),"Enter start date",IF($D298&gt;=DATE(2026,5,1),IF(ISNUMBER($O298),"Complete","Missing: written terms"),IF(OR(ISNUMBER($P298),ISNUMBER($O298)),"Complete","Missing: Information Sheet (was due 31/05/2026)"))))</f>
        <v/>
      </c>
      <c r="R298" s="52"/>
      <c r="S298" s="82">
        <f>IF(ISNUMBER($R298),$R298+364,IF(ISNUMBER($D298),$D298+364,""))</f>
        <v/>
      </c>
      <c r="T298" s="52"/>
      <c r="U298" s="82">
        <f>IF(ISNUMBER($T298),IF(ISNUMBER($S298),MAX(EDATE($T298,2),$S298),EDATE($T298,2)),"")</f>
        <v/>
      </c>
      <c r="V298" s="52"/>
      <c r="W298" s="52"/>
      <c r="X298" s="121">
        <f>IF(NOT(ISNUMBER($V298)),"",IF(ISNUMBER($W298),IF($W298-$V298&lt;=28,"Answered in time","LATE: answered after day 28"),IF(TODAY()-$V298&gt;28,"OVERDUE: no reply yet","Reply due by "&amp;TEXT($V298+28,"dd/mm/yyyy"))))</f>
        <v/>
      </c>
      <c r="Y298" s="54"/>
    </row>
    <row r="299" spans="1:25">
      <c r="A299" s="54"/>
      <c r="B299" s="54"/>
      <c r="C299" s="51"/>
      <c r="D299" s="52"/>
      <c r="E299" s="120"/>
      <c r="F299" s="120"/>
      <c r="G299" s="52"/>
      <c r="H299" s="52"/>
      <c r="I299" s="52"/>
      <c r="J299" s="121">
        <f>IF(OR($A299="",NOT(ISNUMBER($F299))),"",IF($F299&lt;=0,"No deposit",IF(NOT(ISNUMBER($G299)),"Enter date received",IF(AND(ISNUMBER($H299),ISNUMBER($I299)),IF(MAX($H299,$I299)-$G299&lt;=29,"OK","LATE: protected / info served after day 30"),IF(TODAY()-$G299&gt;29,"OVERDUE: not protected / info not served","Protect + serve info by "&amp;TEXT($G299+29,"dd/mm/yyyy"))))))</f>
        <v/>
      </c>
      <c r="K299" s="97">
        <f>IF(OR(NOT(ISNUMBER($E299)),NOT(ISNUMBER($F299))),"",IF($F299&lt;=$E299*12/52*5,"OK","Over 5 weeks"))</f>
        <v/>
      </c>
      <c r="L299" s="52"/>
      <c r="M299" s="52"/>
      <c r="N299" s="122">
        <f>IF(OR($A299="",NOT(ISNUMBER($L299))),IF($A299="","","Not recorded"),IF(NOT(ISNUMBER($M299)),"Checked (no follow-up)",IF($M299&lt;TODAY(),"OVERDUE: follow-up check",IF($M299-TODAY()&lt;=60,"Follow-up due "&amp;TEXT($M299,"dd/mm/yyyy"),"Checked"))))</f>
        <v/>
      </c>
      <c r="O299" s="52"/>
      <c r="P299" s="52"/>
      <c r="Q299" s="122">
        <f>IF($A299="","",IF(NOT(ISNUMBER($D299)),"Enter start date",IF($D299&gt;=DATE(2026,5,1),IF(ISNUMBER($O299),"Complete","Missing: written terms"),IF(OR(ISNUMBER($P299),ISNUMBER($O299)),"Complete","Missing: Information Sheet (was due 31/05/2026)"))))</f>
        <v/>
      </c>
      <c r="R299" s="52"/>
      <c r="S299" s="82">
        <f>IF(ISNUMBER($R299),$R299+364,IF(ISNUMBER($D299),$D299+364,""))</f>
        <v/>
      </c>
      <c r="T299" s="52"/>
      <c r="U299" s="82">
        <f>IF(ISNUMBER($T299),IF(ISNUMBER($S299),MAX(EDATE($T299,2),$S299),EDATE($T299,2)),"")</f>
        <v/>
      </c>
      <c r="V299" s="52"/>
      <c r="W299" s="52"/>
      <c r="X299" s="121">
        <f>IF(NOT(ISNUMBER($V299)),"",IF(ISNUMBER($W299),IF($W299-$V299&lt;=28,"Answered in time","LATE: answered after day 28"),IF(TODAY()-$V299&gt;28,"OVERDUE: no reply yet","Reply due by "&amp;TEXT($V299+28,"dd/mm/yyyy"))))</f>
        <v/>
      </c>
      <c r="Y299" s="54"/>
    </row>
    <row r="300" spans="1:25">
      <c r="A300" s="54"/>
      <c r="B300" s="54"/>
      <c r="C300" s="51"/>
      <c r="D300" s="52"/>
      <c r="E300" s="120"/>
      <c r="F300" s="120"/>
      <c r="G300" s="52"/>
      <c r="H300" s="52"/>
      <c r="I300" s="52"/>
      <c r="J300" s="121">
        <f>IF(OR($A300="",NOT(ISNUMBER($F300))),"",IF($F300&lt;=0,"No deposit",IF(NOT(ISNUMBER($G300)),"Enter date received",IF(AND(ISNUMBER($H300),ISNUMBER($I300)),IF(MAX($H300,$I300)-$G300&lt;=29,"OK","LATE: protected / info served after day 30"),IF(TODAY()-$G300&gt;29,"OVERDUE: not protected / info not served","Protect + serve info by "&amp;TEXT($G300+29,"dd/mm/yyyy"))))))</f>
        <v/>
      </c>
      <c r="K300" s="97">
        <f>IF(OR(NOT(ISNUMBER($E300)),NOT(ISNUMBER($F300))),"",IF($F300&lt;=$E300*12/52*5,"OK","Over 5 weeks"))</f>
        <v/>
      </c>
      <c r="L300" s="52"/>
      <c r="M300" s="52"/>
      <c r="N300" s="122">
        <f>IF(OR($A300="",NOT(ISNUMBER($L300))),IF($A300="","","Not recorded"),IF(NOT(ISNUMBER($M300)),"Checked (no follow-up)",IF($M300&lt;TODAY(),"OVERDUE: follow-up check",IF($M300-TODAY()&lt;=60,"Follow-up due "&amp;TEXT($M300,"dd/mm/yyyy"),"Checked"))))</f>
        <v/>
      </c>
      <c r="O300" s="52"/>
      <c r="P300" s="52"/>
      <c r="Q300" s="122">
        <f>IF($A300="","",IF(NOT(ISNUMBER($D300)),"Enter start date",IF($D300&gt;=DATE(2026,5,1),IF(ISNUMBER($O300),"Complete","Missing: written terms"),IF(OR(ISNUMBER($P300),ISNUMBER($O300)),"Complete","Missing: Information Sheet (was due 31/05/2026)"))))</f>
        <v/>
      </c>
      <c r="R300" s="52"/>
      <c r="S300" s="82">
        <f>IF(ISNUMBER($R300),$R300+364,IF(ISNUMBER($D300),$D300+364,""))</f>
        <v/>
      </c>
      <c r="T300" s="52"/>
      <c r="U300" s="82">
        <f>IF(ISNUMBER($T300),IF(ISNUMBER($S300),MAX(EDATE($T300,2),$S300),EDATE($T300,2)),"")</f>
        <v/>
      </c>
      <c r="V300" s="52"/>
      <c r="W300" s="52"/>
      <c r="X300" s="121">
        <f>IF(NOT(ISNUMBER($V300)),"",IF(ISNUMBER($W300),IF($W300-$V300&lt;=28,"Answered in time","LATE: answered after day 28"),IF(TODAY()-$V300&gt;28,"OVERDUE: no reply yet","Reply due by "&amp;TEXT($V300+28,"dd/mm/yyyy"))))</f>
        <v/>
      </c>
      <c r="Y300" s="54"/>
    </row>
    <row r="301" spans="1:25">
      <c r="A301" s="54"/>
      <c r="B301" s="54"/>
      <c r="C301" s="51"/>
      <c r="D301" s="52"/>
      <c r="E301" s="120"/>
      <c r="F301" s="120"/>
      <c r="G301" s="52"/>
      <c r="H301" s="52"/>
      <c r="I301" s="52"/>
      <c r="J301" s="121">
        <f>IF(OR($A301="",NOT(ISNUMBER($F301))),"",IF($F301&lt;=0,"No deposit",IF(NOT(ISNUMBER($G301)),"Enter date received",IF(AND(ISNUMBER($H301),ISNUMBER($I301)),IF(MAX($H301,$I301)-$G301&lt;=29,"OK","LATE: protected / info served after day 30"),IF(TODAY()-$G301&gt;29,"OVERDUE: not protected / info not served","Protect + serve info by "&amp;TEXT($G301+29,"dd/mm/yyyy"))))))</f>
        <v/>
      </c>
      <c r="K301" s="97">
        <f>IF(OR(NOT(ISNUMBER($E301)),NOT(ISNUMBER($F301))),"",IF($F301&lt;=$E301*12/52*5,"OK","Over 5 weeks"))</f>
        <v/>
      </c>
      <c r="L301" s="52"/>
      <c r="M301" s="52"/>
      <c r="N301" s="122">
        <f>IF(OR($A301="",NOT(ISNUMBER($L301))),IF($A301="","","Not recorded"),IF(NOT(ISNUMBER($M301)),"Checked (no follow-up)",IF($M301&lt;TODAY(),"OVERDUE: follow-up check",IF($M301-TODAY()&lt;=60,"Follow-up due "&amp;TEXT($M301,"dd/mm/yyyy"),"Checked"))))</f>
        <v/>
      </c>
      <c r="O301" s="52"/>
      <c r="P301" s="52"/>
      <c r="Q301" s="122">
        <f>IF($A301="","",IF(NOT(ISNUMBER($D301)),"Enter start date",IF($D301&gt;=DATE(2026,5,1),IF(ISNUMBER($O301),"Complete","Missing: written terms"),IF(OR(ISNUMBER($P301),ISNUMBER($O301)),"Complete","Missing: Information Sheet (was due 31/05/2026)"))))</f>
        <v/>
      </c>
      <c r="R301" s="52"/>
      <c r="S301" s="82">
        <f>IF(ISNUMBER($R301),$R301+364,IF(ISNUMBER($D301),$D301+364,""))</f>
        <v/>
      </c>
      <c r="T301" s="52"/>
      <c r="U301" s="82">
        <f>IF(ISNUMBER($T301),IF(ISNUMBER($S301),MAX(EDATE($T301,2),$S301),EDATE($T301,2)),"")</f>
        <v/>
      </c>
      <c r="V301" s="52"/>
      <c r="W301" s="52"/>
      <c r="X301" s="121">
        <f>IF(NOT(ISNUMBER($V301)),"",IF(ISNUMBER($W301),IF($W301-$V301&lt;=28,"Answered in time","LATE: answered after day 28"),IF(TODAY()-$V301&gt;28,"OVERDUE: no reply yet","Reply due by "&amp;TEXT($V301+28,"dd/mm/yyyy"))))</f>
        <v/>
      </c>
      <c r="Y301" s="54"/>
    </row>
    <row r="302" spans="1:25">
      <c r="A302" s="54"/>
      <c r="B302" s="54"/>
      <c r="C302" s="51"/>
      <c r="D302" s="52"/>
      <c r="E302" s="120"/>
      <c r="F302" s="120"/>
      <c r="G302" s="52"/>
      <c r="H302" s="52"/>
      <c r="I302" s="52"/>
      <c r="J302" s="121">
        <f>IF(OR($A302="",NOT(ISNUMBER($F302))),"",IF($F302&lt;=0,"No deposit",IF(NOT(ISNUMBER($G302)),"Enter date received",IF(AND(ISNUMBER($H302),ISNUMBER($I302)),IF(MAX($H302,$I302)-$G302&lt;=29,"OK","LATE: protected / info served after day 30"),IF(TODAY()-$G302&gt;29,"OVERDUE: not protected / info not served","Protect + serve info by "&amp;TEXT($G302+29,"dd/mm/yyyy"))))))</f>
        <v/>
      </c>
      <c r="K302" s="97">
        <f>IF(OR(NOT(ISNUMBER($E302)),NOT(ISNUMBER($F302))),"",IF($F302&lt;=$E302*12/52*5,"OK","Over 5 weeks"))</f>
        <v/>
      </c>
      <c r="L302" s="52"/>
      <c r="M302" s="52"/>
      <c r="N302" s="122">
        <f>IF(OR($A302="",NOT(ISNUMBER($L302))),IF($A302="","","Not recorded"),IF(NOT(ISNUMBER($M302)),"Checked (no follow-up)",IF($M302&lt;TODAY(),"OVERDUE: follow-up check",IF($M302-TODAY()&lt;=60,"Follow-up due "&amp;TEXT($M302,"dd/mm/yyyy"),"Checked"))))</f>
        <v/>
      </c>
      <c r="O302" s="52"/>
      <c r="P302" s="52"/>
      <c r="Q302" s="122">
        <f>IF($A302="","",IF(NOT(ISNUMBER($D302)),"Enter start date",IF($D302&gt;=DATE(2026,5,1),IF(ISNUMBER($O302),"Complete","Missing: written terms"),IF(OR(ISNUMBER($P302),ISNUMBER($O302)),"Complete","Missing: Information Sheet (was due 31/05/2026)"))))</f>
        <v/>
      </c>
      <c r="R302" s="52"/>
      <c r="S302" s="82">
        <f>IF(ISNUMBER($R302),$R302+364,IF(ISNUMBER($D302),$D302+364,""))</f>
        <v/>
      </c>
      <c r="T302" s="52"/>
      <c r="U302" s="82">
        <f>IF(ISNUMBER($T302),IF(ISNUMBER($S302),MAX(EDATE($T302,2),$S302),EDATE($T302,2)),"")</f>
        <v/>
      </c>
      <c r="V302" s="52"/>
      <c r="W302" s="52"/>
      <c r="X302" s="121">
        <f>IF(NOT(ISNUMBER($V302)),"",IF(ISNUMBER($W302),IF($W302-$V302&lt;=28,"Answered in time","LATE: answered after day 28"),IF(TODAY()-$V302&gt;28,"OVERDUE: no reply yet","Reply due by "&amp;TEXT($V302+28,"dd/mm/yyyy"))))</f>
        <v/>
      </c>
      <c r="Y302" s="54"/>
    </row>
    <row r="303" spans="1:25">
      <c r="A303" s="54"/>
      <c r="B303" s="54"/>
      <c r="C303" s="51"/>
      <c r="D303" s="52"/>
      <c r="E303" s="120"/>
      <c r="F303" s="120"/>
      <c r="G303" s="52"/>
      <c r="H303" s="52"/>
      <c r="I303" s="52"/>
      <c r="J303" s="121">
        <f>IF(OR($A303="",NOT(ISNUMBER($F303))),"",IF($F303&lt;=0,"No deposit",IF(NOT(ISNUMBER($G303)),"Enter date received",IF(AND(ISNUMBER($H303),ISNUMBER($I303)),IF(MAX($H303,$I303)-$G303&lt;=29,"OK","LATE: protected / info served after day 30"),IF(TODAY()-$G303&gt;29,"OVERDUE: not protected / info not served","Protect + serve info by "&amp;TEXT($G303+29,"dd/mm/yyyy"))))))</f>
        <v/>
      </c>
      <c r="K303" s="97">
        <f>IF(OR(NOT(ISNUMBER($E303)),NOT(ISNUMBER($F303))),"",IF($F303&lt;=$E303*12/52*5,"OK","Over 5 weeks"))</f>
        <v/>
      </c>
      <c r="L303" s="52"/>
      <c r="M303" s="52"/>
      <c r="N303" s="122">
        <f>IF(OR($A303="",NOT(ISNUMBER($L303))),IF($A303="","","Not recorded"),IF(NOT(ISNUMBER($M303)),"Checked (no follow-up)",IF($M303&lt;TODAY(),"OVERDUE: follow-up check",IF($M303-TODAY()&lt;=60,"Follow-up due "&amp;TEXT($M303,"dd/mm/yyyy"),"Checked"))))</f>
        <v/>
      </c>
      <c r="O303" s="52"/>
      <c r="P303" s="52"/>
      <c r="Q303" s="122">
        <f>IF($A303="","",IF(NOT(ISNUMBER($D303)),"Enter start date",IF($D303&gt;=DATE(2026,5,1),IF(ISNUMBER($O303),"Complete","Missing: written terms"),IF(OR(ISNUMBER($P303),ISNUMBER($O303)),"Complete","Missing: Information Sheet (was due 31/05/2026)"))))</f>
        <v/>
      </c>
      <c r="R303" s="52"/>
      <c r="S303" s="82">
        <f>IF(ISNUMBER($R303),$R303+364,IF(ISNUMBER($D303),$D303+364,""))</f>
        <v/>
      </c>
      <c r="T303" s="52"/>
      <c r="U303" s="82">
        <f>IF(ISNUMBER($T303),IF(ISNUMBER($S303),MAX(EDATE($T303,2),$S303),EDATE($T303,2)),"")</f>
        <v/>
      </c>
      <c r="V303" s="52"/>
      <c r="W303" s="52"/>
      <c r="X303" s="121">
        <f>IF(NOT(ISNUMBER($V303)),"",IF(ISNUMBER($W303),IF($W303-$V303&lt;=28,"Answered in time","LATE: answered after day 28"),IF(TODAY()-$V303&gt;28,"OVERDUE: no reply yet","Reply due by "&amp;TEXT($V303+28,"dd/mm/yyyy"))))</f>
        <v/>
      </c>
      <c r="Y303" s="54"/>
    </row>
    <row r="304" spans="1:25">
      <c r="A304" s="54"/>
      <c r="B304" s="54"/>
      <c r="C304" s="51"/>
      <c r="D304" s="52"/>
      <c r="E304" s="120"/>
      <c r="F304" s="120"/>
      <c r="G304" s="52"/>
      <c r="H304" s="52"/>
      <c r="I304" s="52"/>
      <c r="J304" s="121">
        <f>IF(OR($A304="",NOT(ISNUMBER($F304))),"",IF($F304&lt;=0,"No deposit",IF(NOT(ISNUMBER($G304)),"Enter date received",IF(AND(ISNUMBER($H304),ISNUMBER($I304)),IF(MAX($H304,$I304)-$G304&lt;=29,"OK","LATE: protected / info served after day 30"),IF(TODAY()-$G304&gt;29,"OVERDUE: not protected / info not served","Protect + serve info by "&amp;TEXT($G304+29,"dd/mm/yyyy"))))))</f>
        <v/>
      </c>
      <c r="K304" s="97">
        <f>IF(OR(NOT(ISNUMBER($E304)),NOT(ISNUMBER($F304))),"",IF($F304&lt;=$E304*12/52*5,"OK","Over 5 weeks"))</f>
        <v/>
      </c>
      <c r="L304" s="52"/>
      <c r="M304" s="52"/>
      <c r="N304" s="122">
        <f>IF(OR($A304="",NOT(ISNUMBER($L304))),IF($A304="","","Not recorded"),IF(NOT(ISNUMBER($M304)),"Checked (no follow-up)",IF($M304&lt;TODAY(),"OVERDUE: follow-up check",IF($M304-TODAY()&lt;=60,"Follow-up due "&amp;TEXT($M304,"dd/mm/yyyy"),"Checked"))))</f>
        <v/>
      </c>
      <c r="O304" s="52"/>
      <c r="P304" s="52"/>
      <c r="Q304" s="122">
        <f>IF($A304="","",IF(NOT(ISNUMBER($D304)),"Enter start date",IF($D304&gt;=DATE(2026,5,1),IF(ISNUMBER($O304),"Complete","Missing: written terms"),IF(OR(ISNUMBER($P304),ISNUMBER($O304)),"Complete","Missing: Information Sheet (was due 31/05/2026)"))))</f>
        <v/>
      </c>
      <c r="R304" s="52"/>
      <c r="S304" s="82">
        <f>IF(ISNUMBER($R304),$R304+364,IF(ISNUMBER($D304),$D304+364,""))</f>
        <v/>
      </c>
      <c r="T304" s="52"/>
      <c r="U304" s="82">
        <f>IF(ISNUMBER($T304),IF(ISNUMBER($S304),MAX(EDATE($T304,2),$S304),EDATE($T304,2)),"")</f>
        <v/>
      </c>
      <c r="V304" s="52"/>
      <c r="W304" s="52"/>
      <c r="X304" s="121">
        <f>IF(NOT(ISNUMBER($V304)),"",IF(ISNUMBER($W304),IF($W304-$V304&lt;=28,"Answered in time","LATE: answered after day 28"),IF(TODAY()-$V304&gt;28,"OVERDUE: no reply yet","Reply due by "&amp;TEXT($V304+28,"dd/mm/yyyy"))))</f>
        <v/>
      </c>
      <c r="Y304" s="54"/>
    </row>
    <row r="305" spans="1:25">
      <c r="A305" s="54"/>
      <c r="B305" s="54"/>
      <c r="C305" s="51"/>
      <c r="D305" s="52"/>
      <c r="E305" s="120"/>
      <c r="F305" s="120"/>
      <c r="G305" s="52"/>
      <c r="H305" s="52"/>
      <c r="I305" s="52"/>
      <c r="J305" s="121">
        <f>IF(OR($A305="",NOT(ISNUMBER($F305))),"",IF($F305&lt;=0,"No deposit",IF(NOT(ISNUMBER($G305)),"Enter date received",IF(AND(ISNUMBER($H305),ISNUMBER($I305)),IF(MAX($H305,$I305)-$G305&lt;=29,"OK","LATE: protected / info served after day 30"),IF(TODAY()-$G305&gt;29,"OVERDUE: not protected / info not served","Protect + serve info by "&amp;TEXT($G305+29,"dd/mm/yyyy"))))))</f>
        <v/>
      </c>
      <c r="K305" s="97">
        <f>IF(OR(NOT(ISNUMBER($E305)),NOT(ISNUMBER($F305))),"",IF($F305&lt;=$E305*12/52*5,"OK","Over 5 weeks"))</f>
        <v/>
      </c>
      <c r="L305" s="52"/>
      <c r="M305" s="52"/>
      <c r="N305" s="122">
        <f>IF(OR($A305="",NOT(ISNUMBER($L305))),IF($A305="","","Not recorded"),IF(NOT(ISNUMBER($M305)),"Checked (no follow-up)",IF($M305&lt;TODAY(),"OVERDUE: follow-up check",IF($M305-TODAY()&lt;=60,"Follow-up due "&amp;TEXT($M305,"dd/mm/yyyy"),"Checked"))))</f>
        <v/>
      </c>
      <c r="O305" s="52"/>
      <c r="P305" s="52"/>
      <c r="Q305" s="122">
        <f>IF($A305="","",IF(NOT(ISNUMBER($D305)),"Enter start date",IF($D305&gt;=DATE(2026,5,1),IF(ISNUMBER($O305),"Complete","Missing: written terms"),IF(OR(ISNUMBER($P305),ISNUMBER($O305)),"Complete","Missing: Information Sheet (was due 31/05/2026)"))))</f>
        <v/>
      </c>
      <c r="R305" s="52"/>
      <c r="S305" s="82">
        <f>IF(ISNUMBER($R305),$R305+364,IF(ISNUMBER($D305),$D305+364,""))</f>
        <v/>
      </c>
      <c r="T305" s="52"/>
      <c r="U305" s="82">
        <f>IF(ISNUMBER($T305),IF(ISNUMBER($S305),MAX(EDATE($T305,2),$S305),EDATE($T305,2)),"")</f>
        <v/>
      </c>
      <c r="V305" s="52"/>
      <c r="W305" s="52"/>
      <c r="X305" s="121">
        <f>IF(NOT(ISNUMBER($V305)),"",IF(ISNUMBER($W305),IF($W305-$V305&lt;=28,"Answered in time","LATE: answered after day 28"),IF(TODAY()-$V305&gt;28,"OVERDUE: no reply yet","Reply due by "&amp;TEXT($V305+28,"dd/mm/yyyy"))))</f>
        <v/>
      </c>
      <c r="Y305" s="54"/>
    </row>
    <row r="306" spans="1:25">
      <c r="A306" s="54"/>
      <c r="B306" s="54"/>
      <c r="C306" s="51"/>
      <c r="D306" s="52"/>
      <c r="E306" s="120"/>
      <c r="F306" s="120"/>
      <c r="G306" s="52"/>
      <c r="H306" s="52"/>
      <c r="I306" s="52"/>
      <c r="J306" s="121">
        <f>IF(OR($A306="",NOT(ISNUMBER($F306))),"",IF($F306&lt;=0,"No deposit",IF(NOT(ISNUMBER($G306)),"Enter date received",IF(AND(ISNUMBER($H306),ISNUMBER($I306)),IF(MAX($H306,$I306)-$G306&lt;=29,"OK","LATE: protected / info served after day 30"),IF(TODAY()-$G306&gt;29,"OVERDUE: not protected / info not served","Protect + serve info by "&amp;TEXT($G306+29,"dd/mm/yyyy"))))))</f>
        <v/>
      </c>
      <c r="K306" s="97">
        <f>IF(OR(NOT(ISNUMBER($E306)),NOT(ISNUMBER($F306))),"",IF($F306&lt;=$E306*12/52*5,"OK","Over 5 weeks"))</f>
        <v/>
      </c>
      <c r="L306" s="52"/>
      <c r="M306" s="52"/>
      <c r="N306" s="122">
        <f>IF(OR($A306="",NOT(ISNUMBER($L306))),IF($A306="","","Not recorded"),IF(NOT(ISNUMBER($M306)),"Checked (no follow-up)",IF($M306&lt;TODAY(),"OVERDUE: follow-up check",IF($M306-TODAY()&lt;=60,"Follow-up due "&amp;TEXT($M306,"dd/mm/yyyy"),"Checked"))))</f>
        <v/>
      </c>
      <c r="O306" s="52"/>
      <c r="P306" s="52"/>
      <c r="Q306" s="122">
        <f>IF($A306="","",IF(NOT(ISNUMBER($D306)),"Enter start date",IF($D306&gt;=DATE(2026,5,1),IF(ISNUMBER($O306),"Complete","Missing: written terms"),IF(OR(ISNUMBER($P306),ISNUMBER($O306)),"Complete","Missing: Information Sheet (was due 31/05/2026)"))))</f>
        <v/>
      </c>
      <c r="R306" s="52"/>
      <c r="S306" s="82">
        <f>IF(ISNUMBER($R306),$R306+364,IF(ISNUMBER($D306),$D306+364,""))</f>
        <v/>
      </c>
      <c r="T306" s="52"/>
      <c r="U306" s="82">
        <f>IF(ISNUMBER($T306),IF(ISNUMBER($S306),MAX(EDATE($T306,2),$S306),EDATE($T306,2)),"")</f>
        <v/>
      </c>
      <c r="V306" s="52"/>
      <c r="W306" s="52"/>
      <c r="X306" s="121">
        <f>IF(NOT(ISNUMBER($V306)),"",IF(ISNUMBER($W306),IF($W306-$V306&lt;=28,"Answered in time","LATE: answered after day 28"),IF(TODAY()-$V306&gt;28,"OVERDUE: no reply yet","Reply due by "&amp;TEXT($V306+28,"dd/mm/yyyy"))))</f>
        <v/>
      </c>
      <c r="Y306" s="54"/>
    </row>
    <row r="307" spans="1:25">
      <c r="A307" s="54"/>
      <c r="B307" s="54"/>
      <c r="C307" s="51"/>
      <c r="D307" s="52"/>
      <c r="E307" s="120"/>
      <c r="F307" s="120"/>
      <c r="G307" s="52"/>
      <c r="H307" s="52"/>
      <c r="I307" s="52"/>
      <c r="J307" s="121">
        <f>IF(OR($A307="",NOT(ISNUMBER($F307))),"",IF($F307&lt;=0,"No deposit",IF(NOT(ISNUMBER($G307)),"Enter date received",IF(AND(ISNUMBER($H307),ISNUMBER($I307)),IF(MAX($H307,$I307)-$G307&lt;=29,"OK","LATE: protected / info served after day 30"),IF(TODAY()-$G307&gt;29,"OVERDUE: not protected / info not served","Protect + serve info by "&amp;TEXT($G307+29,"dd/mm/yyyy"))))))</f>
        <v/>
      </c>
      <c r="K307" s="97">
        <f>IF(OR(NOT(ISNUMBER($E307)),NOT(ISNUMBER($F307))),"",IF($F307&lt;=$E307*12/52*5,"OK","Over 5 weeks"))</f>
        <v/>
      </c>
      <c r="L307" s="52"/>
      <c r="M307" s="52"/>
      <c r="N307" s="122">
        <f>IF(OR($A307="",NOT(ISNUMBER($L307))),IF($A307="","","Not recorded"),IF(NOT(ISNUMBER($M307)),"Checked (no follow-up)",IF($M307&lt;TODAY(),"OVERDUE: follow-up check",IF($M307-TODAY()&lt;=60,"Follow-up due "&amp;TEXT($M307,"dd/mm/yyyy"),"Checked"))))</f>
        <v/>
      </c>
      <c r="O307" s="52"/>
      <c r="P307" s="52"/>
      <c r="Q307" s="122">
        <f>IF($A307="","",IF(NOT(ISNUMBER($D307)),"Enter start date",IF($D307&gt;=DATE(2026,5,1),IF(ISNUMBER($O307),"Complete","Missing: written terms"),IF(OR(ISNUMBER($P307),ISNUMBER($O307)),"Complete","Missing: Information Sheet (was due 31/05/2026)"))))</f>
        <v/>
      </c>
      <c r="R307" s="52"/>
      <c r="S307" s="82">
        <f>IF(ISNUMBER($R307),$R307+364,IF(ISNUMBER($D307),$D307+364,""))</f>
        <v/>
      </c>
      <c r="T307" s="52"/>
      <c r="U307" s="82">
        <f>IF(ISNUMBER($T307),IF(ISNUMBER($S307),MAX(EDATE($T307,2),$S307),EDATE($T307,2)),"")</f>
        <v/>
      </c>
      <c r="V307" s="52"/>
      <c r="W307" s="52"/>
      <c r="X307" s="121">
        <f>IF(NOT(ISNUMBER($V307)),"",IF(ISNUMBER($W307),IF($W307-$V307&lt;=28,"Answered in time","LATE: answered after day 28"),IF(TODAY()-$V307&gt;28,"OVERDUE: no reply yet","Reply due by "&amp;TEXT($V307+28,"dd/mm/yyyy"))))</f>
        <v/>
      </c>
      <c r="Y307" s="54"/>
    </row>
    <row r="308" spans="1:25">
      <c r="A308" s="54"/>
      <c r="B308" s="54"/>
      <c r="C308" s="51"/>
      <c r="D308" s="52"/>
      <c r="E308" s="120"/>
      <c r="F308" s="120"/>
      <c r="G308" s="52"/>
      <c r="H308" s="52"/>
      <c r="I308" s="52"/>
      <c r="J308" s="121">
        <f>IF(OR($A308="",NOT(ISNUMBER($F308))),"",IF($F308&lt;=0,"No deposit",IF(NOT(ISNUMBER($G308)),"Enter date received",IF(AND(ISNUMBER($H308),ISNUMBER($I308)),IF(MAX($H308,$I308)-$G308&lt;=29,"OK","LATE: protected / info served after day 30"),IF(TODAY()-$G308&gt;29,"OVERDUE: not protected / info not served","Protect + serve info by "&amp;TEXT($G308+29,"dd/mm/yyyy"))))))</f>
        <v/>
      </c>
      <c r="K308" s="97">
        <f>IF(OR(NOT(ISNUMBER($E308)),NOT(ISNUMBER($F308))),"",IF($F308&lt;=$E308*12/52*5,"OK","Over 5 weeks"))</f>
        <v/>
      </c>
      <c r="L308" s="52"/>
      <c r="M308" s="52"/>
      <c r="N308" s="122">
        <f>IF(OR($A308="",NOT(ISNUMBER($L308))),IF($A308="","","Not recorded"),IF(NOT(ISNUMBER($M308)),"Checked (no follow-up)",IF($M308&lt;TODAY(),"OVERDUE: follow-up check",IF($M308-TODAY()&lt;=60,"Follow-up due "&amp;TEXT($M308,"dd/mm/yyyy"),"Checked"))))</f>
        <v/>
      </c>
      <c r="O308" s="52"/>
      <c r="P308" s="52"/>
      <c r="Q308" s="122">
        <f>IF($A308="","",IF(NOT(ISNUMBER($D308)),"Enter start date",IF($D308&gt;=DATE(2026,5,1),IF(ISNUMBER($O308),"Complete","Missing: written terms"),IF(OR(ISNUMBER($P308),ISNUMBER($O308)),"Complete","Missing: Information Sheet (was due 31/05/2026)"))))</f>
        <v/>
      </c>
      <c r="R308" s="52"/>
      <c r="S308" s="82">
        <f>IF(ISNUMBER($R308),$R308+364,IF(ISNUMBER($D308),$D308+364,""))</f>
        <v/>
      </c>
      <c r="T308" s="52"/>
      <c r="U308" s="82">
        <f>IF(ISNUMBER($T308),IF(ISNUMBER($S308),MAX(EDATE($T308,2),$S308),EDATE($T308,2)),"")</f>
        <v/>
      </c>
      <c r="V308" s="52"/>
      <c r="W308" s="52"/>
      <c r="X308" s="121">
        <f>IF(NOT(ISNUMBER($V308)),"",IF(ISNUMBER($W308),IF($W308-$V308&lt;=28,"Answered in time","LATE: answered after day 28"),IF(TODAY()-$V308&gt;28,"OVERDUE: no reply yet","Reply due by "&amp;TEXT($V308+28,"dd/mm/yyyy"))))</f>
        <v/>
      </c>
      <c r="Y308" s="54"/>
    </row>
    <row r="309" spans="1:25">
      <c r="A309" s="54"/>
      <c r="B309" s="54"/>
      <c r="C309" s="51"/>
      <c r="D309" s="52"/>
      <c r="E309" s="120"/>
      <c r="F309" s="120"/>
      <c r="G309" s="52"/>
      <c r="H309" s="52"/>
      <c r="I309" s="52"/>
      <c r="J309" s="121">
        <f>IF(OR($A309="",NOT(ISNUMBER($F309))),"",IF($F309&lt;=0,"No deposit",IF(NOT(ISNUMBER($G309)),"Enter date received",IF(AND(ISNUMBER($H309),ISNUMBER($I309)),IF(MAX($H309,$I309)-$G309&lt;=29,"OK","LATE: protected / info served after day 30"),IF(TODAY()-$G309&gt;29,"OVERDUE: not protected / info not served","Protect + serve info by "&amp;TEXT($G309+29,"dd/mm/yyyy"))))))</f>
        <v/>
      </c>
      <c r="K309" s="97">
        <f>IF(OR(NOT(ISNUMBER($E309)),NOT(ISNUMBER($F309))),"",IF($F309&lt;=$E309*12/52*5,"OK","Over 5 weeks"))</f>
        <v/>
      </c>
      <c r="L309" s="52"/>
      <c r="M309" s="52"/>
      <c r="N309" s="122">
        <f>IF(OR($A309="",NOT(ISNUMBER($L309))),IF($A309="","","Not recorded"),IF(NOT(ISNUMBER($M309)),"Checked (no follow-up)",IF($M309&lt;TODAY(),"OVERDUE: follow-up check",IF($M309-TODAY()&lt;=60,"Follow-up due "&amp;TEXT($M309,"dd/mm/yyyy"),"Checked"))))</f>
        <v/>
      </c>
      <c r="O309" s="52"/>
      <c r="P309" s="52"/>
      <c r="Q309" s="122">
        <f>IF($A309="","",IF(NOT(ISNUMBER($D309)),"Enter start date",IF($D309&gt;=DATE(2026,5,1),IF(ISNUMBER($O309),"Complete","Missing: written terms"),IF(OR(ISNUMBER($P309),ISNUMBER($O309)),"Complete","Missing: Information Sheet (was due 31/05/2026)"))))</f>
        <v/>
      </c>
      <c r="R309" s="52"/>
      <c r="S309" s="82">
        <f>IF(ISNUMBER($R309),$R309+364,IF(ISNUMBER($D309),$D309+364,""))</f>
        <v/>
      </c>
      <c r="T309" s="52"/>
      <c r="U309" s="82">
        <f>IF(ISNUMBER($T309),IF(ISNUMBER($S309),MAX(EDATE($T309,2),$S309),EDATE($T309,2)),"")</f>
        <v/>
      </c>
      <c r="V309" s="52"/>
      <c r="W309" s="52"/>
      <c r="X309" s="121">
        <f>IF(NOT(ISNUMBER($V309)),"",IF(ISNUMBER($W309),IF($W309-$V309&lt;=28,"Answered in time","LATE: answered after day 28"),IF(TODAY()-$V309&gt;28,"OVERDUE: no reply yet","Reply due by "&amp;TEXT($V309+28,"dd/mm/yyyy"))))</f>
        <v/>
      </c>
      <c r="Y309" s="54"/>
    </row>
    <row r="310" spans="1:25">
      <c r="A310" s="54"/>
      <c r="B310" s="54"/>
      <c r="C310" s="51"/>
      <c r="D310" s="52"/>
      <c r="E310" s="120"/>
      <c r="F310" s="120"/>
      <c r="G310" s="52"/>
      <c r="H310" s="52"/>
      <c r="I310" s="52"/>
      <c r="J310" s="121">
        <f>IF(OR($A310="",NOT(ISNUMBER($F310))),"",IF($F310&lt;=0,"No deposit",IF(NOT(ISNUMBER($G310)),"Enter date received",IF(AND(ISNUMBER($H310),ISNUMBER($I310)),IF(MAX($H310,$I310)-$G310&lt;=29,"OK","LATE: protected / info served after day 30"),IF(TODAY()-$G310&gt;29,"OVERDUE: not protected / info not served","Protect + serve info by "&amp;TEXT($G310+29,"dd/mm/yyyy"))))))</f>
        <v/>
      </c>
      <c r="K310" s="97">
        <f>IF(OR(NOT(ISNUMBER($E310)),NOT(ISNUMBER($F310))),"",IF($F310&lt;=$E310*12/52*5,"OK","Over 5 weeks"))</f>
        <v/>
      </c>
      <c r="L310" s="52"/>
      <c r="M310" s="52"/>
      <c r="N310" s="122">
        <f>IF(OR($A310="",NOT(ISNUMBER($L310))),IF($A310="","","Not recorded"),IF(NOT(ISNUMBER($M310)),"Checked (no follow-up)",IF($M310&lt;TODAY(),"OVERDUE: follow-up check",IF($M310-TODAY()&lt;=60,"Follow-up due "&amp;TEXT($M310,"dd/mm/yyyy"),"Checked"))))</f>
        <v/>
      </c>
      <c r="O310" s="52"/>
      <c r="P310" s="52"/>
      <c r="Q310" s="122">
        <f>IF($A310="","",IF(NOT(ISNUMBER($D310)),"Enter start date",IF($D310&gt;=DATE(2026,5,1),IF(ISNUMBER($O310),"Complete","Missing: written terms"),IF(OR(ISNUMBER($P310),ISNUMBER($O310)),"Complete","Missing: Information Sheet (was due 31/05/2026)"))))</f>
        <v/>
      </c>
      <c r="R310" s="52"/>
      <c r="S310" s="82">
        <f>IF(ISNUMBER($R310),$R310+364,IF(ISNUMBER($D310),$D310+364,""))</f>
        <v/>
      </c>
      <c r="T310" s="52"/>
      <c r="U310" s="82">
        <f>IF(ISNUMBER($T310),IF(ISNUMBER($S310),MAX(EDATE($T310,2),$S310),EDATE($T310,2)),"")</f>
        <v/>
      </c>
      <c r="V310" s="52"/>
      <c r="W310" s="52"/>
      <c r="X310" s="121">
        <f>IF(NOT(ISNUMBER($V310)),"",IF(ISNUMBER($W310),IF($W310-$V310&lt;=28,"Answered in time","LATE: answered after day 28"),IF(TODAY()-$V310&gt;28,"OVERDUE: no reply yet","Reply due by "&amp;TEXT($V310+28,"dd/mm/yyyy"))))</f>
        <v/>
      </c>
      <c r="Y310" s="54"/>
    </row>
    <row r="311" spans="1:25">
      <c r="A311" s="54"/>
      <c r="B311" s="54"/>
      <c r="C311" s="51"/>
      <c r="D311" s="52"/>
      <c r="E311" s="120"/>
      <c r="F311" s="120"/>
      <c r="G311" s="52"/>
      <c r="H311" s="52"/>
      <c r="I311" s="52"/>
      <c r="J311" s="121">
        <f>IF(OR($A311="",NOT(ISNUMBER($F311))),"",IF($F311&lt;=0,"No deposit",IF(NOT(ISNUMBER($G311)),"Enter date received",IF(AND(ISNUMBER($H311),ISNUMBER($I311)),IF(MAX($H311,$I311)-$G311&lt;=29,"OK","LATE: protected / info served after day 30"),IF(TODAY()-$G311&gt;29,"OVERDUE: not protected / info not served","Protect + serve info by "&amp;TEXT($G311+29,"dd/mm/yyyy"))))))</f>
        <v/>
      </c>
      <c r="K311" s="97">
        <f>IF(OR(NOT(ISNUMBER($E311)),NOT(ISNUMBER($F311))),"",IF($F311&lt;=$E311*12/52*5,"OK","Over 5 weeks"))</f>
        <v/>
      </c>
      <c r="L311" s="52"/>
      <c r="M311" s="52"/>
      <c r="N311" s="122">
        <f>IF(OR($A311="",NOT(ISNUMBER($L311))),IF($A311="","","Not recorded"),IF(NOT(ISNUMBER($M311)),"Checked (no follow-up)",IF($M311&lt;TODAY(),"OVERDUE: follow-up check",IF($M311-TODAY()&lt;=60,"Follow-up due "&amp;TEXT($M311,"dd/mm/yyyy"),"Checked"))))</f>
        <v/>
      </c>
      <c r="O311" s="52"/>
      <c r="P311" s="52"/>
      <c r="Q311" s="122">
        <f>IF($A311="","",IF(NOT(ISNUMBER($D311)),"Enter start date",IF($D311&gt;=DATE(2026,5,1),IF(ISNUMBER($O311),"Complete","Missing: written terms"),IF(OR(ISNUMBER($P311),ISNUMBER($O311)),"Complete","Missing: Information Sheet (was due 31/05/2026)"))))</f>
        <v/>
      </c>
      <c r="R311" s="52"/>
      <c r="S311" s="82">
        <f>IF(ISNUMBER($R311),$R311+364,IF(ISNUMBER($D311),$D311+364,""))</f>
        <v/>
      </c>
      <c r="T311" s="52"/>
      <c r="U311" s="82">
        <f>IF(ISNUMBER($T311),IF(ISNUMBER($S311),MAX(EDATE($T311,2),$S311),EDATE($T311,2)),"")</f>
        <v/>
      </c>
      <c r="V311" s="52"/>
      <c r="W311" s="52"/>
      <c r="X311" s="121">
        <f>IF(NOT(ISNUMBER($V311)),"",IF(ISNUMBER($W311),IF($W311-$V311&lt;=28,"Answered in time","LATE: answered after day 28"),IF(TODAY()-$V311&gt;28,"OVERDUE: no reply yet","Reply due by "&amp;TEXT($V311+28,"dd/mm/yyyy"))))</f>
        <v/>
      </c>
      <c r="Y311" s="54"/>
    </row>
    <row r="312" spans="1:25">
      <c r="A312" s="54"/>
      <c r="B312" s="54"/>
      <c r="C312" s="51"/>
      <c r="D312" s="52"/>
      <c r="E312" s="120"/>
      <c r="F312" s="120"/>
      <c r="G312" s="52"/>
      <c r="H312" s="52"/>
      <c r="I312" s="52"/>
      <c r="J312" s="121">
        <f>IF(OR($A312="",NOT(ISNUMBER($F312))),"",IF($F312&lt;=0,"No deposit",IF(NOT(ISNUMBER($G312)),"Enter date received",IF(AND(ISNUMBER($H312),ISNUMBER($I312)),IF(MAX($H312,$I312)-$G312&lt;=29,"OK","LATE: protected / info served after day 30"),IF(TODAY()-$G312&gt;29,"OVERDUE: not protected / info not served","Protect + serve info by "&amp;TEXT($G312+29,"dd/mm/yyyy"))))))</f>
        <v/>
      </c>
      <c r="K312" s="97">
        <f>IF(OR(NOT(ISNUMBER($E312)),NOT(ISNUMBER($F312))),"",IF($F312&lt;=$E312*12/52*5,"OK","Over 5 weeks"))</f>
        <v/>
      </c>
      <c r="L312" s="52"/>
      <c r="M312" s="52"/>
      <c r="N312" s="122">
        <f>IF(OR($A312="",NOT(ISNUMBER($L312))),IF($A312="","","Not recorded"),IF(NOT(ISNUMBER($M312)),"Checked (no follow-up)",IF($M312&lt;TODAY(),"OVERDUE: follow-up check",IF($M312-TODAY()&lt;=60,"Follow-up due "&amp;TEXT($M312,"dd/mm/yyyy"),"Checked"))))</f>
        <v/>
      </c>
      <c r="O312" s="52"/>
      <c r="P312" s="52"/>
      <c r="Q312" s="122">
        <f>IF($A312="","",IF(NOT(ISNUMBER($D312)),"Enter start date",IF($D312&gt;=DATE(2026,5,1),IF(ISNUMBER($O312),"Complete","Missing: written terms"),IF(OR(ISNUMBER($P312),ISNUMBER($O312)),"Complete","Missing: Information Sheet (was due 31/05/2026)"))))</f>
        <v/>
      </c>
      <c r="R312" s="52"/>
      <c r="S312" s="82">
        <f>IF(ISNUMBER($R312),$R312+364,IF(ISNUMBER($D312),$D312+364,""))</f>
        <v/>
      </c>
      <c r="T312" s="52"/>
      <c r="U312" s="82">
        <f>IF(ISNUMBER($T312),IF(ISNUMBER($S312),MAX(EDATE($T312,2),$S312),EDATE($T312,2)),"")</f>
        <v/>
      </c>
      <c r="V312" s="52"/>
      <c r="W312" s="52"/>
      <c r="X312" s="121">
        <f>IF(NOT(ISNUMBER($V312)),"",IF(ISNUMBER($W312),IF($W312-$V312&lt;=28,"Answered in time","LATE: answered after day 28"),IF(TODAY()-$V312&gt;28,"OVERDUE: no reply yet","Reply due by "&amp;TEXT($V312+28,"dd/mm/yyyy"))))</f>
        <v/>
      </c>
      <c r="Y312" s="54"/>
    </row>
    <row r="313" spans="1:25">
      <c r="A313" s="54"/>
      <c r="B313" s="54"/>
      <c r="C313" s="51"/>
      <c r="D313" s="52"/>
      <c r="E313" s="120"/>
      <c r="F313" s="120"/>
      <c r="G313" s="52"/>
      <c r="H313" s="52"/>
      <c r="I313" s="52"/>
      <c r="J313" s="121">
        <f>IF(OR($A313="",NOT(ISNUMBER($F313))),"",IF($F313&lt;=0,"No deposit",IF(NOT(ISNUMBER($G313)),"Enter date received",IF(AND(ISNUMBER($H313),ISNUMBER($I313)),IF(MAX($H313,$I313)-$G313&lt;=29,"OK","LATE: protected / info served after day 30"),IF(TODAY()-$G313&gt;29,"OVERDUE: not protected / info not served","Protect + serve info by "&amp;TEXT($G313+29,"dd/mm/yyyy"))))))</f>
        <v/>
      </c>
      <c r="K313" s="97">
        <f>IF(OR(NOT(ISNUMBER($E313)),NOT(ISNUMBER($F313))),"",IF($F313&lt;=$E313*12/52*5,"OK","Over 5 weeks"))</f>
        <v/>
      </c>
      <c r="L313" s="52"/>
      <c r="M313" s="52"/>
      <c r="N313" s="122">
        <f>IF(OR($A313="",NOT(ISNUMBER($L313))),IF($A313="","","Not recorded"),IF(NOT(ISNUMBER($M313)),"Checked (no follow-up)",IF($M313&lt;TODAY(),"OVERDUE: follow-up check",IF($M313-TODAY()&lt;=60,"Follow-up due "&amp;TEXT($M313,"dd/mm/yyyy"),"Checked"))))</f>
        <v/>
      </c>
      <c r="O313" s="52"/>
      <c r="P313" s="52"/>
      <c r="Q313" s="122">
        <f>IF($A313="","",IF(NOT(ISNUMBER($D313)),"Enter start date",IF($D313&gt;=DATE(2026,5,1),IF(ISNUMBER($O313),"Complete","Missing: written terms"),IF(OR(ISNUMBER($P313),ISNUMBER($O313)),"Complete","Missing: Information Sheet (was due 31/05/2026)"))))</f>
        <v/>
      </c>
      <c r="R313" s="52"/>
      <c r="S313" s="82">
        <f>IF(ISNUMBER($R313),$R313+364,IF(ISNUMBER($D313),$D313+364,""))</f>
        <v/>
      </c>
      <c r="T313" s="52"/>
      <c r="U313" s="82">
        <f>IF(ISNUMBER($T313),IF(ISNUMBER($S313),MAX(EDATE($T313,2),$S313),EDATE($T313,2)),"")</f>
        <v/>
      </c>
      <c r="V313" s="52"/>
      <c r="W313" s="52"/>
      <c r="X313" s="121">
        <f>IF(NOT(ISNUMBER($V313)),"",IF(ISNUMBER($W313),IF($W313-$V313&lt;=28,"Answered in time","LATE: answered after day 28"),IF(TODAY()-$V313&gt;28,"OVERDUE: no reply yet","Reply due by "&amp;TEXT($V313+28,"dd/mm/yyyy"))))</f>
        <v/>
      </c>
      <c r="Y313" s="54"/>
    </row>
    <row r="314" spans="1:25">
      <c r="A314" s="54"/>
      <c r="B314" s="54"/>
      <c r="C314" s="51"/>
      <c r="D314" s="52"/>
      <c r="E314" s="120"/>
      <c r="F314" s="120"/>
      <c r="G314" s="52"/>
      <c r="H314" s="52"/>
      <c r="I314" s="52"/>
      <c r="J314" s="121">
        <f>IF(OR($A314="",NOT(ISNUMBER($F314))),"",IF($F314&lt;=0,"No deposit",IF(NOT(ISNUMBER($G314)),"Enter date received",IF(AND(ISNUMBER($H314),ISNUMBER($I314)),IF(MAX($H314,$I314)-$G314&lt;=29,"OK","LATE: protected / info served after day 30"),IF(TODAY()-$G314&gt;29,"OVERDUE: not protected / info not served","Protect + serve info by "&amp;TEXT($G314+29,"dd/mm/yyyy"))))))</f>
        <v/>
      </c>
      <c r="K314" s="97">
        <f>IF(OR(NOT(ISNUMBER($E314)),NOT(ISNUMBER($F314))),"",IF($F314&lt;=$E314*12/52*5,"OK","Over 5 weeks"))</f>
        <v/>
      </c>
      <c r="L314" s="52"/>
      <c r="M314" s="52"/>
      <c r="N314" s="122">
        <f>IF(OR($A314="",NOT(ISNUMBER($L314))),IF($A314="","","Not recorded"),IF(NOT(ISNUMBER($M314)),"Checked (no follow-up)",IF($M314&lt;TODAY(),"OVERDUE: follow-up check",IF($M314-TODAY()&lt;=60,"Follow-up due "&amp;TEXT($M314,"dd/mm/yyyy"),"Checked"))))</f>
        <v/>
      </c>
      <c r="O314" s="52"/>
      <c r="P314" s="52"/>
      <c r="Q314" s="122">
        <f>IF($A314="","",IF(NOT(ISNUMBER($D314)),"Enter start date",IF($D314&gt;=DATE(2026,5,1),IF(ISNUMBER($O314),"Complete","Missing: written terms"),IF(OR(ISNUMBER($P314),ISNUMBER($O314)),"Complete","Missing: Information Sheet (was due 31/05/2026)"))))</f>
        <v/>
      </c>
      <c r="R314" s="52"/>
      <c r="S314" s="82">
        <f>IF(ISNUMBER($R314),$R314+364,IF(ISNUMBER($D314),$D314+364,""))</f>
        <v/>
      </c>
      <c r="T314" s="52"/>
      <c r="U314" s="82">
        <f>IF(ISNUMBER($T314),IF(ISNUMBER($S314),MAX(EDATE($T314,2),$S314),EDATE($T314,2)),"")</f>
        <v/>
      </c>
      <c r="V314" s="52"/>
      <c r="W314" s="52"/>
      <c r="X314" s="121">
        <f>IF(NOT(ISNUMBER($V314)),"",IF(ISNUMBER($W314),IF($W314-$V314&lt;=28,"Answered in time","LATE: answered after day 28"),IF(TODAY()-$V314&gt;28,"OVERDUE: no reply yet","Reply due by "&amp;TEXT($V314+28,"dd/mm/yyyy"))))</f>
        <v/>
      </c>
      <c r="Y314" s="54"/>
    </row>
    <row r="315" spans="1:25">
      <c r="A315" s="54"/>
      <c r="B315" s="54"/>
      <c r="C315" s="51"/>
      <c r="D315" s="52"/>
      <c r="E315" s="120"/>
      <c r="F315" s="120"/>
      <c r="G315" s="52"/>
      <c r="H315" s="52"/>
      <c r="I315" s="52"/>
      <c r="J315" s="121">
        <f>IF(OR($A315="",NOT(ISNUMBER($F315))),"",IF($F315&lt;=0,"No deposit",IF(NOT(ISNUMBER($G315)),"Enter date received",IF(AND(ISNUMBER($H315),ISNUMBER($I315)),IF(MAX($H315,$I315)-$G315&lt;=29,"OK","LATE: protected / info served after day 30"),IF(TODAY()-$G315&gt;29,"OVERDUE: not protected / info not served","Protect + serve info by "&amp;TEXT($G315+29,"dd/mm/yyyy"))))))</f>
        <v/>
      </c>
      <c r="K315" s="97">
        <f>IF(OR(NOT(ISNUMBER($E315)),NOT(ISNUMBER($F315))),"",IF($F315&lt;=$E315*12/52*5,"OK","Over 5 weeks"))</f>
        <v/>
      </c>
      <c r="L315" s="52"/>
      <c r="M315" s="52"/>
      <c r="N315" s="122">
        <f>IF(OR($A315="",NOT(ISNUMBER($L315))),IF($A315="","","Not recorded"),IF(NOT(ISNUMBER($M315)),"Checked (no follow-up)",IF($M315&lt;TODAY(),"OVERDUE: follow-up check",IF($M315-TODAY()&lt;=60,"Follow-up due "&amp;TEXT($M315,"dd/mm/yyyy"),"Checked"))))</f>
        <v/>
      </c>
      <c r="O315" s="52"/>
      <c r="P315" s="52"/>
      <c r="Q315" s="122">
        <f>IF($A315="","",IF(NOT(ISNUMBER($D315)),"Enter start date",IF($D315&gt;=DATE(2026,5,1),IF(ISNUMBER($O315),"Complete","Missing: written terms"),IF(OR(ISNUMBER($P315),ISNUMBER($O315)),"Complete","Missing: Information Sheet (was due 31/05/2026)"))))</f>
        <v/>
      </c>
      <c r="R315" s="52"/>
      <c r="S315" s="82">
        <f>IF(ISNUMBER($R315),$R315+364,IF(ISNUMBER($D315),$D315+364,""))</f>
        <v/>
      </c>
      <c r="T315" s="52"/>
      <c r="U315" s="82">
        <f>IF(ISNUMBER($T315),IF(ISNUMBER($S315),MAX(EDATE($T315,2),$S315),EDATE($T315,2)),"")</f>
        <v/>
      </c>
      <c r="V315" s="52"/>
      <c r="W315" s="52"/>
      <c r="X315" s="121">
        <f>IF(NOT(ISNUMBER($V315)),"",IF(ISNUMBER($W315),IF($W315-$V315&lt;=28,"Answered in time","LATE: answered after day 28"),IF(TODAY()-$V315&gt;28,"OVERDUE: no reply yet","Reply due by "&amp;TEXT($V315+28,"dd/mm/yyyy"))))</f>
        <v/>
      </c>
      <c r="Y315" s="54"/>
    </row>
    <row r="316" spans="1:25">
      <c r="A316" s="54"/>
      <c r="B316" s="54"/>
      <c r="C316" s="51"/>
      <c r="D316" s="52"/>
      <c r="E316" s="120"/>
      <c r="F316" s="120"/>
      <c r="G316" s="52"/>
      <c r="H316" s="52"/>
      <c r="I316" s="52"/>
      <c r="J316" s="121">
        <f>IF(OR($A316="",NOT(ISNUMBER($F316))),"",IF($F316&lt;=0,"No deposit",IF(NOT(ISNUMBER($G316)),"Enter date received",IF(AND(ISNUMBER($H316),ISNUMBER($I316)),IF(MAX($H316,$I316)-$G316&lt;=29,"OK","LATE: protected / info served after day 30"),IF(TODAY()-$G316&gt;29,"OVERDUE: not protected / info not served","Protect + serve info by "&amp;TEXT($G316+29,"dd/mm/yyyy"))))))</f>
        <v/>
      </c>
      <c r="K316" s="97">
        <f>IF(OR(NOT(ISNUMBER($E316)),NOT(ISNUMBER($F316))),"",IF($F316&lt;=$E316*12/52*5,"OK","Over 5 weeks"))</f>
        <v/>
      </c>
      <c r="L316" s="52"/>
      <c r="M316" s="52"/>
      <c r="N316" s="122">
        <f>IF(OR($A316="",NOT(ISNUMBER($L316))),IF($A316="","","Not recorded"),IF(NOT(ISNUMBER($M316)),"Checked (no follow-up)",IF($M316&lt;TODAY(),"OVERDUE: follow-up check",IF($M316-TODAY()&lt;=60,"Follow-up due "&amp;TEXT($M316,"dd/mm/yyyy"),"Checked"))))</f>
        <v/>
      </c>
      <c r="O316" s="52"/>
      <c r="P316" s="52"/>
      <c r="Q316" s="122">
        <f>IF($A316="","",IF(NOT(ISNUMBER($D316)),"Enter start date",IF($D316&gt;=DATE(2026,5,1),IF(ISNUMBER($O316),"Complete","Missing: written terms"),IF(OR(ISNUMBER($P316),ISNUMBER($O316)),"Complete","Missing: Information Sheet (was due 31/05/2026)"))))</f>
        <v/>
      </c>
      <c r="R316" s="52"/>
      <c r="S316" s="82">
        <f>IF(ISNUMBER($R316),$R316+364,IF(ISNUMBER($D316),$D316+364,""))</f>
        <v/>
      </c>
      <c r="T316" s="52"/>
      <c r="U316" s="82">
        <f>IF(ISNUMBER($T316),IF(ISNUMBER($S316),MAX(EDATE($T316,2),$S316),EDATE($T316,2)),"")</f>
        <v/>
      </c>
      <c r="V316" s="52"/>
      <c r="W316" s="52"/>
      <c r="X316" s="121">
        <f>IF(NOT(ISNUMBER($V316)),"",IF(ISNUMBER($W316),IF($W316-$V316&lt;=28,"Answered in time","LATE: answered after day 28"),IF(TODAY()-$V316&gt;28,"OVERDUE: no reply yet","Reply due by "&amp;TEXT($V316+28,"dd/mm/yyyy"))))</f>
        <v/>
      </c>
      <c r="Y316" s="54"/>
    </row>
    <row r="317" spans="1:25">
      <c r="A317" s="54"/>
      <c r="B317" s="54"/>
      <c r="C317" s="51"/>
      <c r="D317" s="52"/>
      <c r="E317" s="120"/>
      <c r="F317" s="120"/>
      <c r="G317" s="52"/>
      <c r="H317" s="52"/>
      <c r="I317" s="52"/>
      <c r="J317" s="121">
        <f>IF(OR($A317="",NOT(ISNUMBER($F317))),"",IF($F317&lt;=0,"No deposit",IF(NOT(ISNUMBER($G317)),"Enter date received",IF(AND(ISNUMBER($H317),ISNUMBER($I317)),IF(MAX($H317,$I317)-$G317&lt;=29,"OK","LATE: protected / info served after day 30"),IF(TODAY()-$G317&gt;29,"OVERDUE: not protected / info not served","Protect + serve info by "&amp;TEXT($G317+29,"dd/mm/yyyy"))))))</f>
        <v/>
      </c>
      <c r="K317" s="97">
        <f>IF(OR(NOT(ISNUMBER($E317)),NOT(ISNUMBER($F317))),"",IF($F317&lt;=$E317*12/52*5,"OK","Over 5 weeks"))</f>
        <v/>
      </c>
      <c r="L317" s="52"/>
      <c r="M317" s="52"/>
      <c r="N317" s="122">
        <f>IF(OR($A317="",NOT(ISNUMBER($L317))),IF($A317="","","Not recorded"),IF(NOT(ISNUMBER($M317)),"Checked (no follow-up)",IF($M317&lt;TODAY(),"OVERDUE: follow-up check",IF($M317-TODAY()&lt;=60,"Follow-up due "&amp;TEXT($M317,"dd/mm/yyyy"),"Checked"))))</f>
        <v/>
      </c>
      <c r="O317" s="52"/>
      <c r="P317" s="52"/>
      <c r="Q317" s="122">
        <f>IF($A317="","",IF(NOT(ISNUMBER($D317)),"Enter start date",IF($D317&gt;=DATE(2026,5,1),IF(ISNUMBER($O317),"Complete","Missing: written terms"),IF(OR(ISNUMBER($P317),ISNUMBER($O317)),"Complete","Missing: Information Sheet (was due 31/05/2026)"))))</f>
        <v/>
      </c>
      <c r="R317" s="52"/>
      <c r="S317" s="82">
        <f>IF(ISNUMBER($R317),$R317+364,IF(ISNUMBER($D317),$D317+364,""))</f>
        <v/>
      </c>
      <c r="T317" s="52"/>
      <c r="U317" s="82">
        <f>IF(ISNUMBER($T317),IF(ISNUMBER($S317),MAX(EDATE($T317,2),$S317),EDATE($T317,2)),"")</f>
        <v/>
      </c>
      <c r="V317" s="52"/>
      <c r="W317" s="52"/>
      <c r="X317" s="121">
        <f>IF(NOT(ISNUMBER($V317)),"",IF(ISNUMBER($W317),IF($W317-$V317&lt;=28,"Answered in time","LATE: answered after day 28"),IF(TODAY()-$V317&gt;28,"OVERDUE: no reply yet","Reply due by "&amp;TEXT($V317+28,"dd/mm/yyyy"))))</f>
        <v/>
      </c>
      <c r="Y317" s="54"/>
    </row>
    <row r="318" spans="1:25">
      <c r="A318" s="54"/>
      <c r="B318" s="54"/>
      <c r="C318" s="51"/>
      <c r="D318" s="52"/>
      <c r="E318" s="120"/>
      <c r="F318" s="120"/>
      <c r="G318" s="52"/>
      <c r="H318" s="52"/>
      <c r="I318" s="52"/>
      <c r="J318" s="121">
        <f>IF(OR($A318="",NOT(ISNUMBER($F318))),"",IF($F318&lt;=0,"No deposit",IF(NOT(ISNUMBER($G318)),"Enter date received",IF(AND(ISNUMBER($H318),ISNUMBER($I318)),IF(MAX($H318,$I318)-$G318&lt;=29,"OK","LATE: protected / info served after day 30"),IF(TODAY()-$G318&gt;29,"OVERDUE: not protected / info not served","Protect + serve info by "&amp;TEXT($G318+29,"dd/mm/yyyy"))))))</f>
        <v/>
      </c>
      <c r="K318" s="97">
        <f>IF(OR(NOT(ISNUMBER($E318)),NOT(ISNUMBER($F318))),"",IF($F318&lt;=$E318*12/52*5,"OK","Over 5 weeks"))</f>
        <v/>
      </c>
      <c r="L318" s="52"/>
      <c r="M318" s="52"/>
      <c r="N318" s="122">
        <f>IF(OR($A318="",NOT(ISNUMBER($L318))),IF($A318="","","Not recorded"),IF(NOT(ISNUMBER($M318)),"Checked (no follow-up)",IF($M318&lt;TODAY(),"OVERDUE: follow-up check",IF($M318-TODAY()&lt;=60,"Follow-up due "&amp;TEXT($M318,"dd/mm/yyyy"),"Checked"))))</f>
        <v/>
      </c>
      <c r="O318" s="52"/>
      <c r="P318" s="52"/>
      <c r="Q318" s="122">
        <f>IF($A318="","",IF(NOT(ISNUMBER($D318)),"Enter start date",IF($D318&gt;=DATE(2026,5,1),IF(ISNUMBER($O318),"Complete","Missing: written terms"),IF(OR(ISNUMBER($P318),ISNUMBER($O318)),"Complete","Missing: Information Sheet (was due 31/05/2026)"))))</f>
        <v/>
      </c>
      <c r="R318" s="52"/>
      <c r="S318" s="82">
        <f>IF(ISNUMBER($R318),$R318+364,IF(ISNUMBER($D318),$D318+364,""))</f>
        <v/>
      </c>
      <c r="T318" s="52"/>
      <c r="U318" s="82">
        <f>IF(ISNUMBER($T318),IF(ISNUMBER($S318),MAX(EDATE($T318,2),$S318),EDATE($T318,2)),"")</f>
        <v/>
      </c>
      <c r="V318" s="52"/>
      <c r="W318" s="52"/>
      <c r="X318" s="121">
        <f>IF(NOT(ISNUMBER($V318)),"",IF(ISNUMBER($W318),IF($W318-$V318&lt;=28,"Answered in time","LATE: answered after day 28"),IF(TODAY()-$V318&gt;28,"OVERDUE: no reply yet","Reply due by "&amp;TEXT($V318+28,"dd/mm/yyyy"))))</f>
        <v/>
      </c>
      <c r="Y318" s="54"/>
    </row>
    <row r="319" spans="1:25">
      <c r="A319" s="54"/>
      <c r="B319" s="54"/>
      <c r="C319" s="51"/>
      <c r="D319" s="52"/>
      <c r="E319" s="120"/>
      <c r="F319" s="120"/>
      <c r="G319" s="52"/>
      <c r="H319" s="52"/>
      <c r="I319" s="52"/>
      <c r="J319" s="121">
        <f>IF(OR($A319="",NOT(ISNUMBER($F319))),"",IF($F319&lt;=0,"No deposit",IF(NOT(ISNUMBER($G319)),"Enter date received",IF(AND(ISNUMBER($H319),ISNUMBER($I319)),IF(MAX($H319,$I319)-$G319&lt;=29,"OK","LATE: protected / info served after day 30"),IF(TODAY()-$G319&gt;29,"OVERDUE: not protected / info not served","Protect + serve info by "&amp;TEXT($G319+29,"dd/mm/yyyy"))))))</f>
        <v/>
      </c>
      <c r="K319" s="97">
        <f>IF(OR(NOT(ISNUMBER($E319)),NOT(ISNUMBER($F319))),"",IF($F319&lt;=$E319*12/52*5,"OK","Over 5 weeks"))</f>
        <v/>
      </c>
      <c r="L319" s="52"/>
      <c r="M319" s="52"/>
      <c r="N319" s="122">
        <f>IF(OR($A319="",NOT(ISNUMBER($L319))),IF($A319="","","Not recorded"),IF(NOT(ISNUMBER($M319)),"Checked (no follow-up)",IF($M319&lt;TODAY(),"OVERDUE: follow-up check",IF($M319-TODAY()&lt;=60,"Follow-up due "&amp;TEXT($M319,"dd/mm/yyyy"),"Checked"))))</f>
        <v/>
      </c>
      <c r="O319" s="52"/>
      <c r="P319" s="52"/>
      <c r="Q319" s="122">
        <f>IF($A319="","",IF(NOT(ISNUMBER($D319)),"Enter start date",IF($D319&gt;=DATE(2026,5,1),IF(ISNUMBER($O319),"Complete","Missing: written terms"),IF(OR(ISNUMBER($P319),ISNUMBER($O319)),"Complete","Missing: Information Sheet (was due 31/05/2026)"))))</f>
        <v/>
      </c>
      <c r="R319" s="52"/>
      <c r="S319" s="82">
        <f>IF(ISNUMBER($R319),$R319+364,IF(ISNUMBER($D319),$D319+364,""))</f>
        <v/>
      </c>
      <c r="T319" s="52"/>
      <c r="U319" s="82">
        <f>IF(ISNUMBER($T319),IF(ISNUMBER($S319),MAX(EDATE($T319,2),$S319),EDATE($T319,2)),"")</f>
        <v/>
      </c>
      <c r="V319" s="52"/>
      <c r="W319" s="52"/>
      <c r="X319" s="121">
        <f>IF(NOT(ISNUMBER($V319)),"",IF(ISNUMBER($W319),IF($W319-$V319&lt;=28,"Answered in time","LATE: answered after day 28"),IF(TODAY()-$V319&gt;28,"OVERDUE: no reply yet","Reply due by "&amp;TEXT($V319+28,"dd/mm/yyyy"))))</f>
        <v/>
      </c>
      <c r="Y319" s="54"/>
    </row>
    <row r="320" spans="1:25">
      <c r="A320" s="54"/>
      <c r="B320" s="54"/>
      <c r="C320" s="51"/>
      <c r="D320" s="52"/>
      <c r="E320" s="120"/>
      <c r="F320" s="120"/>
      <c r="G320" s="52"/>
      <c r="H320" s="52"/>
      <c r="I320" s="52"/>
      <c r="J320" s="121">
        <f>IF(OR($A320="",NOT(ISNUMBER($F320))),"",IF($F320&lt;=0,"No deposit",IF(NOT(ISNUMBER($G320)),"Enter date received",IF(AND(ISNUMBER($H320),ISNUMBER($I320)),IF(MAX($H320,$I320)-$G320&lt;=29,"OK","LATE: protected / info served after day 30"),IF(TODAY()-$G320&gt;29,"OVERDUE: not protected / info not served","Protect + serve info by "&amp;TEXT($G320+29,"dd/mm/yyyy"))))))</f>
        <v/>
      </c>
      <c r="K320" s="97">
        <f>IF(OR(NOT(ISNUMBER($E320)),NOT(ISNUMBER($F320))),"",IF($F320&lt;=$E320*12/52*5,"OK","Over 5 weeks"))</f>
        <v/>
      </c>
      <c r="L320" s="52"/>
      <c r="M320" s="52"/>
      <c r="N320" s="122">
        <f>IF(OR($A320="",NOT(ISNUMBER($L320))),IF($A320="","","Not recorded"),IF(NOT(ISNUMBER($M320)),"Checked (no follow-up)",IF($M320&lt;TODAY(),"OVERDUE: follow-up check",IF($M320-TODAY()&lt;=60,"Follow-up due "&amp;TEXT($M320,"dd/mm/yyyy"),"Checked"))))</f>
        <v/>
      </c>
      <c r="O320" s="52"/>
      <c r="P320" s="52"/>
      <c r="Q320" s="122">
        <f>IF($A320="","",IF(NOT(ISNUMBER($D320)),"Enter start date",IF($D320&gt;=DATE(2026,5,1),IF(ISNUMBER($O320),"Complete","Missing: written terms"),IF(OR(ISNUMBER($P320),ISNUMBER($O320)),"Complete","Missing: Information Sheet (was due 31/05/2026)"))))</f>
        <v/>
      </c>
      <c r="R320" s="52"/>
      <c r="S320" s="82">
        <f>IF(ISNUMBER($R320),$R320+364,IF(ISNUMBER($D320),$D320+364,""))</f>
        <v/>
      </c>
      <c r="T320" s="52"/>
      <c r="U320" s="82">
        <f>IF(ISNUMBER($T320),IF(ISNUMBER($S320),MAX(EDATE($T320,2),$S320),EDATE($T320,2)),"")</f>
        <v/>
      </c>
      <c r="V320" s="52"/>
      <c r="W320" s="52"/>
      <c r="X320" s="121">
        <f>IF(NOT(ISNUMBER($V320)),"",IF(ISNUMBER($W320),IF($W320-$V320&lt;=28,"Answered in time","LATE: answered after day 28"),IF(TODAY()-$V320&gt;28,"OVERDUE: no reply yet","Reply due by "&amp;TEXT($V320+28,"dd/mm/yyyy"))))</f>
        <v/>
      </c>
      <c r="Y320" s="54"/>
    </row>
    <row r="321" spans="1:25">
      <c r="A321" s="54"/>
      <c r="B321" s="54"/>
      <c r="C321" s="51"/>
      <c r="D321" s="52"/>
      <c r="E321" s="120"/>
      <c r="F321" s="120"/>
      <c r="G321" s="52"/>
      <c r="H321" s="52"/>
      <c r="I321" s="52"/>
      <c r="J321" s="121">
        <f>IF(OR($A321="",NOT(ISNUMBER($F321))),"",IF($F321&lt;=0,"No deposit",IF(NOT(ISNUMBER($G321)),"Enter date received",IF(AND(ISNUMBER($H321),ISNUMBER($I321)),IF(MAX($H321,$I321)-$G321&lt;=29,"OK","LATE: protected / info served after day 30"),IF(TODAY()-$G321&gt;29,"OVERDUE: not protected / info not served","Protect + serve info by "&amp;TEXT($G321+29,"dd/mm/yyyy"))))))</f>
        <v/>
      </c>
      <c r="K321" s="97">
        <f>IF(OR(NOT(ISNUMBER($E321)),NOT(ISNUMBER($F321))),"",IF($F321&lt;=$E321*12/52*5,"OK","Over 5 weeks"))</f>
        <v/>
      </c>
      <c r="L321" s="52"/>
      <c r="M321" s="52"/>
      <c r="N321" s="122">
        <f>IF(OR($A321="",NOT(ISNUMBER($L321))),IF($A321="","","Not recorded"),IF(NOT(ISNUMBER($M321)),"Checked (no follow-up)",IF($M321&lt;TODAY(),"OVERDUE: follow-up check",IF($M321-TODAY()&lt;=60,"Follow-up due "&amp;TEXT($M321,"dd/mm/yyyy"),"Checked"))))</f>
        <v/>
      </c>
      <c r="O321" s="52"/>
      <c r="P321" s="52"/>
      <c r="Q321" s="122">
        <f>IF($A321="","",IF(NOT(ISNUMBER($D321)),"Enter start date",IF($D321&gt;=DATE(2026,5,1),IF(ISNUMBER($O321),"Complete","Missing: written terms"),IF(OR(ISNUMBER($P321),ISNUMBER($O321)),"Complete","Missing: Information Sheet (was due 31/05/2026)"))))</f>
        <v/>
      </c>
      <c r="R321" s="52"/>
      <c r="S321" s="82">
        <f>IF(ISNUMBER($R321),$R321+364,IF(ISNUMBER($D321),$D321+364,""))</f>
        <v/>
      </c>
      <c r="T321" s="52"/>
      <c r="U321" s="82">
        <f>IF(ISNUMBER($T321),IF(ISNUMBER($S321),MAX(EDATE($T321,2),$S321),EDATE($T321,2)),"")</f>
        <v/>
      </c>
      <c r="V321" s="52"/>
      <c r="W321" s="52"/>
      <c r="X321" s="121">
        <f>IF(NOT(ISNUMBER($V321)),"",IF(ISNUMBER($W321),IF($W321-$V321&lt;=28,"Answered in time","LATE: answered after day 28"),IF(TODAY()-$V321&gt;28,"OVERDUE: no reply yet","Reply due by "&amp;TEXT($V321+28,"dd/mm/yyyy"))))</f>
        <v/>
      </c>
      <c r="Y321" s="54"/>
    </row>
    <row r="322" spans="1:25">
      <c r="A322" s="54"/>
      <c r="B322" s="54"/>
      <c r="C322" s="51"/>
      <c r="D322" s="52"/>
      <c r="E322" s="120"/>
      <c r="F322" s="120"/>
      <c r="G322" s="52"/>
      <c r="H322" s="52"/>
      <c r="I322" s="52"/>
      <c r="J322" s="121">
        <f>IF(OR($A322="",NOT(ISNUMBER($F322))),"",IF($F322&lt;=0,"No deposit",IF(NOT(ISNUMBER($G322)),"Enter date received",IF(AND(ISNUMBER($H322),ISNUMBER($I322)),IF(MAX($H322,$I322)-$G322&lt;=29,"OK","LATE: protected / info served after day 30"),IF(TODAY()-$G322&gt;29,"OVERDUE: not protected / info not served","Protect + serve info by "&amp;TEXT($G322+29,"dd/mm/yyyy"))))))</f>
        <v/>
      </c>
      <c r="K322" s="97">
        <f>IF(OR(NOT(ISNUMBER($E322)),NOT(ISNUMBER($F322))),"",IF($F322&lt;=$E322*12/52*5,"OK","Over 5 weeks"))</f>
        <v/>
      </c>
      <c r="L322" s="52"/>
      <c r="M322" s="52"/>
      <c r="N322" s="122">
        <f>IF(OR($A322="",NOT(ISNUMBER($L322))),IF($A322="","","Not recorded"),IF(NOT(ISNUMBER($M322)),"Checked (no follow-up)",IF($M322&lt;TODAY(),"OVERDUE: follow-up check",IF($M322-TODAY()&lt;=60,"Follow-up due "&amp;TEXT($M322,"dd/mm/yyyy"),"Checked"))))</f>
        <v/>
      </c>
      <c r="O322" s="52"/>
      <c r="P322" s="52"/>
      <c r="Q322" s="122">
        <f>IF($A322="","",IF(NOT(ISNUMBER($D322)),"Enter start date",IF($D322&gt;=DATE(2026,5,1),IF(ISNUMBER($O322),"Complete","Missing: written terms"),IF(OR(ISNUMBER($P322),ISNUMBER($O322)),"Complete","Missing: Information Sheet (was due 31/05/2026)"))))</f>
        <v/>
      </c>
      <c r="R322" s="52"/>
      <c r="S322" s="82">
        <f>IF(ISNUMBER($R322),$R322+364,IF(ISNUMBER($D322),$D322+364,""))</f>
        <v/>
      </c>
      <c r="T322" s="52"/>
      <c r="U322" s="82">
        <f>IF(ISNUMBER($T322),IF(ISNUMBER($S322),MAX(EDATE($T322,2),$S322),EDATE($T322,2)),"")</f>
        <v/>
      </c>
      <c r="V322" s="52"/>
      <c r="W322" s="52"/>
      <c r="X322" s="121">
        <f>IF(NOT(ISNUMBER($V322)),"",IF(ISNUMBER($W322),IF($W322-$V322&lt;=28,"Answered in time","LATE: answered after day 28"),IF(TODAY()-$V322&gt;28,"OVERDUE: no reply yet","Reply due by "&amp;TEXT($V322+28,"dd/mm/yyyy"))))</f>
        <v/>
      </c>
      <c r="Y322" s="54"/>
    </row>
    <row r="323" spans="1:25">
      <c r="A323" s="54"/>
      <c r="B323" s="54"/>
      <c r="C323" s="51"/>
      <c r="D323" s="52"/>
      <c r="E323" s="120"/>
      <c r="F323" s="120"/>
      <c r="G323" s="52"/>
      <c r="H323" s="52"/>
      <c r="I323" s="52"/>
      <c r="J323" s="121">
        <f>IF(OR($A323="",NOT(ISNUMBER($F323))),"",IF($F323&lt;=0,"No deposit",IF(NOT(ISNUMBER($G323)),"Enter date received",IF(AND(ISNUMBER($H323),ISNUMBER($I323)),IF(MAX($H323,$I323)-$G323&lt;=29,"OK","LATE: protected / info served after day 30"),IF(TODAY()-$G323&gt;29,"OVERDUE: not protected / info not served","Protect + serve info by "&amp;TEXT($G323+29,"dd/mm/yyyy"))))))</f>
        <v/>
      </c>
      <c r="K323" s="97">
        <f>IF(OR(NOT(ISNUMBER($E323)),NOT(ISNUMBER($F323))),"",IF($F323&lt;=$E323*12/52*5,"OK","Over 5 weeks"))</f>
        <v/>
      </c>
      <c r="L323" s="52"/>
      <c r="M323" s="52"/>
      <c r="N323" s="122">
        <f>IF(OR($A323="",NOT(ISNUMBER($L323))),IF($A323="","","Not recorded"),IF(NOT(ISNUMBER($M323)),"Checked (no follow-up)",IF($M323&lt;TODAY(),"OVERDUE: follow-up check",IF($M323-TODAY()&lt;=60,"Follow-up due "&amp;TEXT($M323,"dd/mm/yyyy"),"Checked"))))</f>
        <v/>
      </c>
      <c r="O323" s="52"/>
      <c r="P323" s="52"/>
      <c r="Q323" s="122">
        <f>IF($A323="","",IF(NOT(ISNUMBER($D323)),"Enter start date",IF($D323&gt;=DATE(2026,5,1),IF(ISNUMBER($O323),"Complete","Missing: written terms"),IF(OR(ISNUMBER($P323),ISNUMBER($O323)),"Complete","Missing: Information Sheet (was due 31/05/2026)"))))</f>
        <v/>
      </c>
      <c r="R323" s="52"/>
      <c r="S323" s="82">
        <f>IF(ISNUMBER($R323),$R323+364,IF(ISNUMBER($D323),$D323+364,""))</f>
        <v/>
      </c>
      <c r="T323" s="52"/>
      <c r="U323" s="82">
        <f>IF(ISNUMBER($T323),IF(ISNUMBER($S323),MAX(EDATE($T323,2),$S323),EDATE($T323,2)),"")</f>
        <v/>
      </c>
      <c r="V323" s="52"/>
      <c r="W323" s="52"/>
      <c r="X323" s="121">
        <f>IF(NOT(ISNUMBER($V323)),"",IF(ISNUMBER($W323),IF($W323-$V323&lt;=28,"Answered in time","LATE: answered after day 28"),IF(TODAY()-$V323&gt;28,"OVERDUE: no reply yet","Reply due by "&amp;TEXT($V323+28,"dd/mm/yyyy"))))</f>
        <v/>
      </c>
      <c r="Y323" s="54"/>
    </row>
    <row r="324" spans="1:25">
      <c r="A324" s="54"/>
      <c r="B324" s="54"/>
      <c r="C324" s="51"/>
      <c r="D324" s="52"/>
      <c r="E324" s="120"/>
      <c r="F324" s="120"/>
      <c r="G324" s="52"/>
      <c r="H324" s="52"/>
      <c r="I324" s="52"/>
      <c r="J324" s="121">
        <f>IF(OR($A324="",NOT(ISNUMBER($F324))),"",IF($F324&lt;=0,"No deposit",IF(NOT(ISNUMBER($G324)),"Enter date received",IF(AND(ISNUMBER($H324),ISNUMBER($I324)),IF(MAX($H324,$I324)-$G324&lt;=29,"OK","LATE: protected / info served after day 30"),IF(TODAY()-$G324&gt;29,"OVERDUE: not protected / info not served","Protect + serve info by "&amp;TEXT($G324+29,"dd/mm/yyyy"))))))</f>
        <v/>
      </c>
      <c r="K324" s="97">
        <f>IF(OR(NOT(ISNUMBER($E324)),NOT(ISNUMBER($F324))),"",IF($F324&lt;=$E324*12/52*5,"OK","Over 5 weeks"))</f>
        <v/>
      </c>
      <c r="L324" s="52"/>
      <c r="M324" s="52"/>
      <c r="N324" s="122">
        <f>IF(OR($A324="",NOT(ISNUMBER($L324))),IF($A324="","","Not recorded"),IF(NOT(ISNUMBER($M324)),"Checked (no follow-up)",IF($M324&lt;TODAY(),"OVERDUE: follow-up check",IF($M324-TODAY()&lt;=60,"Follow-up due "&amp;TEXT($M324,"dd/mm/yyyy"),"Checked"))))</f>
        <v/>
      </c>
      <c r="O324" s="52"/>
      <c r="P324" s="52"/>
      <c r="Q324" s="122">
        <f>IF($A324="","",IF(NOT(ISNUMBER($D324)),"Enter start date",IF($D324&gt;=DATE(2026,5,1),IF(ISNUMBER($O324),"Complete","Missing: written terms"),IF(OR(ISNUMBER($P324),ISNUMBER($O324)),"Complete","Missing: Information Sheet (was due 31/05/2026)"))))</f>
        <v/>
      </c>
      <c r="R324" s="52"/>
      <c r="S324" s="82">
        <f>IF(ISNUMBER($R324),$R324+364,IF(ISNUMBER($D324),$D324+364,""))</f>
        <v/>
      </c>
      <c r="T324" s="52"/>
      <c r="U324" s="82">
        <f>IF(ISNUMBER($T324),IF(ISNUMBER($S324),MAX(EDATE($T324,2),$S324),EDATE($T324,2)),"")</f>
        <v/>
      </c>
      <c r="V324" s="52"/>
      <c r="W324" s="52"/>
      <c r="X324" s="121">
        <f>IF(NOT(ISNUMBER($V324)),"",IF(ISNUMBER($W324),IF($W324-$V324&lt;=28,"Answered in time","LATE: answered after day 28"),IF(TODAY()-$V324&gt;28,"OVERDUE: no reply yet","Reply due by "&amp;TEXT($V324+28,"dd/mm/yyyy"))))</f>
        <v/>
      </c>
      <c r="Y324" s="54"/>
    </row>
    <row r="325" spans="1:25">
      <c r="A325" s="54"/>
      <c r="B325" s="54"/>
      <c r="C325" s="51"/>
      <c r="D325" s="52"/>
      <c r="E325" s="120"/>
      <c r="F325" s="120"/>
      <c r="G325" s="52"/>
      <c r="H325" s="52"/>
      <c r="I325" s="52"/>
      <c r="J325" s="121">
        <f>IF(OR($A325="",NOT(ISNUMBER($F325))),"",IF($F325&lt;=0,"No deposit",IF(NOT(ISNUMBER($G325)),"Enter date received",IF(AND(ISNUMBER($H325),ISNUMBER($I325)),IF(MAX($H325,$I325)-$G325&lt;=29,"OK","LATE: protected / info served after day 30"),IF(TODAY()-$G325&gt;29,"OVERDUE: not protected / info not served","Protect + serve info by "&amp;TEXT($G325+29,"dd/mm/yyyy"))))))</f>
        <v/>
      </c>
      <c r="K325" s="97">
        <f>IF(OR(NOT(ISNUMBER($E325)),NOT(ISNUMBER($F325))),"",IF($F325&lt;=$E325*12/52*5,"OK","Over 5 weeks"))</f>
        <v/>
      </c>
      <c r="L325" s="52"/>
      <c r="M325" s="52"/>
      <c r="N325" s="122">
        <f>IF(OR($A325="",NOT(ISNUMBER($L325))),IF($A325="","","Not recorded"),IF(NOT(ISNUMBER($M325)),"Checked (no follow-up)",IF($M325&lt;TODAY(),"OVERDUE: follow-up check",IF($M325-TODAY()&lt;=60,"Follow-up due "&amp;TEXT($M325,"dd/mm/yyyy"),"Checked"))))</f>
        <v/>
      </c>
      <c r="O325" s="52"/>
      <c r="P325" s="52"/>
      <c r="Q325" s="122">
        <f>IF($A325="","",IF(NOT(ISNUMBER($D325)),"Enter start date",IF($D325&gt;=DATE(2026,5,1),IF(ISNUMBER($O325),"Complete","Missing: written terms"),IF(OR(ISNUMBER($P325),ISNUMBER($O325)),"Complete","Missing: Information Sheet (was due 31/05/2026)"))))</f>
        <v/>
      </c>
      <c r="R325" s="52"/>
      <c r="S325" s="82">
        <f>IF(ISNUMBER($R325),$R325+364,IF(ISNUMBER($D325),$D325+364,""))</f>
        <v/>
      </c>
      <c r="T325" s="52"/>
      <c r="U325" s="82">
        <f>IF(ISNUMBER($T325),IF(ISNUMBER($S325),MAX(EDATE($T325,2),$S325),EDATE($T325,2)),"")</f>
        <v/>
      </c>
      <c r="V325" s="52"/>
      <c r="W325" s="52"/>
      <c r="X325" s="121">
        <f>IF(NOT(ISNUMBER($V325)),"",IF(ISNUMBER($W325),IF($W325-$V325&lt;=28,"Answered in time","LATE: answered after day 28"),IF(TODAY()-$V325&gt;28,"OVERDUE: no reply yet","Reply due by "&amp;TEXT($V325+28,"dd/mm/yyyy"))))</f>
        <v/>
      </c>
      <c r="Y325" s="54"/>
    </row>
    <row r="326" spans="1:25">
      <c r="A326" s="54"/>
      <c r="B326" s="54"/>
      <c r="C326" s="51"/>
      <c r="D326" s="52"/>
      <c r="E326" s="120"/>
      <c r="F326" s="120"/>
      <c r="G326" s="52"/>
      <c r="H326" s="52"/>
      <c r="I326" s="52"/>
      <c r="J326" s="121">
        <f>IF(OR($A326="",NOT(ISNUMBER($F326))),"",IF($F326&lt;=0,"No deposit",IF(NOT(ISNUMBER($G326)),"Enter date received",IF(AND(ISNUMBER($H326),ISNUMBER($I326)),IF(MAX($H326,$I326)-$G326&lt;=29,"OK","LATE: protected / info served after day 30"),IF(TODAY()-$G326&gt;29,"OVERDUE: not protected / info not served","Protect + serve info by "&amp;TEXT($G326+29,"dd/mm/yyyy"))))))</f>
        <v/>
      </c>
      <c r="K326" s="97">
        <f>IF(OR(NOT(ISNUMBER($E326)),NOT(ISNUMBER($F326))),"",IF($F326&lt;=$E326*12/52*5,"OK","Over 5 weeks"))</f>
        <v/>
      </c>
      <c r="L326" s="52"/>
      <c r="M326" s="52"/>
      <c r="N326" s="122">
        <f>IF(OR($A326="",NOT(ISNUMBER($L326))),IF($A326="","","Not recorded"),IF(NOT(ISNUMBER($M326)),"Checked (no follow-up)",IF($M326&lt;TODAY(),"OVERDUE: follow-up check",IF($M326-TODAY()&lt;=60,"Follow-up due "&amp;TEXT($M326,"dd/mm/yyyy"),"Checked"))))</f>
        <v/>
      </c>
      <c r="O326" s="52"/>
      <c r="P326" s="52"/>
      <c r="Q326" s="122">
        <f>IF($A326="","",IF(NOT(ISNUMBER($D326)),"Enter start date",IF($D326&gt;=DATE(2026,5,1),IF(ISNUMBER($O326),"Complete","Missing: written terms"),IF(OR(ISNUMBER($P326),ISNUMBER($O326)),"Complete","Missing: Information Sheet (was due 31/05/2026)"))))</f>
        <v/>
      </c>
      <c r="R326" s="52"/>
      <c r="S326" s="82">
        <f>IF(ISNUMBER($R326),$R326+364,IF(ISNUMBER($D326),$D326+364,""))</f>
        <v/>
      </c>
      <c r="T326" s="52"/>
      <c r="U326" s="82">
        <f>IF(ISNUMBER($T326),IF(ISNUMBER($S326),MAX(EDATE($T326,2),$S326),EDATE($T326,2)),"")</f>
        <v/>
      </c>
      <c r="V326" s="52"/>
      <c r="W326" s="52"/>
      <c r="X326" s="121">
        <f>IF(NOT(ISNUMBER($V326)),"",IF(ISNUMBER($W326),IF($W326-$V326&lt;=28,"Answered in time","LATE: answered after day 28"),IF(TODAY()-$V326&gt;28,"OVERDUE: no reply yet","Reply due by "&amp;TEXT($V326+28,"dd/mm/yyyy"))))</f>
        <v/>
      </c>
      <c r="Y326" s="54"/>
    </row>
    <row r="327" spans="1:25">
      <c r="A327" s="54"/>
      <c r="B327" s="54"/>
      <c r="C327" s="51"/>
      <c r="D327" s="52"/>
      <c r="E327" s="120"/>
      <c r="F327" s="120"/>
      <c r="G327" s="52"/>
      <c r="H327" s="52"/>
      <c r="I327" s="52"/>
      <c r="J327" s="121">
        <f>IF(OR($A327="",NOT(ISNUMBER($F327))),"",IF($F327&lt;=0,"No deposit",IF(NOT(ISNUMBER($G327)),"Enter date received",IF(AND(ISNUMBER($H327),ISNUMBER($I327)),IF(MAX($H327,$I327)-$G327&lt;=29,"OK","LATE: protected / info served after day 30"),IF(TODAY()-$G327&gt;29,"OVERDUE: not protected / info not served","Protect + serve info by "&amp;TEXT($G327+29,"dd/mm/yyyy"))))))</f>
        <v/>
      </c>
      <c r="K327" s="97">
        <f>IF(OR(NOT(ISNUMBER($E327)),NOT(ISNUMBER($F327))),"",IF($F327&lt;=$E327*12/52*5,"OK","Over 5 weeks"))</f>
        <v/>
      </c>
      <c r="L327" s="52"/>
      <c r="M327" s="52"/>
      <c r="N327" s="122">
        <f>IF(OR($A327="",NOT(ISNUMBER($L327))),IF($A327="","","Not recorded"),IF(NOT(ISNUMBER($M327)),"Checked (no follow-up)",IF($M327&lt;TODAY(),"OVERDUE: follow-up check",IF($M327-TODAY()&lt;=60,"Follow-up due "&amp;TEXT($M327,"dd/mm/yyyy"),"Checked"))))</f>
        <v/>
      </c>
      <c r="O327" s="52"/>
      <c r="P327" s="52"/>
      <c r="Q327" s="122">
        <f>IF($A327="","",IF(NOT(ISNUMBER($D327)),"Enter start date",IF($D327&gt;=DATE(2026,5,1),IF(ISNUMBER($O327),"Complete","Missing: written terms"),IF(OR(ISNUMBER($P327),ISNUMBER($O327)),"Complete","Missing: Information Sheet (was due 31/05/2026)"))))</f>
        <v/>
      </c>
      <c r="R327" s="52"/>
      <c r="S327" s="82">
        <f>IF(ISNUMBER($R327),$R327+364,IF(ISNUMBER($D327),$D327+364,""))</f>
        <v/>
      </c>
      <c r="T327" s="52"/>
      <c r="U327" s="82">
        <f>IF(ISNUMBER($T327),IF(ISNUMBER($S327),MAX(EDATE($T327,2),$S327),EDATE($T327,2)),"")</f>
        <v/>
      </c>
      <c r="V327" s="52"/>
      <c r="W327" s="52"/>
      <c r="X327" s="121">
        <f>IF(NOT(ISNUMBER($V327)),"",IF(ISNUMBER($W327),IF($W327-$V327&lt;=28,"Answered in time","LATE: answered after day 28"),IF(TODAY()-$V327&gt;28,"OVERDUE: no reply yet","Reply due by "&amp;TEXT($V327+28,"dd/mm/yyyy"))))</f>
        <v/>
      </c>
      <c r="Y327" s="54"/>
    </row>
    <row r="328" spans="1:25">
      <c r="A328" s="54"/>
      <c r="B328" s="54"/>
      <c r="C328" s="51"/>
      <c r="D328" s="52"/>
      <c r="E328" s="120"/>
      <c r="F328" s="120"/>
      <c r="G328" s="52"/>
      <c r="H328" s="52"/>
      <c r="I328" s="52"/>
      <c r="J328" s="121">
        <f>IF(OR($A328="",NOT(ISNUMBER($F328))),"",IF($F328&lt;=0,"No deposit",IF(NOT(ISNUMBER($G328)),"Enter date received",IF(AND(ISNUMBER($H328),ISNUMBER($I328)),IF(MAX($H328,$I328)-$G328&lt;=29,"OK","LATE: protected / info served after day 30"),IF(TODAY()-$G328&gt;29,"OVERDUE: not protected / info not served","Protect + serve info by "&amp;TEXT($G328+29,"dd/mm/yyyy"))))))</f>
        <v/>
      </c>
      <c r="K328" s="97">
        <f>IF(OR(NOT(ISNUMBER($E328)),NOT(ISNUMBER($F328))),"",IF($F328&lt;=$E328*12/52*5,"OK","Over 5 weeks"))</f>
        <v/>
      </c>
      <c r="L328" s="52"/>
      <c r="M328" s="52"/>
      <c r="N328" s="122">
        <f>IF(OR($A328="",NOT(ISNUMBER($L328))),IF($A328="","","Not recorded"),IF(NOT(ISNUMBER($M328)),"Checked (no follow-up)",IF($M328&lt;TODAY(),"OVERDUE: follow-up check",IF($M328-TODAY()&lt;=60,"Follow-up due "&amp;TEXT($M328,"dd/mm/yyyy"),"Checked"))))</f>
        <v/>
      </c>
      <c r="O328" s="52"/>
      <c r="P328" s="52"/>
      <c r="Q328" s="122">
        <f>IF($A328="","",IF(NOT(ISNUMBER($D328)),"Enter start date",IF($D328&gt;=DATE(2026,5,1),IF(ISNUMBER($O328),"Complete","Missing: written terms"),IF(OR(ISNUMBER($P328),ISNUMBER($O328)),"Complete","Missing: Information Sheet (was due 31/05/2026)"))))</f>
        <v/>
      </c>
      <c r="R328" s="52"/>
      <c r="S328" s="82">
        <f>IF(ISNUMBER($R328),$R328+364,IF(ISNUMBER($D328),$D328+364,""))</f>
        <v/>
      </c>
      <c r="T328" s="52"/>
      <c r="U328" s="82">
        <f>IF(ISNUMBER($T328),IF(ISNUMBER($S328),MAX(EDATE($T328,2),$S328),EDATE($T328,2)),"")</f>
        <v/>
      </c>
      <c r="V328" s="52"/>
      <c r="W328" s="52"/>
      <c r="X328" s="121">
        <f>IF(NOT(ISNUMBER($V328)),"",IF(ISNUMBER($W328),IF($W328-$V328&lt;=28,"Answered in time","LATE: answered after day 28"),IF(TODAY()-$V328&gt;28,"OVERDUE: no reply yet","Reply due by "&amp;TEXT($V328+28,"dd/mm/yyyy"))))</f>
        <v/>
      </c>
      <c r="Y328" s="54"/>
    </row>
    <row r="329" spans="1:25">
      <c r="A329" s="54"/>
      <c r="B329" s="54"/>
      <c r="C329" s="51"/>
      <c r="D329" s="52"/>
      <c r="E329" s="120"/>
      <c r="F329" s="120"/>
      <c r="G329" s="52"/>
      <c r="H329" s="52"/>
      <c r="I329" s="52"/>
      <c r="J329" s="121">
        <f>IF(OR($A329="",NOT(ISNUMBER($F329))),"",IF($F329&lt;=0,"No deposit",IF(NOT(ISNUMBER($G329)),"Enter date received",IF(AND(ISNUMBER($H329),ISNUMBER($I329)),IF(MAX($H329,$I329)-$G329&lt;=29,"OK","LATE: protected / info served after day 30"),IF(TODAY()-$G329&gt;29,"OVERDUE: not protected / info not served","Protect + serve info by "&amp;TEXT($G329+29,"dd/mm/yyyy"))))))</f>
        <v/>
      </c>
      <c r="K329" s="97">
        <f>IF(OR(NOT(ISNUMBER($E329)),NOT(ISNUMBER($F329))),"",IF($F329&lt;=$E329*12/52*5,"OK","Over 5 weeks"))</f>
        <v/>
      </c>
      <c r="L329" s="52"/>
      <c r="M329" s="52"/>
      <c r="N329" s="122">
        <f>IF(OR($A329="",NOT(ISNUMBER($L329))),IF($A329="","","Not recorded"),IF(NOT(ISNUMBER($M329)),"Checked (no follow-up)",IF($M329&lt;TODAY(),"OVERDUE: follow-up check",IF($M329-TODAY()&lt;=60,"Follow-up due "&amp;TEXT($M329,"dd/mm/yyyy"),"Checked"))))</f>
        <v/>
      </c>
      <c r="O329" s="52"/>
      <c r="P329" s="52"/>
      <c r="Q329" s="122">
        <f>IF($A329="","",IF(NOT(ISNUMBER($D329)),"Enter start date",IF($D329&gt;=DATE(2026,5,1),IF(ISNUMBER($O329),"Complete","Missing: written terms"),IF(OR(ISNUMBER($P329),ISNUMBER($O329)),"Complete","Missing: Information Sheet (was due 31/05/2026)"))))</f>
        <v/>
      </c>
      <c r="R329" s="52"/>
      <c r="S329" s="82">
        <f>IF(ISNUMBER($R329),$R329+364,IF(ISNUMBER($D329),$D329+364,""))</f>
        <v/>
      </c>
      <c r="T329" s="52"/>
      <c r="U329" s="82">
        <f>IF(ISNUMBER($T329),IF(ISNUMBER($S329),MAX(EDATE($T329,2),$S329),EDATE($T329,2)),"")</f>
        <v/>
      </c>
      <c r="V329" s="52"/>
      <c r="W329" s="52"/>
      <c r="X329" s="121">
        <f>IF(NOT(ISNUMBER($V329)),"",IF(ISNUMBER($W329),IF($W329-$V329&lt;=28,"Answered in time","LATE: answered after day 28"),IF(TODAY()-$V329&gt;28,"OVERDUE: no reply yet","Reply due by "&amp;TEXT($V329+28,"dd/mm/yyyy"))))</f>
        <v/>
      </c>
      <c r="Y329" s="54"/>
    </row>
    <row r="330" spans="1:25">
      <c r="A330" s="54"/>
      <c r="B330" s="54"/>
      <c r="C330" s="51"/>
      <c r="D330" s="52"/>
      <c r="E330" s="120"/>
      <c r="F330" s="120"/>
      <c r="G330" s="52"/>
      <c r="H330" s="52"/>
      <c r="I330" s="52"/>
      <c r="J330" s="121">
        <f>IF(OR($A330="",NOT(ISNUMBER($F330))),"",IF($F330&lt;=0,"No deposit",IF(NOT(ISNUMBER($G330)),"Enter date received",IF(AND(ISNUMBER($H330),ISNUMBER($I330)),IF(MAX($H330,$I330)-$G330&lt;=29,"OK","LATE: protected / info served after day 30"),IF(TODAY()-$G330&gt;29,"OVERDUE: not protected / info not served","Protect + serve info by "&amp;TEXT($G330+29,"dd/mm/yyyy"))))))</f>
        <v/>
      </c>
      <c r="K330" s="97">
        <f>IF(OR(NOT(ISNUMBER($E330)),NOT(ISNUMBER($F330))),"",IF($F330&lt;=$E330*12/52*5,"OK","Over 5 weeks"))</f>
        <v/>
      </c>
      <c r="L330" s="52"/>
      <c r="M330" s="52"/>
      <c r="N330" s="122">
        <f>IF(OR($A330="",NOT(ISNUMBER($L330))),IF($A330="","","Not recorded"),IF(NOT(ISNUMBER($M330)),"Checked (no follow-up)",IF($M330&lt;TODAY(),"OVERDUE: follow-up check",IF($M330-TODAY()&lt;=60,"Follow-up due "&amp;TEXT($M330,"dd/mm/yyyy"),"Checked"))))</f>
        <v/>
      </c>
      <c r="O330" s="52"/>
      <c r="P330" s="52"/>
      <c r="Q330" s="122">
        <f>IF($A330="","",IF(NOT(ISNUMBER($D330)),"Enter start date",IF($D330&gt;=DATE(2026,5,1),IF(ISNUMBER($O330),"Complete","Missing: written terms"),IF(OR(ISNUMBER($P330),ISNUMBER($O330)),"Complete","Missing: Information Sheet (was due 31/05/2026)"))))</f>
        <v/>
      </c>
      <c r="R330" s="52"/>
      <c r="S330" s="82">
        <f>IF(ISNUMBER($R330),$R330+364,IF(ISNUMBER($D330),$D330+364,""))</f>
        <v/>
      </c>
      <c r="T330" s="52"/>
      <c r="U330" s="82">
        <f>IF(ISNUMBER($T330),IF(ISNUMBER($S330),MAX(EDATE($T330,2),$S330),EDATE($T330,2)),"")</f>
        <v/>
      </c>
      <c r="V330" s="52"/>
      <c r="W330" s="52"/>
      <c r="X330" s="121">
        <f>IF(NOT(ISNUMBER($V330)),"",IF(ISNUMBER($W330),IF($W330-$V330&lt;=28,"Answered in time","LATE: answered after day 28"),IF(TODAY()-$V330&gt;28,"OVERDUE: no reply yet","Reply due by "&amp;TEXT($V330+28,"dd/mm/yyyy"))))</f>
        <v/>
      </c>
      <c r="Y330" s="54"/>
    </row>
    <row r="331" spans="1:25">
      <c r="A331" s="54"/>
      <c r="B331" s="54"/>
      <c r="C331" s="51"/>
      <c r="D331" s="52"/>
      <c r="E331" s="120"/>
      <c r="F331" s="120"/>
      <c r="G331" s="52"/>
      <c r="H331" s="52"/>
      <c r="I331" s="52"/>
      <c r="J331" s="121">
        <f>IF(OR($A331="",NOT(ISNUMBER($F331))),"",IF($F331&lt;=0,"No deposit",IF(NOT(ISNUMBER($G331)),"Enter date received",IF(AND(ISNUMBER($H331),ISNUMBER($I331)),IF(MAX($H331,$I331)-$G331&lt;=29,"OK","LATE: protected / info served after day 30"),IF(TODAY()-$G331&gt;29,"OVERDUE: not protected / info not served","Protect + serve info by "&amp;TEXT($G331+29,"dd/mm/yyyy"))))))</f>
        <v/>
      </c>
      <c r="K331" s="97">
        <f>IF(OR(NOT(ISNUMBER($E331)),NOT(ISNUMBER($F331))),"",IF($F331&lt;=$E331*12/52*5,"OK","Over 5 weeks"))</f>
        <v/>
      </c>
      <c r="L331" s="52"/>
      <c r="M331" s="52"/>
      <c r="N331" s="122">
        <f>IF(OR($A331="",NOT(ISNUMBER($L331))),IF($A331="","","Not recorded"),IF(NOT(ISNUMBER($M331)),"Checked (no follow-up)",IF($M331&lt;TODAY(),"OVERDUE: follow-up check",IF($M331-TODAY()&lt;=60,"Follow-up due "&amp;TEXT($M331,"dd/mm/yyyy"),"Checked"))))</f>
        <v/>
      </c>
      <c r="O331" s="52"/>
      <c r="P331" s="52"/>
      <c r="Q331" s="122">
        <f>IF($A331="","",IF(NOT(ISNUMBER($D331)),"Enter start date",IF($D331&gt;=DATE(2026,5,1),IF(ISNUMBER($O331),"Complete","Missing: written terms"),IF(OR(ISNUMBER($P331),ISNUMBER($O331)),"Complete","Missing: Information Sheet (was due 31/05/2026)"))))</f>
        <v/>
      </c>
      <c r="R331" s="52"/>
      <c r="S331" s="82">
        <f>IF(ISNUMBER($R331),$R331+364,IF(ISNUMBER($D331),$D331+364,""))</f>
        <v/>
      </c>
      <c r="T331" s="52"/>
      <c r="U331" s="82">
        <f>IF(ISNUMBER($T331),IF(ISNUMBER($S331),MAX(EDATE($T331,2),$S331),EDATE($T331,2)),"")</f>
        <v/>
      </c>
      <c r="V331" s="52"/>
      <c r="W331" s="52"/>
      <c r="X331" s="121">
        <f>IF(NOT(ISNUMBER($V331)),"",IF(ISNUMBER($W331),IF($W331-$V331&lt;=28,"Answered in time","LATE: answered after day 28"),IF(TODAY()-$V331&gt;28,"OVERDUE: no reply yet","Reply due by "&amp;TEXT($V331+28,"dd/mm/yyyy"))))</f>
        <v/>
      </c>
      <c r="Y331" s="54"/>
    </row>
    <row r="332" spans="1:25">
      <c r="A332" s="54"/>
      <c r="B332" s="54"/>
      <c r="C332" s="51"/>
      <c r="D332" s="52"/>
      <c r="E332" s="120"/>
      <c r="F332" s="120"/>
      <c r="G332" s="52"/>
      <c r="H332" s="52"/>
      <c r="I332" s="52"/>
      <c r="J332" s="121">
        <f>IF(OR($A332="",NOT(ISNUMBER($F332))),"",IF($F332&lt;=0,"No deposit",IF(NOT(ISNUMBER($G332)),"Enter date received",IF(AND(ISNUMBER($H332),ISNUMBER($I332)),IF(MAX($H332,$I332)-$G332&lt;=29,"OK","LATE: protected / info served after day 30"),IF(TODAY()-$G332&gt;29,"OVERDUE: not protected / info not served","Protect + serve info by "&amp;TEXT($G332+29,"dd/mm/yyyy"))))))</f>
        <v/>
      </c>
      <c r="K332" s="97">
        <f>IF(OR(NOT(ISNUMBER($E332)),NOT(ISNUMBER($F332))),"",IF($F332&lt;=$E332*12/52*5,"OK","Over 5 weeks"))</f>
        <v/>
      </c>
      <c r="L332" s="52"/>
      <c r="M332" s="52"/>
      <c r="N332" s="122">
        <f>IF(OR($A332="",NOT(ISNUMBER($L332))),IF($A332="","","Not recorded"),IF(NOT(ISNUMBER($M332)),"Checked (no follow-up)",IF($M332&lt;TODAY(),"OVERDUE: follow-up check",IF($M332-TODAY()&lt;=60,"Follow-up due "&amp;TEXT($M332,"dd/mm/yyyy"),"Checked"))))</f>
        <v/>
      </c>
      <c r="O332" s="52"/>
      <c r="P332" s="52"/>
      <c r="Q332" s="122">
        <f>IF($A332="","",IF(NOT(ISNUMBER($D332)),"Enter start date",IF($D332&gt;=DATE(2026,5,1),IF(ISNUMBER($O332),"Complete","Missing: written terms"),IF(OR(ISNUMBER($P332),ISNUMBER($O332)),"Complete","Missing: Information Sheet (was due 31/05/2026)"))))</f>
        <v/>
      </c>
      <c r="R332" s="52"/>
      <c r="S332" s="82">
        <f>IF(ISNUMBER($R332),$R332+364,IF(ISNUMBER($D332),$D332+364,""))</f>
        <v/>
      </c>
      <c r="T332" s="52"/>
      <c r="U332" s="82">
        <f>IF(ISNUMBER($T332),IF(ISNUMBER($S332),MAX(EDATE($T332,2),$S332),EDATE($T332,2)),"")</f>
        <v/>
      </c>
      <c r="V332" s="52"/>
      <c r="W332" s="52"/>
      <c r="X332" s="121">
        <f>IF(NOT(ISNUMBER($V332)),"",IF(ISNUMBER($W332),IF($W332-$V332&lt;=28,"Answered in time","LATE: answered after day 28"),IF(TODAY()-$V332&gt;28,"OVERDUE: no reply yet","Reply due by "&amp;TEXT($V332+28,"dd/mm/yyyy"))))</f>
        <v/>
      </c>
      <c r="Y332" s="54"/>
    </row>
    <row r="333" spans="1:25">
      <c r="A333" s="54"/>
      <c r="B333" s="54"/>
      <c r="C333" s="51"/>
      <c r="D333" s="52"/>
      <c r="E333" s="120"/>
      <c r="F333" s="120"/>
      <c r="G333" s="52"/>
      <c r="H333" s="52"/>
      <c r="I333" s="52"/>
      <c r="J333" s="121">
        <f>IF(OR($A333="",NOT(ISNUMBER($F333))),"",IF($F333&lt;=0,"No deposit",IF(NOT(ISNUMBER($G333)),"Enter date received",IF(AND(ISNUMBER($H333),ISNUMBER($I333)),IF(MAX($H333,$I333)-$G333&lt;=29,"OK","LATE: protected / info served after day 30"),IF(TODAY()-$G333&gt;29,"OVERDUE: not protected / info not served","Protect + serve info by "&amp;TEXT($G333+29,"dd/mm/yyyy"))))))</f>
        <v/>
      </c>
      <c r="K333" s="97">
        <f>IF(OR(NOT(ISNUMBER($E333)),NOT(ISNUMBER($F333))),"",IF($F333&lt;=$E333*12/52*5,"OK","Over 5 weeks"))</f>
        <v/>
      </c>
      <c r="L333" s="52"/>
      <c r="M333" s="52"/>
      <c r="N333" s="122">
        <f>IF(OR($A333="",NOT(ISNUMBER($L333))),IF($A333="","","Not recorded"),IF(NOT(ISNUMBER($M333)),"Checked (no follow-up)",IF($M333&lt;TODAY(),"OVERDUE: follow-up check",IF($M333-TODAY()&lt;=60,"Follow-up due "&amp;TEXT($M333,"dd/mm/yyyy"),"Checked"))))</f>
        <v/>
      </c>
      <c r="O333" s="52"/>
      <c r="P333" s="52"/>
      <c r="Q333" s="122">
        <f>IF($A333="","",IF(NOT(ISNUMBER($D333)),"Enter start date",IF($D333&gt;=DATE(2026,5,1),IF(ISNUMBER($O333),"Complete","Missing: written terms"),IF(OR(ISNUMBER($P333),ISNUMBER($O333)),"Complete","Missing: Information Sheet (was due 31/05/2026)"))))</f>
        <v/>
      </c>
      <c r="R333" s="52"/>
      <c r="S333" s="82">
        <f>IF(ISNUMBER($R333),$R333+364,IF(ISNUMBER($D333),$D333+364,""))</f>
        <v/>
      </c>
      <c r="T333" s="52"/>
      <c r="U333" s="82">
        <f>IF(ISNUMBER($T333),IF(ISNUMBER($S333),MAX(EDATE($T333,2),$S333),EDATE($T333,2)),"")</f>
        <v/>
      </c>
      <c r="V333" s="52"/>
      <c r="W333" s="52"/>
      <c r="X333" s="121">
        <f>IF(NOT(ISNUMBER($V333)),"",IF(ISNUMBER($W333),IF($W333-$V333&lt;=28,"Answered in time","LATE: answered after day 28"),IF(TODAY()-$V333&gt;28,"OVERDUE: no reply yet","Reply due by "&amp;TEXT($V333+28,"dd/mm/yyyy"))))</f>
        <v/>
      </c>
      <c r="Y333" s="54"/>
    </row>
    <row r="334" spans="1:25">
      <c r="A334" s="54"/>
      <c r="B334" s="54"/>
      <c r="C334" s="51"/>
      <c r="D334" s="52"/>
      <c r="E334" s="120"/>
      <c r="F334" s="120"/>
      <c r="G334" s="52"/>
      <c r="H334" s="52"/>
      <c r="I334" s="52"/>
      <c r="J334" s="121">
        <f>IF(OR($A334="",NOT(ISNUMBER($F334))),"",IF($F334&lt;=0,"No deposit",IF(NOT(ISNUMBER($G334)),"Enter date received",IF(AND(ISNUMBER($H334),ISNUMBER($I334)),IF(MAX($H334,$I334)-$G334&lt;=29,"OK","LATE: protected / info served after day 30"),IF(TODAY()-$G334&gt;29,"OVERDUE: not protected / info not served","Protect + serve info by "&amp;TEXT($G334+29,"dd/mm/yyyy"))))))</f>
        <v/>
      </c>
      <c r="K334" s="97">
        <f>IF(OR(NOT(ISNUMBER($E334)),NOT(ISNUMBER($F334))),"",IF($F334&lt;=$E334*12/52*5,"OK","Over 5 weeks"))</f>
        <v/>
      </c>
      <c r="L334" s="52"/>
      <c r="M334" s="52"/>
      <c r="N334" s="122">
        <f>IF(OR($A334="",NOT(ISNUMBER($L334))),IF($A334="","","Not recorded"),IF(NOT(ISNUMBER($M334)),"Checked (no follow-up)",IF($M334&lt;TODAY(),"OVERDUE: follow-up check",IF($M334-TODAY()&lt;=60,"Follow-up due "&amp;TEXT($M334,"dd/mm/yyyy"),"Checked"))))</f>
        <v/>
      </c>
      <c r="O334" s="52"/>
      <c r="P334" s="52"/>
      <c r="Q334" s="122">
        <f>IF($A334="","",IF(NOT(ISNUMBER($D334)),"Enter start date",IF($D334&gt;=DATE(2026,5,1),IF(ISNUMBER($O334),"Complete","Missing: written terms"),IF(OR(ISNUMBER($P334),ISNUMBER($O334)),"Complete","Missing: Information Sheet (was due 31/05/2026)"))))</f>
        <v/>
      </c>
      <c r="R334" s="52"/>
      <c r="S334" s="82">
        <f>IF(ISNUMBER($R334),$R334+364,IF(ISNUMBER($D334),$D334+364,""))</f>
        <v/>
      </c>
      <c r="T334" s="52"/>
      <c r="U334" s="82">
        <f>IF(ISNUMBER($T334),IF(ISNUMBER($S334),MAX(EDATE($T334,2),$S334),EDATE($T334,2)),"")</f>
        <v/>
      </c>
      <c r="V334" s="52"/>
      <c r="W334" s="52"/>
      <c r="X334" s="121">
        <f>IF(NOT(ISNUMBER($V334)),"",IF(ISNUMBER($W334),IF($W334-$V334&lt;=28,"Answered in time","LATE: answered after day 28"),IF(TODAY()-$V334&gt;28,"OVERDUE: no reply yet","Reply due by "&amp;TEXT($V334+28,"dd/mm/yyyy"))))</f>
        <v/>
      </c>
      <c r="Y334" s="54"/>
    </row>
    <row r="335" spans="1:25">
      <c r="A335" s="54"/>
      <c r="B335" s="54"/>
      <c r="C335" s="51"/>
      <c r="D335" s="52"/>
      <c r="E335" s="120"/>
      <c r="F335" s="120"/>
      <c r="G335" s="52"/>
      <c r="H335" s="52"/>
      <c r="I335" s="52"/>
      <c r="J335" s="121">
        <f>IF(OR($A335="",NOT(ISNUMBER($F335))),"",IF($F335&lt;=0,"No deposit",IF(NOT(ISNUMBER($G335)),"Enter date received",IF(AND(ISNUMBER($H335),ISNUMBER($I335)),IF(MAX($H335,$I335)-$G335&lt;=29,"OK","LATE: protected / info served after day 30"),IF(TODAY()-$G335&gt;29,"OVERDUE: not protected / info not served","Protect + serve info by "&amp;TEXT($G335+29,"dd/mm/yyyy"))))))</f>
        <v/>
      </c>
      <c r="K335" s="97">
        <f>IF(OR(NOT(ISNUMBER($E335)),NOT(ISNUMBER($F335))),"",IF($F335&lt;=$E335*12/52*5,"OK","Over 5 weeks"))</f>
        <v/>
      </c>
      <c r="L335" s="52"/>
      <c r="M335" s="52"/>
      <c r="N335" s="122">
        <f>IF(OR($A335="",NOT(ISNUMBER($L335))),IF($A335="","","Not recorded"),IF(NOT(ISNUMBER($M335)),"Checked (no follow-up)",IF($M335&lt;TODAY(),"OVERDUE: follow-up check",IF($M335-TODAY()&lt;=60,"Follow-up due "&amp;TEXT($M335,"dd/mm/yyyy"),"Checked"))))</f>
        <v/>
      </c>
      <c r="O335" s="52"/>
      <c r="P335" s="52"/>
      <c r="Q335" s="122">
        <f>IF($A335="","",IF(NOT(ISNUMBER($D335)),"Enter start date",IF($D335&gt;=DATE(2026,5,1),IF(ISNUMBER($O335),"Complete","Missing: written terms"),IF(OR(ISNUMBER($P335),ISNUMBER($O335)),"Complete","Missing: Information Sheet (was due 31/05/2026)"))))</f>
        <v/>
      </c>
      <c r="R335" s="52"/>
      <c r="S335" s="82">
        <f>IF(ISNUMBER($R335),$R335+364,IF(ISNUMBER($D335),$D335+364,""))</f>
        <v/>
      </c>
      <c r="T335" s="52"/>
      <c r="U335" s="82">
        <f>IF(ISNUMBER($T335),IF(ISNUMBER($S335),MAX(EDATE($T335,2),$S335),EDATE($T335,2)),"")</f>
        <v/>
      </c>
      <c r="V335" s="52"/>
      <c r="W335" s="52"/>
      <c r="X335" s="121">
        <f>IF(NOT(ISNUMBER($V335)),"",IF(ISNUMBER($W335),IF($W335-$V335&lt;=28,"Answered in time","LATE: answered after day 28"),IF(TODAY()-$V335&gt;28,"OVERDUE: no reply yet","Reply due by "&amp;TEXT($V335+28,"dd/mm/yyyy"))))</f>
        <v/>
      </c>
      <c r="Y335" s="54"/>
    </row>
    <row r="336" spans="1:25">
      <c r="A336" s="54"/>
      <c r="B336" s="54"/>
      <c r="C336" s="51"/>
      <c r="D336" s="52"/>
      <c r="E336" s="120"/>
      <c r="F336" s="120"/>
      <c r="G336" s="52"/>
      <c r="H336" s="52"/>
      <c r="I336" s="52"/>
      <c r="J336" s="121">
        <f>IF(OR($A336="",NOT(ISNUMBER($F336))),"",IF($F336&lt;=0,"No deposit",IF(NOT(ISNUMBER($G336)),"Enter date received",IF(AND(ISNUMBER($H336),ISNUMBER($I336)),IF(MAX($H336,$I336)-$G336&lt;=29,"OK","LATE: protected / info served after day 30"),IF(TODAY()-$G336&gt;29,"OVERDUE: not protected / info not served","Protect + serve info by "&amp;TEXT($G336+29,"dd/mm/yyyy"))))))</f>
        <v/>
      </c>
      <c r="K336" s="97">
        <f>IF(OR(NOT(ISNUMBER($E336)),NOT(ISNUMBER($F336))),"",IF($F336&lt;=$E336*12/52*5,"OK","Over 5 weeks"))</f>
        <v/>
      </c>
      <c r="L336" s="52"/>
      <c r="M336" s="52"/>
      <c r="N336" s="122">
        <f>IF(OR($A336="",NOT(ISNUMBER($L336))),IF($A336="","","Not recorded"),IF(NOT(ISNUMBER($M336)),"Checked (no follow-up)",IF($M336&lt;TODAY(),"OVERDUE: follow-up check",IF($M336-TODAY()&lt;=60,"Follow-up due "&amp;TEXT($M336,"dd/mm/yyyy"),"Checked"))))</f>
        <v/>
      </c>
      <c r="O336" s="52"/>
      <c r="P336" s="52"/>
      <c r="Q336" s="122">
        <f>IF($A336="","",IF(NOT(ISNUMBER($D336)),"Enter start date",IF($D336&gt;=DATE(2026,5,1),IF(ISNUMBER($O336),"Complete","Missing: written terms"),IF(OR(ISNUMBER($P336),ISNUMBER($O336)),"Complete","Missing: Information Sheet (was due 31/05/2026)"))))</f>
        <v/>
      </c>
      <c r="R336" s="52"/>
      <c r="S336" s="82">
        <f>IF(ISNUMBER($R336),$R336+364,IF(ISNUMBER($D336),$D336+364,""))</f>
        <v/>
      </c>
      <c r="T336" s="52"/>
      <c r="U336" s="82">
        <f>IF(ISNUMBER($T336),IF(ISNUMBER($S336),MAX(EDATE($T336,2),$S336),EDATE($T336,2)),"")</f>
        <v/>
      </c>
      <c r="V336" s="52"/>
      <c r="W336" s="52"/>
      <c r="X336" s="121">
        <f>IF(NOT(ISNUMBER($V336)),"",IF(ISNUMBER($W336),IF($W336-$V336&lt;=28,"Answered in time","LATE: answered after day 28"),IF(TODAY()-$V336&gt;28,"OVERDUE: no reply yet","Reply due by "&amp;TEXT($V336+28,"dd/mm/yyyy"))))</f>
        <v/>
      </c>
      <c r="Y336" s="54"/>
    </row>
    <row r="337" spans="1:25">
      <c r="A337" s="54"/>
      <c r="B337" s="54"/>
      <c r="C337" s="51"/>
      <c r="D337" s="52"/>
      <c r="E337" s="120"/>
      <c r="F337" s="120"/>
      <c r="G337" s="52"/>
      <c r="H337" s="52"/>
      <c r="I337" s="52"/>
      <c r="J337" s="121">
        <f>IF(OR($A337="",NOT(ISNUMBER($F337))),"",IF($F337&lt;=0,"No deposit",IF(NOT(ISNUMBER($G337)),"Enter date received",IF(AND(ISNUMBER($H337),ISNUMBER($I337)),IF(MAX($H337,$I337)-$G337&lt;=29,"OK","LATE: protected / info served after day 30"),IF(TODAY()-$G337&gt;29,"OVERDUE: not protected / info not served","Protect + serve info by "&amp;TEXT($G337+29,"dd/mm/yyyy"))))))</f>
        <v/>
      </c>
      <c r="K337" s="97">
        <f>IF(OR(NOT(ISNUMBER($E337)),NOT(ISNUMBER($F337))),"",IF($F337&lt;=$E337*12/52*5,"OK","Over 5 weeks"))</f>
        <v/>
      </c>
      <c r="L337" s="52"/>
      <c r="M337" s="52"/>
      <c r="N337" s="122">
        <f>IF(OR($A337="",NOT(ISNUMBER($L337))),IF($A337="","","Not recorded"),IF(NOT(ISNUMBER($M337)),"Checked (no follow-up)",IF($M337&lt;TODAY(),"OVERDUE: follow-up check",IF($M337-TODAY()&lt;=60,"Follow-up due "&amp;TEXT($M337,"dd/mm/yyyy"),"Checked"))))</f>
        <v/>
      </c>
      <c r="O337" s="52"/>
      <c r="P337" s="52"/>
      <c r="Q337" s="122">
        <f>IF($A337="","",IF(NOT(ISNUMBER($D337)),"Enter start date",IF($D337&gt;=DATE(2026,5,1),IF(ISNUMBER($O337),"Complete","Missing: written terms"),IF(OR(ISNUMBER($P337),ISNUMBER($O337)),"Complete","Missing: Information Sheet (was due 31/05/2026)"))))</f>
        <v/>
      </c>
      <c r="R337" s="52"/>
      <c r="S337" s="82">
        <f>IF(ISNUMBER($R337),$R337+364,IF(ISNUMBER($D337),$D337+364,""))</f>
        <v/>
      </c>
      <c r="T337" s="52"/>
      <c r="U337" s="82">
        <f>IF(ISNUMBER($T337),IF(ISNUMBER($S337),MAX(EDATE($T337,2),$S337),EDATE($T337,2)),"")</f>
        <v/>
      </c>
      <c r="V337" s="52"/>
      <c r="W337" s="52"/>
      <c r="X337" s="121">
        <f>IF(NOT(ISNUMBER($V337)),"",IF(ISNUMBER($W337),IF($W337-$V337&lt;=28,"Answered in time","LATE: answered after day 28"),IF(TODAY()-$V337&gt;28,"OVERDUE: no reply yet","Reply due by "&amp;TEXT($V337+28,"dd/mm/yyyy"))))</f>
        <v/>
      </c>
      <c r="Y337" s="54"/>
    </row>
    <row r="338" spans="1:25">
      <c r="A338" s="54"/>
      <c r="B338" s="54"/>
      <c r="C338" s="51"/>
      <c r="D338" s="52"/>
      <c r="E338" s="120"/>
      <c r="F338" s="120"/>
      <c r="G338" s="52"/>
      <c r="H338" s="52"/>
      <c r="I338" s="52"/>
      <c r="J338" s="121">
        <f>IF(OR($A338="",NOT(ISNUMBER($F338))),"",IF($F338&lt;=0,"No deposit",IF(NOT(ISNUMBER($G338)),"Enter date received",IF(AND(ISNUMBER($H338),ISNUMBER($I338)),IF(MAX($H338,$I338)-$G338&lt;=29,"OK","LATE: protected / info served after day 30"),IF(TODAY()-$G338&gt;29,"OVERDUE: not protected / info not served","Protect + serve info by "&amp;TEXT($G338+29,"dd/mm/yyyy"))))))</f>
        <v/>
      </c>
      <c r="K338" s="97">
        <f>IF(OR(NOT(ISNUMBER($E338)),NOT(ISNUMBER($F338))),"",IF($F338&lt;=$E338*12/52*5,"OK","Over 5 weeks"))</f>
        <v/>
      </c>
      <c r="L338" s="52"/>
      <c r="M338" s="52"/>
      <c r="N338" s="122">
        <f>IF(OR($A338="",NOT(ISNUMBER($L338))),IF($A338="","","Not recorded"),IF(NOT(ISNUMBER($M338)),"Checked (no follow-up)",IF($M338&lt;TODAY(),"OVERDUE: follow-up check",IF($M338-TODAY()&lt;=60,"Follow-up due "&amp;TEXT($M338,"dd/mm/yyyy"),"Checked"))))</f>
        <v/>
      </c>
      <c r="O338" s="52"/>
      <c r="P338" s="52"/>
      <c r="Q338" s="122">
        <f>IF($A338="","",IF(NOT(ISNUMBER($D338)),"Enter start date",IF($D338&gt;=DATE(2026,5,1),IF(ISNUMBER($O338),"Complete","Missing: written terms"),IF(OR(ISNUMBER($P338),ISNUMBER($O338)),"Complete","Missing: Information Sheet (was due 31/05/2026)"))))</f>
        <v/>
      </c>
      <c r="R338" s="52"/>
      <c r="S338" s="82">
        <f>IF(ISNUMBER($R338),$R338+364,IF(ISNUMBER($D338),$D338+364,""))</f>
        <v/>
      </c>
      <c r="T338" s="52"/>
      <c r="U338" s="82">
        <f>IF(ISNUMBER($T338),IF(ISNUMBER($S338),MAX(EDATE($T338,2),$S338),EDATE($T338,2)),"")</f>
        <v/>
      </c>
      <c r="V338" s="52"/>
      <c r="W338" s="52"/>
      <c r="X338" s="121">
        <f>IF(NOT(ISNUMBER($V338)),"",IF(ISNUMBER($W338),IF($W338-$V338&lt;=28,"Answered in time","LATE: answered after day 28"),IF(TODAY()-$V338&gt;28,"OVERDUE: no reply yet","Reply due by "&amp;TEXT($V338+28,"dd/mm/yyyy"))))</f>
        <v/>
      </c>
      <c r="Y338" s="54"/>
    </row>
    <row r="339" spans="1:25">
      <c r="A339" s="54"/>
      <c r="B339" s="54"/>
      <c r="C339" s="51"/>
      <c r="D339" s="52"/>
      <c r="E339" s="120"/>
      <c r="F339" s="120"/>
      <c r="G339" s="52"/>
      <c r="H339" s="52"/>
      <c r="I339" s="52"/>
      <c r="J339" s="121">
        <f>IF(OR($A339="",NOT(ISNUMBER($F339))),"",IF($F339&lt;=0,"No deposit",IF(NOT(ISNUMBER($G339)),"Enter date received",IF(AND(ISNUMBER($H339),ISNUMBER($I339)),IF(MAX($H339,$I339)-$G339&lt;=29,"OK","LATE: protected / info served after day 30"),IF(TODAY()-$G339&gt;29,"OVERDUE: not protected / info not served","Protect + serve info by "&amp;TEXT($G339+29,"dd/mm/yyyy"))))))</f>
        <v/>
      </c>
      <c r="K339" s="97">
        <f>IF(OR(NOT(ISNUMBER($E339)),NOT(ISNUMBER($F339))),"",IF($F339&lt;=$E339*12/52*5,"OK","Over 5 weeks"))</f>
        <v/>
      </c>
      <c r="L339" s="52"/>
      <c r="M339" s="52"/>
      <c r="N339" s="122">
        <f>IF(OR($A339="",NOT(ISNUMBER($L339))),IF($A339="","","Not recorded"),IF(NOT(ISNUMBER($M339)),"Checked (no follow-up)",IF($M339&lt;TODAY(),"OVERDUE: follow-up check",IF($M339-TODAY()&lt;=60,"Follow-up due "&amp;TEXT($M339,"dd/mm/yyyy"),"Checked"))))</f>
        <v/>
      </c>
      <c r="O339" s="52"/>
      <c r="P339" s="52"/>
      <c r="Q339" s="122">
        <f>IF($A339="","",IF(NOT(ISNUMBER($D339)),"Enter start date",IF($D339&gt;=DATE(2026,5,1),IF(ISNUMBER($O339),"Complete","Missing: written terms"),IF(OR(ISNUMBER($P339),ISNUMBER($O339)),"Complete","Missing: Information Sheet (was due 31/05/2026)"))))</f>
        <v/>
      </c>
      <c r="R339" s="52"/>
      <c r="S339" s="82">
        <f>IF(ISNUMBER($R339),$R339+364,IF(ISNUMBER($D339),$D339+364,""))</f>
        <v/>
      </c>
      <c r="T339" s="52"/>
      <c r="U339" s="82">
        <f>IF(ISNUMBER($T339),IF(ISNUMBER($S339),MAX(EDATE($T339,2),$S339),EDATE($T339,2)),"")</f>
        <v/>
      </c>
      <c r="V339" s="52"/>
      <c r="W339" s="52"/>
      <c r="X339" s="121">
        <f>IF(NOT(ISNUMBER($V339)),"",IF(ISNUMBER($W339),IF($W339-$V339&lt;=28,"Answered in time","LATE: answered after day 28"),IF(TODAY()-$V339&gt;28,"OVERDUE: no reply yet","Reply due by "&amp;TEXT($V339+28,"dd/mm/yyyy"))))</f>
        <v/>
      </c>
      <c r="Y339" s="54"/>
    </row>
    <row r="340" spans="1:25">
      <c r="A340" s="54"/>
      <c r="B340" s="54"/>
      <c r="C340" s="51"/>
      <c r="D340" s="52"/>
      <c r="E340" s="120"/>
      <c r="F340" s="120"/>
      <c r="G340" s="52"/>
      <c r="H340" s="52"/>
      <c r="I340" s="52"/>
      <c r="J340" s="121">
        <f>IF(OR($A340="",NOT(ISNUMBER($F340))),"",IF($F340&lt;=0,"No deposit",IF(NOT(ISNUMBER($G340)),"Enter date received",IF(AND(ISNUMBER($H340),ISNUMBER($I340)),IF(MAX($H340,$I340)-$G340&lt;=29,"OK","LATE: protected / info served after day 30"),IF(TODAY()-$G340&gt;29,"OVERDUE: not protected / info not served","Protect + serve info by "&amp;TEXT($G340+29,"dd/mm/yyyy"))))))</f>
        <v/>
      </c>
      <c r="K340" s="97">
        <f>IF(OR(NOT(ISNUMBER($E340)),NOT(ISNUMBER($F340))),"",IF($F340&lt;=$E340*12/52*5,"OK","Over 5 weeks"))</f>
        <v/>
      </c>
      <c r="L340" s="52"/>
      <c r="M340" s="52"/>
      <c r="N340" s="122">
        <f>IF(OR($A340="",NOT(ISNUMBER($L340))),IF($A340="","","Not recorded"),IF(NOT(ISNUMBER($M340)),"Checked (no follow-up)",IF($M340&lt;TODAY(),"OVERDUE: follow-up check",IF($M340-TODAY()&lt;=60,"Follow-up due "&amp;TEXT($M340,"dd/mm/yyyy"),"Checked"))))</f>
        <v/>
      </c>
      <c r="O340" s="52"/>
      <c r="P340" s="52"/>
      <c r="Q340" s="122">
        <f>IF($A340="","",IF(NOT(ISNUMBER($D340)),"Enter start date",IF($D340&gt;=DATE(2026,5,1),IF(ISNUMBER($O340),"Complete","Missing: written terms"),IF(OR(ISNUMBER($P340),ISNUMBER($O340)),"Complete","Missing: Information Sheet (was due 31/05/2026)"))))</f>
        <v/>
      </c>
      <c r="R340" s="52"/>
      <c r="S340" s="82">
        <f>IF(ISNUMBER($R340),$R340+364,IF(ISNUMBER($D340),$D340+364,""))</f>
        <v/>
      </c>
      <c r="T340" s="52"/>
      <c r="U340" s="82">
        <f>IF(ISNUMBER($T340),IF(ISNUMBER($S340),MAX(EDATE($T340,2),$S340),EDATE($T340,2)),"")</f>
        <v/>
      </c>
      <c r="V340" s="52"/>
      <c r="W340" s="52"/>
      <c r="X340" s="121">
        <f>IF(NOT(ISNUMBER($V340)),"",IF(ISNUMBER($W340),IF($W340-$V340&lt;=28,"Answered in time","LATE: answered after day 28"),IF(TODAY()-$V340&gt;28,"OVERDUE: no reply yet","Reply due by "&amp;TEXT($V340+28,"dd/mm/yyyy"))))</f>
        <v/>
      </c>
      <c r="Y340" s="54"/>
    </row>
    <row r="341" spans="1:25">
      <c r="A341" s="54"/>
      <c r="B341" s="54"/>
      <c r="C341" s="51"/>
      <c r="D341" s="52"/>
      <c r="E341" s="120"/>
      <c r="F341" s="120"/>
      <c r="G341" s="52"/>
      <c r="H341" s="52"/>
      <c r="I341" s="52"/>
      <c r="J341" s="121">
        <f>IF(OR($A341="",NOT(ISNUMBER($F341))),"",IF($F341&lt;=0,"No deposit",IF(NOT(ISNUMBER($G341)),"Enter date received",IF(AND(ISNUMBER($H341),ISNUMBER($I341)),IF(MAX($H341,$I341)-$G341&lt;=29,"OK","LATE: protected / info served after day 30"),IF(TODAY()-$G341&gt;29,"OVERDUE: not protected / info not served","Protect + serve info by "&amp;TEXT($G341+29,"dd/mm/yyyy"))))))</f>
        <v/>
      </c>
      <c r="K341" s="97">
        <f>IF(OR(NOT(ISNUMBER($E341)),NOT(ISNUMBER($F341))),"",IF($F341&lt;=$E341*12/52*5,"OK","Over 5 weeks"))</f>
        <v/>
      </c>
      <c r="L341" s="52"/>
      <c r="M341" s="52"/>
      <c r="N341" s="122">
        <f>IF(OR($A341="",NOT(ISNUMBER($L341))),IF($A341="","","Not recorded"),IF(NOT(ISNUMBER($M341)),"Checked (no follow-up)",IF($M341&lt;TODAY(),"OVERDUE: follow-up check",IF($M341-TODAY()&lt;=60,"Follow-up due "&amp;TEXT($M341,"dd/mm/yyyy"),"Checked"))))</f>
        <v/>
      </c>
      <c r="O341" s="52"/>
      <c r="P341" s="52"/>
      <c r="Q341" s="122">
        <f>IF($A341="","",IF(NOT(ISNUMBER($D341)),"Enter start date",IF($D341&gt;=DATE(2026,5,1),IF(ISNUMBER($O341),"Complete","Missing: written terms"),IF(OR(ISNUMBER($P341),ISNUMBER($O341)),"Complete","Missing: Information Sheet (was due 31/05/2026)"))))</f>
        <v/>
      </c>
      <c r="R341" s="52"/>
      <c r="S341" s="82">
        <f>IF(ISNUMBER($R341),$R341+364,IF(ISNUMBER($D341),$D341+364,""))</f>
        <v/>
      </c>
      <c r="T341" s="52"/>
      <c r="U341" s="82">
        <f>IF(ISNUMBER($T341),IF(ISNUMBER($S341),MAX(EDATE($T341,2),$S341),EDATE($T341,2)),"")</f>
        <v/>
      </c>
      <c r="V341" s="52"/>
      <c r="W341" s="52"/>
      <c r="X341" s="121">
        <f>IF(NOT(ISNUMBER($V341)),"",IF(ISNUMBER($W341),IF($W341-$V341&lt;=28,"Answered in time","LATE: answered after day 28"),IF(TODAY()-$V341&gt;28,"OVERDUE: no reply yet","Reply due by "&amp;TEXT($V341+28,"dd/mm/yyyy"))))</f>
        <v/>
      </c>
      <c r="Y341" s="54"/>
    </row>
    <row r="342" spans="1:25">
      <c r="A342" s="54"/>
      <c r="B342" s="54"/>
      <c r="C342" s="51"/>
      <c r="D342" s="52"/>
      <c r="E342" s="120"/>
      <c r="F342" s="120"/>
      <c r="G342" s="52"/>
      <c r="H342" s="52"/>
      <c r="I342" s="52"/>
      <c r="J342" s="121">
        <f>IF(OR($A342="",NOT(ISNUMBER($F342))),"",IF($F342&lt;=0,"No deposit",IF(NOT(ISNUMBER($G342)),"Enter date received",IF(AND(ISNUMBER($H342),ISNUMBER($I342)),IF(MAX($H342,$I342)-$G342&lt;=29,"OK","LATE: protected / info served after day 30"),IF(TODAY()-$G342&gt;29,"OVERDUE: not protected / info not served","Protect + serve info by "&amp;TEXT($G342+29,"dd/mm/yyyy"))))))</f>
        <v/>
      </c>
      <c r="K342" s="97">
        <f>IF(OR(NOT(ISNUMBER($E342)),NOT(ISNUMBER($F342))),"",IF($F342&lt;=$E342*12/52*5,"OK","Over 5 weeks"))</f>
        <v/>
      </c>
      <c r="L342" s="52"/>
      <c r="M342" s="52"/>
      <c r="N342" s="122">
        <f>IF(OR($A342="",NOT(ISNUMBER($L342))),IF($A342="","","Not recorded"),IF(NOT(ISNUMBER($M342)),"Checked (no follow-up)",IF($M342&lt;TODAY(),"OVERDUE: follow-up check",IF($M342-TODAY()&lt;=60,"Follow-up due "&amp;TEXT($M342,"dd/mm/yyyy"),"Checked"))))</f>
        <v/>
      </c>
      <c r="O342" s="52"/>
      <c r="P342" s="52"/>
      <c r="Q342" s="122">
        <f>IF($A342="","",IF(NOT(ISNUMBER($D342)),"Enter start date",IF($D342&gt;=DATE(2026,5,1),IF(ISNUMBER($O342),"Complete","Missing: written terms"),IF(OR(ISNUMBER($P342),ISNUMBER($O342)),"Complete","Missing: Information Sheet (was due 31/05/2026)"))))</f>
        <v/>
      </c>
      <c r="R342" s="52"/>
      <c r="S342" s="82">
        <f>IF(ISNUMBER($R342),$R342+364,IF(ISNUMBER($D342),$D342+364,""))</f>
        <v/>
      </c>
      <c r="T342" s="52"/>
      <c r="U342" s="82">
        <f>IF(ISNUMBER($T342),IF(ISNUMBER($S342),MAX(EDATE($T342,2),$S342),EDATE($T342,2)),"")</f>
        <v/>
      </c>
      <c r="V342" s="52"/>
      <c r="W342" s="52"/>
      <c r="X342" s="121">
        <f>IF(NOT(ISNUMBER($V342)),"",IF(ISNUMBER($W342),IF($W342-$V342&lt;=28,"Answered in time","LATE: answered after day 28"),IF(TODAY()-$V342&gt;28,"OVERDUE: no reply yet","Reply due by "&amp;TEXT($V342+28,"dd/mm/yyyy"))))</f>
        <v/>
      </c>
      <c r="Y342" s="54"/>
    </row>
    <row r="343" spans="1:25">
      <c r="A343" s="54"/>
      <c r="B343" s="54"/>
      <c r="C343" s="51"/>
      <c r="D343" s="52"/>
      <c r="E343" s="120"/>
      <c r="F343" s="120"/>
      <c r="G343" s="52"/>
      <c r="H343" s="52"/>
      <c r="I343" s="52"/>
      <c r="J343" s="121">
        <f>IF(OR($A343="",NOT(ISNUMBER($F343))),"",IF($F343&lt;=0,"No deposit",IF(NOT(ISNUMBER($G343)),"Enter date received",IF(AND(ISNUMBER($H343),ISNUMBER($I343)),IF(MAX($H343,$I343)-$G343&lt;=29,"OK","LATE: protected / info served after day 30"),IF(TODAY()-$G343&gt;29,"OVERDUE: not protected / info not served","Protect + serve info by "&amp;TEXT($G343+29,"dd/mm/yyyy"))))))</f>
        <v/>
      </c>
      <c r="K343" s="97">
        <f>IF(OR(NOT(ISNUMBER($E343)),NOT(ISNUMBER($F343))),"",IF($F343&lt;=$E343*12/52*5,"OK","Over 5 weeks"))</f>
        <v/>
      </c>
      <c r="L343" s="52"/>
      <c r="M343" s="52"/>
      <c r="N343" s="122">
        <f>IF(OR($A343="",NOT(ISNUMBER($L343))),IF($A343="","","Not recorded"),IF(NOT(ISNUMBER($M343)),"Checked (no follow-up)",IF($M343&lt;TODAY(),"OVERDUE: follow-up check",IF($M343-TODAY()&lt;=60,"Follow-up due "&amp;TEXT($M343,"dd/mm/yyyy"),"Checked"))))</f>
        <v/>
      </c>
      <c r="O343" s="52"/>
      <c r="P343" s="52"/>
      <c r="Q343" s="122">
        <f>IF($A343="","",IF(NOT(ISNUMBER($D343)),"Enter start date",IF($D343&gt;=DATE(2026,5,1),IF(ISNUMBER($O343),"Complete","Missing: written terms"),IF(OR(ISNUMBER($P343),ISNUMBER($O343)),"Complete","Missing: Information Sheet (was due 31/05/2026)"))))</f>
        <v/>
      </c>
      <c r="R343" s="52"/>
      <c r="S343" s="82">
        <f>IF(ISNUMBER($R343),$R343+364,IF(ISNUMBER($D343),$D343+364,""))</f>
        <v/>
      </c>
      <c r="T343" s="52"/>
      <c r="U343" s="82">
        <f>IF(ISNUMBER($T343),IF(ISNUMBER($S343),MAX(EDATE($T343,2),$S343),EDATE($T343,2)),"")</f>
        <v/>
      </c>
      <c r="V343" s="52"/>
      <c r="W343" s="52"/>
      <c r="X343" s="121">
        <f>IF(NOT(ISNUMBER($V343)),"",IF(ISNUMBER($W343),IF($W343-$V343&lt;=28,"Answered in time","LATE: answered after day 28"),IF(TODAY()-$V343&gt;28,"OVERDUE: no reply yet","Reply due by "&amp;TEXT($V343+28,"dd/mm/yyyy"))))</f>
        <v/>
      </c>
      <c r="Y343" s="54"/>
    </row>
    <row r="344" spans="1:25">
      <c r="A344" s="54"/>
      <c r="B344" s="54"/>
      <c r="C344" s="51"/>
      <c r="D344" s="52"/>
      <c r="E344" s="120"/>
      <c r="F344" s="120"/>
      <c r="G344" s="52"/>
      <c r="H344" s="52"/>
      <c r="I344" s="52"/>
      <c r="J344" s="121">
        <f>IF(OR($A344="",NOT(ISNUMBER($F344))),"",IF($F344&lt;=0,"No deposit",IF(NOT(ISNUMBER($G344)),"Enter date received",IF(AND(ISNUMBER($H344),ISNUMBER($I344)),IF(MAX($H344,$I344)-$G344&lt;=29,"OK","LATE: protected / info served after day 30"),IF(TODAY()-$G344&gt;29,"OVERDUE: not protected / info not served","Protect + serve info by "&amp;TEXT($G344+29,"dd/mm/yyyy"))))))</f>
        <v/>
      </c>
      <c r="K344" s="97">
        <f>IF(OR(NOT(ISNUMBER($E344)),NOT(ISNUMBER($F344))),"",IF($F344&lt;=$E344*12/52*5,"OK","Over 5 weeks"))</f>
        <v/>
      </c>
      <c r="L344" s="52"/>
      <c r="M344" s="52"/>
      <c r="N344" s="122">
        <f>IF(OR($A344="",NOT(ISNUMBER($L344))),IF($A344="","","Not recorded"),IF(NOT(ISNUMBER($M344)),"Checked (no follow-up)",IF($M344&lt;TODAY(),"OVERDUE: follow-up check",IF($M344-TODAY()&lt;=60,"Follow-up due "&amp;TEXT($M344,"dd/mm/yyyy"),"Checked"))))</f>
        <v/>
      </c>
      <c r="O344" s="52"/>
      <c r="P344" s="52"/>
      <c r="Q344" s="122">
        <f>IF($A344="","",IF(NOT(ISNUMBER($D344)),"Enter start date",IF($D344&gt;=DATE(2026,5,1),IF(ISNUMBER($O344),"Complete","Missing: written terms"),IF(OR(ISNUMBER($P344),ISNUMBER($O344)),"Complete","Missing: Information Sheet (was due 31/05/2026)"))))</f>
        <v/>
      </c>
      <c r="R344" s="52"/>
      <c r="S344" s="82">
        <f>IF(ISNUMBER($R344),$R344+364,IF(ISNUMBER($D344),$D344+364,""))</f>
        <v/>
      </c>
      <c r="T344" s="52"/>
      <c r="U344" s="82">
        <f>IF(ISNUMBER($T344),IF(ISNUMBER($S344),MAX(EDATE($T344,2),$S344),EDATE($T344,2)),"")</f>
        <v/>
      </c>
      <c r="V344" s="52"/>
      <c r="W344" s="52"/>
      <c r="X344" s="121">
        <f>IF(NOT(ISNUMBER($V344)),"",IF(ISNUMBER($W344),IF($W344-$V344&lt;=28,"Answered in time","LATE: answered after day 28"),IF(TODAY()-$V344&gt;28,"OVERDUE: no reply yet","Reply due by "&amp;TEXT($V344+28,"dd/mm/yyyy"))))</f>
        <v/>
      </c>
      <c r="Y344" s="54"/>
    </row>
    <row r="345" spans="1:25">
      <c r="A345" s="54"/>
      <c r="B345" s="54"/>
      <c r="C345" s="51"/>
      <c r="D345" s="52"/>
      <c r="E345" s="120"/>
      <c r="F345" s="120"/>
      <c r="G345" s="52"/>
      <c r="H345" s="52"/>
      <c r="I345" s="52"/>
      <c r="J345" s="121">
        <f>IF(OR($A345="",NOT(ISNUMBER($F345))),"",IF($F345&lt;=0,"No deposit",IF(NOT(ISNUMBER($G345)),"Enter date received",IF(AND(ISNUMBER($H345),ISNUMBER($I345)),IF(MAX($H345,$I345)-$G345&lt;=29,"OK","LATE: protected / info served after day 30"),IF(TODAY()-$G345&gt;29,"OVERDUE: not protected / info not served","Protect + serve info by "&amp;TEXT($G345+29,"dd/mm/yyyy"))))))</f>
        <v/>
      </c>
      <c r="K345" s="97">
        <f>IF(OR(NOT(ISNUMBER($E345)),NOT(ISNUMBER($F345))),"",IF($F345&lt;=$E345*12/52*5,"OK","Over 5 weeks"))</f>
        <v/>
      </c>
      <c r="L345" s="52"/>
      <c r="M345" s="52"/>
      <c r="N345" s="122">
        <f>IF(OR($A345="",NOT(ISNUMBER($L345))),IF($A345="","","Not recorded"),IF(NOT(ISNUMBER($M345)),"Checked (no follow-up)",IF($M345&lt;TODAY(),"OVERDUE: follow-up check",IF($M345-TODAY()&lt;=60,"Follow-up due "&amp;TEXT($M345,"dd/mm/yyyy"),"Checked"))))</f>
        <v/>
      </c>
      <c r="O345" s="52"/>
      <c r="P345" s="52"/>
      <c r="Q345" s="122">
        <f>IF($A345="","",IF(NOT(ISNUMBER($D345)),"Enter start date",IF($D345&gt;=DATE(2026,5,1),IF(ISNUMBER($O345),"Complete","Missing: written terms"),IF(OR(ISNUMBER($P345),ISNUMBER($O345)),"Complete","Missing: Information Sheet (was due 31/05/2026)"))))</f>
        <v/>
      </c>
      <c r="R345" s="52"/>
      <c r="S345" s="82">
        <f>IF(ISNUMBER($R345),$R345+364,IF(ISNUMBER($D345),$D345+364,""))</f>
        <v/>
      </c>
      <c r="T345" s="52"/>
      <c r="U345" s="82">
        <f>IF(ISNUMBER($T345),IF(ISNUMBER($S345),MAX(EDATE($T345,2),$S345),EDATE($T345,2)),"")</f>
        <v/>
      </c>
      <c r="V345" s="52"/>
      <c r="W345" s="52"/>
      <c r="X345" s="121">
        <f>IF(NOT(ISNUMBER($V345)),"",IF(ISNUMBER($W345),IF($W345-$V345&lt;=28,"Answered in time","LATE: answered after day 28"),IF(TODAY()-$V345&gt;28,"OVERDUE: no reply yet","Reply due by "&amp;TEXT($V345+28,"dd/mm/yyyy"))))</f>
        <v/>
      </c>
      <c r="Y345" s="54"/>
    </row>
    <row r="346" spans="1:25">
      <c r="A346" s="54"/>
      <c r="B346" s="54"/>
      <c r="C346" s="51"/>
      <c r="D346" s="52"/>
      <c r="E346" s="120"/>
      <c r="F346" s="120"/>
      <c r="G346" s="52"/>
      <c r="H346" s="52"/>
      <c r="I346" s="52"/>
      <c r="J346" s="121">
        <f>IF(OR($A346="",NOT(ISNUMBER($F346))),"",IF($F346&lt;=0,"No deposit",IF(NOT(ISNUMBER($G346)),"Enter date received",IF(AND(ISNUMBER($H346),ISNUMBER($I346)),IF(MAX($H346,$I346)-$G346&lt;=29,"OK","LATE: protected / info served after day 30"),IF(TODAY()-$G346&gt;29,"OVERDUE: not protected / info not served","Protect + serve info by "&amp;TEXT($G346+29,"dd/mm/yyyy"))))))</f>
        <v/>
      </c>
      <c r="K346" s="97">
        <f>IF(OR(NOT(ISNUMBER($E346)),NOT(ISNUMBER($F346))),"",IF($F346&lt;=$E346*12/52*5,"OK","Over 5 weeks"))</f>
        <v/>
      </c>
      <c r="L346" s="52"/>
      <c r="M346" s="52"/>
      <c r="N346" s="122">
        <f>IF(OR($A346="",NOT(ISNUMBER($L346))),IF($A346="","","Not recorded"),IF(NOT(ISNUMBER($M346)),"Checked (no follow-up)",IF($M346&lt;TODAY(),"OVERDUE: follow-up check",IF($M346-TODAY()&lt;=60,"Follow-up due "&amp;TEXT($M346,"dd/mm/yyyy"),"Checked"))))</f>
        <v/>
      </c>
      <c r="O346" s="52"/>
      <c r="P346" s="52"/>
      <c r="Q346" s="122">
        <f>IF($A346="","",IF(NOT(ISNUMBER($D346)),"Enter start date",IF($D346&gt;=DATE(2026,5,1),IF(ISNUMBER($O346),"Complete","Missing: written terms"),IF(OR(ISNUMBER($P346),ISNUMBER($O346)),"Complete","Missing: Information Sheet (was due 31/05/2026)"))))</f>
        <v/>
      </c>
      <c r="R346" s="52"/>
      <c r="S346" s="82">
        <f>IF(ISNUMBER($R346),$R346+364,IF(ISNUMBER($D346),$D346+364,""))</f>
        <v/>
      </c>
      <c r="T346" s="52"/>
      <c r="U346" s="82">
        <f>IF(ISNUMBER($T346),IF(ISNUMBER($S346),MAX(EDATE($T346,2),$S346),EDATE($T346,2)),"")</f>
        <v/>
      </c>
      <c r="V346" s="52"/>
      <c r="W346" s="52"/>
      <c r="X346" s="121">
        <f>IF(NOT(ISNUMBER($V346)),"",IF(ISNUMBER($W346),IF($W346-$V346&lt;=28,"Answered in time","LATE: answered after day 28"),IF(TODAY()-$V346&gt;28,"OVERDUE: no reply yet","Reply due by "&amp;TEXT($V346+28,"dd/mm/yyyy"))))</f>
        <v/>
      </c>
      <c r="Y346" s="54"/>
    </row>
    <row r="347" spans="1:25">
      <c r="A347" s="54"/>
      <c r="B347" s="54"/>
      <c r="C347" s="51"/>
      <c r="D347" s="52"/>
      <c r="E347" s="120"/>
      <c r="F347" s="120"/>
      <c r="G347" s="52"/>
      <c r="H347" s="52"/>
      <c r="I347" s="52"/>
      <c r="J347" s="121">
        <f>IF(OR($A347="",NOT(ISNUMBER($F347))),"",IF($F347&lt;=0,"No deposit",IF(NOT(ISNUMBER($G347)),"Enter date received",IF(AND(ISNUMBER($H347),ISNUMBER($I347)),IF(MAX($H347,$I347)-$G347&lt;=29,"OK","LATE: protected / info served after day 30"),IF(TODAY()-$G347&gt;29,"OVERDUE: not protected / info not served","Protect + serve info by "&amp;TEXT($G347+29,"dd/mm/yyyy"))))))</f>
        <v/>
      </c>
      <c r="K347" s="97">
        <f>IF(OR(NOT(ISNUMBER($E347)),NOT(ISNUMBER($F347))),"",IF($F347&lt;=$E347*12/52*5,"OK","Over 5 weeks"))</f>
        <v/>
      </c>
      <c r="L347" s="52"/>
      <c r="M347" s="52"/>
      <c r="N347" s="122">
        <f>IF(OR($A347="",NOT(ISNUMBER($L347))),IF($A347="","","Not recorded"),IF(NOT(ISNUMBER($M347)),"Checked (no follow-up)",IF($M347&lt;TODAY(),"OVERDUE: follow-up check",IF($M347-TODAY()&lt;=60,"Follow-up due "&amp;TEXT($M347,"dd/mm/yyyy"),"Checked"))))</f>
        <v/>
      </c>
      <c r="O347" s="52"/>
      <c r="P347" s="52"/>
      <c r="Q347" s="122">
        <f>IF($A347="","",IF(NOT(ISNUMBER($D347)),"Enter start date",IF($D347&gt;=DATE(2026,5,1),IF(ISNUMBER($O347),"Complete","Missing: written terms"),IF(OR(ISNUMBER($P347),ISNUMBER($O347)),"Complete","Missing: Information Sheet (was due 31/05/2026)"))))</f>
        <v/>
      </c>
      <c r="R347" s="52"/>
      <c r="S347" s="82">
        <f>IF(ISNUMBER($R347),$R347+364,IF(ISNUMBER($D347),$D347+364,""))</f>
        <v/>
      </c>
      <c r="T347" s="52"/>
      <c r="U347" s="82">
        <f>IF(ISNUMBER($T347),IF(ISNUMBER($S347),MAX(EDATE($T347,2),$S347),EDATE($T347,2)),"")</f>
        <v/>
      </c>
      <c r="V347" s="52"/>
      <c r="W347" s="52"/>
      <c r="X347" s="121">
        <f>IF(NOT(ISNUMBER($V347)),"",IF(ISNUMBER($W347),IF($W347-$V347&lt;=28,"Answered in time","LATE: answered after day 28"),IF(TODAY()-$V347&gt;28,"OVERDUE: no reply yet","Reply due by "&amp;TEXT($V347+28,"dd/mm/yyyy"))))</f>
        <v/>
      </c>
      <c r="Y347" s="54"/>
    </row>
    <row r="348" spans="1:25">
      <c r="A348" s="54"/>
      <c r="B348" s="54"/>
      <c r="C348" s="51"/>
      <c r="D348" s="52"/>
      <c r="E348" s="120"/>
      <c r="F348" s="120"/>
      <c r="G348" s="52"/>
      <c r="H348" s="52"/>
      <c r="I348" s="52"/>
      <c r="J348" s="121">
        <f>IF(OR($A348="",NOT(ISNUMBER($F348))),"",IF($F348&lt;=0,"No deposit",IF(NOT(ISNUMBER($G348)),"Enter date received",IF(AND(ISNUMBER($H348),ISNUMBER($I348)),IF(MAX($H348,$I348)-$G348&lt;=29,"OK","LATE: protected / info served after day 30"),IF(TODAY()-$G348&gt;29,"OVERDUE: not protected / info not served","Protect + serve info by "&amp;TEXT($G348+29,"dd/mm/yyyy"))))))</f>
        <v/>
      </c>
      <c r="K348" s="97">
        <f>IF(OR(NOT(ISNUMBER($E348)),NOT(ISNUMBER($F348))),"",IF($F348&lt;=$E348*12/52*5,"OK","Over 5 weeks"))</f>
        <v/>
      </c>
      <c r="L348" s="52"/>
      <c r="M348" s="52"/>
      <c r="N348" s="122">
        <f>IF(OR($A348="",NOT(ISNUMBER($L348))),IF($A348="","","Not recorded"),IF(NOT(ISNUMBER($M348)),"Checked (no follow-up)",IF($M348&lt;TODAY(),"OVERDUE: follow-up check",IF($M348-TODAY()&lt;=60,"Follow-up due "&amp;TEXT($M348,"dd/mm/yyyy"),"Checked"))))</f>
        <v/>
      </c>
      <c r="O348" s="52"/>
      <c r="P348" s="52"/>
      <c r="Q348" s="122">
        <f>IF($A348="","",IF(NOT(ISNUMBER($D348)),"Enter start date",IF($D348&gt;=DATE(2026,5,1),IF(ISNUMBER($O348),"Complete","Missing: written terms"),IF(OR(ISNUMBER($P348),ISNUMBER($O348)),"Complete","Missing: Information Sheet (was due 31/05/2026)"))))</f>
        <v/>
      </c>
      <c r="R348" s="52"/>
      <c r="S348" s="82">
        <f>IF(ISNUMBER($R348),$R348+364,IF(ISNUMBER($D348),$D348+364,""))</f>
        <v/>
      </c>
      <c r="T348" s="52"/>
      <c r="U348" s="82">
        <f>IF(ISNUMBER($T348),IF(ISNUMBER($S348),MAX(EDATE($T348,2),$S348),EDATE($T348,2)),"")</f>
        <v/>
      </c>
      <c r="V348" s="52"/>
      <c r="W348" s="52"/>
      <c r="X348" s="121">
        <f>IF(NOT(ISNUMBER($V348)),"",IF(ISNUMBER($W348),IF($W348-$V348&lt;=28,"Answered in time","LATE: answered after day 28"),IF(TODAY()-$V348&gt;28,"OVERDUE: no reply yet","Reply due by "&amp;TEXT($V348+28,"dd/mm/yyyy"))))</f>
        <v/>
      </c>
      <c r="Y348" s="54"/>
    </row>
    <row r="349" spans="1:25">
      <c r="A349" s="54"/>
      <c r="B349" s="54"/>
      <c r="C349" s="51"/>
      <c r="D349" s="52"/>
      <c r="E349" s="120"/>
      <c r="F349" s="120"/>
      <c r="G349" s="52"/>
      <c r="H349" s="52"/>
      <c r="I349" s="52"/>
      <c r="J349" s="121">
        <f>IF(OR($A349="",NOT(ISNUMBER($F349))),"",IF($F349&lt;=0,"No deposit",IF(NOT(ISNUMBER($G349)),"Enter date received",IF(AND(ISNUMBER($H349),ISNUMBER($I349)),IF(MAX($H349,$I349)-$G349&lt;=29,"OK","LATE: protected / info served after day 30"),IF(TODAY()-$G349&gt;29,"OVERDUE: not protected / info not served","Protect + serve info by "&amp;TEXT($G349+29,"dd/mm/yyyy"))))))</f>
        <v/>
      </c>
      <c r="K349" s="97">
        <f>IF(OR(NOT(ISNUMBER($E349)),NOT(ISNUMBER($F349))),"",IF($F349&lt;=$E349*12/52*5,"OK","Over 5 weeks"))</f>
        <v/>
      </c>
      <c r="L349" s="52"/>
      <c r="M349" s="52"/>
      <c r="N349" s="122">
        <f>IF(OR($A349="",NOT(ISNUMBER($L349))),IF($A349="","","Not recorded"),IF(NOT(ISNUMBER($M349)),"Checked (no follow-up)",IF($M349&lt;TODAY(),"OVERDUE: follow-up check",IF($M349-TODAY()&lt;=60,"Follow-up due "&amp;TEXT($M349,"dd/mm/yyyy"),"Checked"))))</f>
        <v/>
      </c>
      <c r="O349" s="52"/>
      <c r="P349" s="52"/>
      <c r="Q349" s="122">
        <f>IF($A349="","",IF(NOT(ISNUMBER($D349)),"Enter start date",IF($D349&gt;=DATE(2026,5,1),IF(ISNUMBER($O349),"Complete","Missing: written terms"),IF(OR(ISNUMBER($P349),ISNUMBER($O349)),"Complete","Missing: Information Sheet (was due 31/05/2026)"))))</f>
        <v/>
      </c>
      <c r="R349" s="52"/>
      <c r="S349" s="82">
        <f>IF(ISNUMBER($R349),$R349+364,IF(ISNUMBER($D349),$D349+364,""))</f>
        <v/>
      </c>
      <c r="T349" s="52"/>
      <c r="U349" s="82">
        <f>IF(ISNUMBER($T349),IF(ISNUMBER($S349),MAX(EDATE($T349,2),$S349),EDATE($T349,2)),"")</f>
        <v/>
      </c>
      <c r="V349" s="52"/>
      <c r="W349" s="52"/>
      <c r="X349" s="121">
        <f>IF(NOT(ISNUMBER($V349)),"",IF(ISNUMBER($W349),IF($W349-$V349&lt;=28,"Answered in time","LATE: answered after day 28"),IF(TODAY()-$V349&gt;28,"OVERDUE: no reply yet","Reply due by "&amp;TEXT($V349+28,"dd/mm/yyyy"))))</f>
        <v/>
      </c>
      <c r="Y349" s="54"/>
    </row>
    <row r="350" spans="1:25">
      <c r="A350" s="54"/>
      <c r="B350" s="54"/>
      <c r="C350" s="51"/>
      <c r="D350" s="52"/>
      <c r="E350" s="120"/>
      <c r="F350" s="120"/>
      <c r="G350" s="52"/>
      <c r="H350" s="52"/>
      <c r="I350" s="52"/>
      <c r="J350" s="121">
        <f>IF(OR($A350="",NOT(ISNUMBER($F350))),"",IF($F350&lt;=0,"No deposit",IF(NOT(ISNUMBER($G350)),"Enter date received",IF(AND(ISNUMBER($H350),ISNUMBER($I350)),IF(MAX($H350,$I350)-$G350&lt;=29,"OK","LATE: protected / info served after day 30"),IF(TODAY()-$G350&gt;29,"OVERDUE: not protected / info not served","Protect + serve info by "&amp;TEXT($G350+29,"dd/mm/yyyy"))))))</f>
        <v/>
      </c>
      <c r="K350" s="97">
        <f>IF(OR(NOT(ISNUMBER($E350)),NOT(ISNUMBER($F350))),"",IF($F350&lt;=$E350*12/52*5,"OK","Over 5 weeks"))</f>
        <v/>
      </c>
      <c r="L350" s="52"/>
      <c r="M350" s="52"/>
      <c r="N350" s="122">
        <f>IF(OR($A350="",NOT(ISNUMBER($L350))),IF($A350="","","Not recorded"),IF(NOT(ISNUMBER($M350)),"Checked (no follow-up)",IF($M350&lt;TODAY(),"OVERDUE: follow-up check",IF($M350-TODAY()&lt;=60,"Follow-up due "&amp;TEXT($M350,"dd/mm/yyyy"),"Checked"))))</f>
        <v/>
      </c>
      <c r="O350" s="52"/>
      <c r="P350" s="52"/>
      <c r="Q350" s="122">
        <f>IF($A350="","",IF(NOT(ISNUMBER($D350)),"Enter start date",IF($D350&gt;=DATE(2026,5,1),IF(ISNUMBER($O350),"Complete","Missing: written terms"),IF(OR(ISNUMBER($P350),ISNUMBER($O350)),"Complete","Missing: Information Sheet (was due 31/05/2026)"))))</f>
        <v/>
      </c>
      <c r="R350" s="52"/>
      <c r="S350" s="82">
        <f>IF(ISNUMBER($R350),$R350+364,IF(ISNUMBER($D350),$D350+364,""))</f>
        <v/>
      </c>
      <c r="T350" s="52"/>
      <c r="U350" s="82">
        <f>IF(ISNUMBER($T350),IF(ISNUMBER($S350),MAX(EDATE($T350,2),$S350),EDATE($T350,2)),"")</f>
        <v/>
      </c>
      <c r="V350" s="52"/>
      <c r="W350" s="52"/>
      <c r="X350" s="121">
        <f>IF(NOT(ISNUMBER($V350)),"",IF(ISNUMBER($W350),IF($W350-$V350&lt;=28,"Answered in time","LATE: answered after day 28"),IF(TODAY()-$V350&gt;28,"OVERDUE: no reply yet","Reply due by "&amp;TEXT($V350+28,"dd/mm/yyyy"))))</f>
        <v/>
      </c>
      <c r="Y350" s="54"/>
    </row>
    <row r="351" spans="1:25">
      <c r="A351" s="54"/>
      <c r="B351" s="54"/>
      <c r="C351" s="51"/>
      <c r="D351" s="52"/>
      <c r="E351" s="120"/>
      <c r="F351" s="120"/>
      <c r="G351" s="52"/>
      <c r="H351" s="52"/>
      <c r="I351" s="52"/>
      <c r="J351" s="121">
        <f>IF(OR($A351="",NOT(ISNUMBER($F351))),"",IF($F351&lt;=0,"No deposit",IF(NOT(ISNUMBER($G351)),"Enter date received",IF(AND(ISNUMBER($H351),ISNUMBER($I351)),IF(MAX($H351,$I351)-$G351&lt;=29,"OK","LATE: protected / info served after day 30"),IF(TODAY()-$G351&gt;29,"OVERDUE: not protected / info not served","Protect + serve info by "&amp;TEXT($G351+29,"dd/mm/yyyy"))))))</f>
        <v/>
      </c>
      <c r="K351" s="97">
        <f>IF(OR(NOT(ISNUMBER($E351)),NOT(ISNUMBER($F351))),"",IF($F351&lt;=$E351*12/52*5,"OK","Over 5 weeks"))</f>
        <v/>
      </c>
      <c r="L351" s="52"/>
      <c r="M351" s="52"/>
      <c r="N351" s="122">
        <f>IF(OR($A351="",NOT(ISNUMBER($L351))),IF($A351="","","Not recorded"),IF(NOT(ISNUMBER($M351)),"Checked (no follow-up)",IF($M351&lt;TODAY(),"OVERDUE: follow-up check",IF($M351-TODAY()&lt;=60,"Follow-up due "&amp;TEXT($M351,"dd/mm/yyyy"),"Checked"))))</f>
        <v/>
      </c>
      <c r="O351" s="52"/>
      <c r="P351" s="52"/>
      <c r="Q351" s="122">
        <f>IF($A351="","",IF(NOT(ISNUMBER($D351)),"Enter start date",IF($D351&gt;=DATE(2026,5,1),IF(ISNUMBER($O351),"Complete","Missing: written terms"),IF(OR(ISNUMBER($P351),ISNUMBER($O351)),"Complete","Missing: Information Sheet (was due 31/05/2026)"))))</f>
        <v/>
      </c>
      <c r="R351" s="52"/>
      <c r="S351" s="82">
        <f>IF(ISNUMBER($R351),$R351+364,IF(ISNUMBER($D351),$D351+364,""))</f>
        <v/>
      </c>
      <c r="T351" s="52"/>
      <c r="U351" s="82">
        <f>IF(ISNUMBER($T351),IF(ISNUMBER($S351),MAX(EDATE($T351,2),$S351),EDATE($T351,2)),"")</f>
        <v/>
      </c>
      <c r="V351" s="52"/>
      <c r="W351" s="52"/>
      <c r="X351" s="121">
        <f>IF(NOT(ISNUMBER($V351)),"",IF(ISNUMBER($W351),IF($W351-$V351&lt;=28,"Answered in time","LATE: answered after day 28"),IF(TODAY()-$V351&gt;28,"OVERDUE: no reply yet","Reply due by "&amp;TEXT($V351+28,"dd/mm/yyyy"))))</f>
        <v/>
      </c>
      <c r="Y351" s="54"/>
    </row>
    <row r="352" spans="1:25">
      <c r="A352" s="54"/>
      <c r="B352" s="54"/>
      <c r="C352" s="51"/>
      <c r="D352" s="52"/>
      <c r="E352" s="120"/>
      <c r="F352" s="120"/>
      <c r="G352" s="52"/>
      <c r="H352" s="52"/>
      <c r="I352" s="52"/>
      <c r="J352" s="121">
        <f>IF(OR($A352="",NOT(ISNUMBER($F352))),"",IF($F352&lt;=0,"No deposit",IF(NOT(ISNUMBER($G352)),"Enter date received",IF(AND(ISNUMBER($H352),ISNUMBER($I352)),IF(MAX($H352,$I352)-$G352&lt;=29,"OK","LATE: protected / info served after day 30"),IF(TODAY()-$G352&gt;29,"OVERDUE: not protected / info not served","Protect + serve info by "&amp;TEXT($G352+29,"dd/mm/yyyy"))))))</f>
        <v/>
      </c>
      <c r="K352" s="97">
        <f>IF(OR(NOT(ISNUMBER($E352)),NOT(ISNUMBER($F352))),"",IF($F352&lt;=$E352*12/52*5,"OK","Over 5 weeks"))</f>
        <v/>
      </c>
      <c r="L352" s="52"/>
      <c r="M352" s="52"/>
      <c r="N352" s="122">
        <f>IF(OR($A352="",NOT(ISNUMBER($L352))),IF($A352="","","Not recorded"),IF(NOT(ISNUMBER($M352)),"Checked (no follow-up)",IF($M352&lt;TODAY(),"OVERDUE: follow-up check",IF($M352-TODAY()&lt;=60,"Follow-up due "&amp;TEXT($M352,"dd/mm/yyyy"),"Checked"))))</f>
        <v/>
      </c>
      <c r="O352" s="52"/>
      <c r="P352" s="52"/>
      <c r="Q352" s="122">
        <f>IF($A352="","",IF(NOT(ISNUMBER($D352)),"Enter start date",IF($D352&gt;=DATE(2026,5,1),IF(ISNUMBER($O352),"Complete","Missing: written terms"),IF(OR(ISNUMBER($P352),ISNUMBER($O352)),"Complete","Missing: Information Sheet (was due 31/05/2026)"))))</f>
        <v/>
      </c>
      <c r="R352" s="52"/>
      <c r="S352" s="82">
        <f>IF(ISNUMBER($R352),$R352+364,IF(ISNUMBER($D352),$D352+364,""))</f>
        <v/>
      </c>
      <c r="T352" s="52"/>
      <c r="U352" s="82">
        <f>IF(ISNUMBER($T352),IF(ISNUMBER($S352),MAX(EDATE($T352,2),$S352),EDATE($T352,2)),"")</f>
        <v/>
      </c>
      <c r="V352" s="52"/>
      <c r="W352" s="52"/>
      <c r="X352" s="121">
        <f>IF(NOT(ISNUMBER($V352)),"",IF(ISNUMBER($W352),IF($W352-$V352&lt;=28,"Answered in time","LATE: answered after day 28"),IF(TODAY()-$V352&gt;28,"OVERDUE: no reply yet","Reply due by "&amp;TEXT($V352+28,"dd/mm/yyyy"))))</f>
        <v/>
      </c>
      <c r="Y352" s="54"/>
    </row>
    <row r="353" spans="1:25">
      <c r="A353" s="54"/>
      <c r="B353" s="54"/>
      <c r="C353" s="51"/>
      <c r="D353" s="52"/>
      <c r="E353" s="120"/>
      <c r="F353" s="120"/>
      <c r="G353" s="52"/>
      <c r="H353" s="52"/>
      <c r="I353" s="52"/>
      <c r="J353" s="121">
        <f>IF(OR($A353="",NOT(ISNUMBER($F353))),"",IF($F353&lt;=0,"No deposit",IF(NOT(ISNUMBER($G353)),"Enter date received",IF(AND(ISNUMBER($H353),ISNUMBER($I353)),IF(MAX($H353,$I353)-$G353&lt;=29,"OK","LATE: protected / info served after day 30"),IF(TODAY()-$G353&gt;29,"OVERDUE: not protected / info not served","Protect + serve info by "&amp;TEXT($G353+29,"dd/mm/yyyy"))))))</f>
        <v/>
      </c>
      <c r="K353" s="97">
        <f>IF(OR(NOT(ISNUMBER($E353)),NOT(ISNUMBER($F353))),"",IF($F353&lt;=$E353*12/52*5,"OK","Over 5 weeks"))</f>
        <v/>
      </c>
      <c r="L353" s="52"/>
      <c r="M353" s="52"/>
      <c r="N353" s="122">
        <f>IF(OR($A353="",NOT(ISNUMBER($L353))),IF($A353="","","Not recorded"),IF(NOT(ISNUMBER($M353)),"Checked (no follow-up)",IF($M353&lt;TODAY(),"OVERDUE: follow-up check",IF($M353-TODAY()&lt;=60,"Follow-up due "&amp;TEXT($M353,"dd/mm/yyyy"),"Checked"))))</f>
        <v/>
      </c>
      <c r="O353" s="52"/>
      <c r="P353" s="52"/>
      <c r="Q353" s="122">
        <f>IF($A353="","",IF(NOT(ISNUMBER($D353)),"Enter start date",IF($D353&gt;=DATE(2026,5,1),IF(ISNUMBER($O353),"Complete","Missing: written terms"),IF(OR(ISNUMBER($P353),ISNUMBER($O353)),"Complete","Missing: Information Sheet (was due 31/05/2026)"))))</f>
        <v/>
      </c>
      <c r="R353" s="52"/>
      <c r="S353" s="82">
        <f>IF(ISNUMBER($R353),$R353+364,IF(ISNUMBER($D353),$D353+364,""))</f>
        <v/>
      </c>
      <c r="T353" s="52"/>
      <c r="U353" s="82">
        <f>IF(ISNUMBER($T353),IF(ISNUMBER($S353),MAX(EDATE($T353,2),$S353),EDATE($T353,2)),"")</f>
        <v/>
      </c>
      <c r="V353" s="52"/>
      <c r="W353" s="52"/>
      <c r="X353" s="121">
        <f>IF(NOT(ISNUMBER($V353)),"",IF(ISNUMBER($W353),IF($W353-$V353&lt;=28,"Answered in time","LATE: answered after day 28"),IF(TODAY()-$V353&gt;28,"OVERDUE: no reply yet","Reply due by "&amp;TEXT($V353+28,"dd/mm/yyyy"))))</f>
        <v/>
      </c>
      <c r="Y353" s="54"/>
    </row>
    <row r="354" spans="1:25">
      <c r="A354" s="54"/>
      <c r="B354" s="54"/>
      <c r="C354" s="51"/>
      <c r="D354" s="52"/>
      <c r="E354" s="120"/>
      <c r="F354" s="120"/>
      <c r="G354" s="52"/>
      <c r="H354" s="52"/>
      <c r="I354" s="52"/>
      <c r="J354" s="121">
        <f>IF(OR($A354="",NOT(ISNUMBER($F354))),"",IF($F354&lt;=0,"No deposit",IF(NOT(ISNUMBER($G354)),"Enter date received",IF(AND(ISNUMBER($H354),ISNUMBER($I354)),IF(MAX($H354,$I354)-$G354&lt;=29,"OK","LATE: protected / info served after day 30"),IF(TODAY()-$G354&gt;29,"OVERDUE: not protected / info not served","Protect + serve info by "&amp;TEXT($G354+29,"dd/mm/yyyy"))))))</f>
        <v/>
      </c>
      <c r="K354" s="97">
        <f>IF(OR(NOT(ISNUMBER($E354)),NOT(ISNUMBER($F354))),"",IF($F354&lt;=$E354*12/52*5,"OK","Over 5 weeks"))</f>
        <v/>
      </c>
      <c r="L354" s="52"/>
      <c r="M354" s="52"/>
      <c r="N354" s="122">
        <f>IF(OR($A354="",NOT(ISNUMBER($L354))),IF($A354="","","Not recorded"),IF(NOT(ISNUMBER($M354)),"Checked (no follow-up)",IF($M354&lt;TODAY(),"OVERDUE: follow-up check",IF($M354-TODAY()&lt;=60,"Follow-up due "&amp;TEXT($M354,"dd/mm/yyyy"),"Checked"))))</f>
        <v/>
      </c>
      <c r="O354" s="52"/>
      <c r="P354" s="52"/>
      <c r="Q354" s="122">
        <f>IF($A354="","",IF(NOT(ISNUMBER($D354)),"Enter start date",IF($D354&gt;=DATE(2026,5,1),IF(ISNUMBER($O354),"Complete","Missing: written terms"),IF(OR(ISNUMBER($P354),ISNUMBER($O354)),"Complete","Missing: Information Sheet (was due 31/05/2026)"))))</f>
        <v/>
      </c>
      <c r="R354" s="52"/>
      <c r="S354" s="82">
        <f>IF(ISNUMBER($R354),$R354+364,IF(ISNUMBER($D354),$D354+364,""))</f>
        <v/>
      </c>
      <c r="T354" s="52"/>
      <c r="U354" s="82">
        <f>IF(ISNUMBER($T354),IF(ISNUMBER($S354),MAX(EDATE($T354,2),$S354),EDATE($T354,2)),"")</f>
        <v/>
      </c>
      <c r="V354" s="52"/>
      <c r="W354" s="52"/>
      <c r="X354" s="121">
        <f>IF(NOT(ISNUMBER($V354)),"",IF(ISNUMBER($W354),IF($W354-$V354&lt;=28,"Answered in time","LATE: answered after day 28"),IF(TODAY()-$V354&gt;28,"OVERDUE: no reply yet","Reply due by "&amp;TEXT($V354+28,"dd/mm/yyyy"))))</f>
        <v/>
      </c>
      <c r="Y354" s="54"/>
    </row>
    <row r="355" spans="1:25">
      <c r="A355" s="54"/>
      <c r="B355" s="54"/>
      <c r="C355" s="51"/>
      <c r="D355" s="52"/>
      <c r="E355" s="120"/>
      <c r="F355" s="120"/>
      <c r="G355" s="52"/>
      <c r="H355" s="52"/>
      <c r="I355" s="52"/>
      <c r="J355" s="121">
        <f>IF(OR($A355="",NOT(ISNUMBER($F355))),"",IF($F355&lt;=0,"No deposit",IF(NOT(ISNUMBER($G355)),"Enter date received",IF(AND(ISNUMBER($H355),ISNUMBER($I355)),IF(MAX($H355,$I355)-$G355&lt;=29,"OK","LATE: protected / info served after day 30"),IF(TODAY()-$G355&gt;29,"OVERDUE: not protected / info not served","Protect + serve info by "&amp;TEXT($G355+29,"dd/mm/yyyy"))))))</f>
        <v/>
      </c>
      <c r="K355" s="97">
        <f>IF(OR(NOT(ISNUMBER($E355)),NOT(ISNUMBER($F355))),"",IF($F355&lt;=$E355*12/52*5,"OK","Over 5 weeks"))</f>
        <v/>
      </c>
      <c r="L355" s="52"/>
      <c r="M355" s="52"/>
      <c r="N355" s="122">
        <f>IF(OR($A355="",NOT(ISNUMBER($L355))),IF($A355="","","Not recorded"),IF(NOT(ISNUMBER($M355)),"Checked (no follow-up)",IF($M355&lt;TODAY(),"OVERDUE: follow-up check",IF($M355-TODAY()&lt;=60,"Follow-up due "&amp;TEXT($M355,"dd/mm/yyyy"),"Checked"))))</f>
        <v/>
      </c>
      <c r="O355" s="52"/>
      <c r="P355" s="52"/>
      <c r="Q355" s="122">
        <f>IF($A355="","",IF(NOT(ISNUMBER($D355)),"Enter start date",IF($D355&gt;=DATE(2026,5,1),IF(ISNUMBER($O355),"Complete","Missing: written terms"),IF(OR(ISNUMBER($P355),ISNUMBER($O355)),"Complete","Missing: Information Sheet (was due 31/05/2026)"))))</f>
        <v/>
      </c>
      <c r="R355" s="52"/>
      <c r="S355" s="82">
        <f>IF(ISNUMBER($R355),$R355+364,IF(ISNUMBER($D355),$D355+364,""))</f>
        <v/>
      </c>
      <c r="T355" s="52"/>
      <c r="U355" s="82">
        <f>IF(ISNUMBER($T355),IF(ISNUMBER($S355),MAX(EDATE($T355,2),$S355),EDATE($T355,2)),"")</f>
        <v/>
      </c>
      <c r="V355" s="52"/>
      <c r="W355" s="52"/>
      <c r="X355" s="121">
        <f>IF(NOT(ISNUMBER($V355)),"",IF(ISNUMBER($W355),IF($W355-$V355&lt;=28,"Answered in time","LATE: answered after day 28"),IF(TODAY()-$V355&gt;28,"OVERDUE: no reply yet","Reply due by "&amp;TEXT($V355+28,"dd/mm/yyyy"))))</f>
        <v/>
      </c>
      <c r="Y355" s="54"/>
    </row>
    <row r="356" spans="1:25">
      <c r="A356" s="54"/>
      <c r="B356" s="54"/>
      <c r="C356" s="51"/>
      <c r="D356" s="52"/>
      <c r="E356" s="120"/>
      <c r="F356" s="120"/>
      <c r="G356" s="52"/>
      <c r="H356" s="52"/>
      <c r="I356" s="52"/>
      <c r="J356" s="121">
        <f>IF(OR($A356="",NOT(ISNUMBER($F356))),"",IF($F356&lt;=0,"No deposit",IF(NOT(ISNUMBER($G356)),"Enter date received",IF(AND(ISNUMBER($H356),ISNUMBER($I356)),IF(MAX($H356,$I356)-$G356&lt;=29,"OK","LATE: protected / info served after day 30"),IF(TODAY()-$G356&gt;29,"OVERDUE: not protected / info not served","Protect + serve info by "&amp;TEXT($G356+29,"dd/mm/yyyy"))))))</f>
        <v/>
      </c>
      <c r="K356" s="97">
        <f>IF(OR(NOT(ISNUMBER($E356)),NOT(ISNUMBER($F356))),"",IF($F356&lt;=$E356*12/52*5,"OK","Over 5 weeks"))</f>
        <v/>
      </c>
      <c r="L356" s="52"/>
      <c r="M356" s="52"/>
      <c r="N356" s="122">
        <f>IF(OR($A356="",NOT(ISNUMBER($L356))),IF($A356="","","Not recorded"),IF(NOT(ISNUMBER($M356)),"Checked (no follow-up)",IF($M356&lt;TODAY(),"OVERDUE: follow-up check",IF($M356-TODAY()&lt;=60,"Follow-up due "&amp;TEXT($M356,"dd/mm/yyyy"),"Checked"))))</f>
        <v/>
      </c>
      <c r="O356" s="52"/>
      <c r="P356" s="52"/>
      <c r="Q356" s="122">
        <f>IF($A356="","",IF(NOT(ISNUMBER($D356)),"Enter start date",IF($D356&gt;=DATE(2026,5,1),IF(ISNUMBER($O356),"Complete","Missing: written terms"),IF(OR(ISNUMBER($P356),ISNUMBER($O356)),"Complete","Missing: Information Sheet (was due 31/05/2026)"))))</f>
        <v/>
      </c>
      <c r="R356" s="52"/>
      <c r="S356" s="82">
        <f>IF(ISNUMBER($R356),$R356+364,IF(ISNUMBER($D356),$D356+364,""))</f>
        <v/>
      </c>
      <c r="T356" s="52"/>
      <c r="U356" s="82">
        <f>IF(ISNUMBER($T356),IF(ISNUMBER($S356),MAX(EDATE($T356,2),$S356),EDATE($T356,2)),"")</f>
        <v/>
      </c>
      <c r="V356" s="52"/>
      <c r="W356" s="52"/>
      <c r="X356" s="121">
        <f>IF(NOT(ISNUMBER($V356)),"",IF(ISNUMBER($W356),IF($W356-$V356&lt;=28,"Answered in time","LATE: answered after day 28"),IF(TODAY()-$V356&gt;28,"OVERDUE: no reply yet","Reply due by "&amp;TEXT($V356+28,"dd/mm/yyyy"))))</f>
        <v/>
      </c>
      <c r="Y356" s="54"/>
    </row>
    <row r="357" spans="1:25">
      <c r="A357" s="54"/>
      <c r="B357" s="54"/>
      <c r="C357" s="51"/>
      <c r="D357" s="52"/>
      <c r="E357" s="120"/>
      <c r="F357" s="120"/>
      <c r="G357" s="52"/>
      <c r="H357" s="52"/>
      <c r="I357" s="52"/>
      <c r="J357" s="121">
        <f>IF(OR($A357="",NOT(ISNUMBER($F357))),"",IF($F357&lt;=0,"No deposit",IF(NOT(ISNUMBER($G357)),"Enter date received",IF(AND(ISNUMBER($H357),ISNUMBER($I357)),IF(MAX($H357,$I357)-$G357&lt;=29,"OK","LATE: protected / info served after day 30"),IF(TODAY()-$G357&gt;29,"OVERDUE: not protected / info not served","Protect + serve info by "&amp;TEXT($G357+29,"dd/mm/yyyy"))))))</f>
        <v/>
      </c>
      <c r="K357" s="97">
        <f>IF(OR(NOT(ISNUMBER($E357)),NOT(ISNUMBER($F357))),"",IF($F357&lt;=$E357*12/52*5,"OK","Over 5 weeks"))</f>
        <v/>
      </c>
      <c r="L357" s="52"/>
      <c r="M357" s="52"/>
      <c r="N357" s="122">
        <f>IF(OR($A357="",NOT(ISNUMBER($L357))),IF($A357="","","Not recorded"),IF(NOT(ISNUMBER($M357)),"Checked (no follow-up)",IF($M357&lt;TODAY(),"OVERDUE: follow-up check",IF($M357-TODAY()&lt;=60,"Follow-up due "&amp;TEXT($M357,"dd/mm/yyyy"),"Checked"))))</f>
        <v/>
      </c>
      <c r="O357" s="52"/>
      <c r="P357" s="52"/>
      <c r="Q357" s="122">
        <f>IF($A357="","",IF(NOT(ISNUMBER($D357)),"Enter start date",IF($D357&gt;=DATE(2026,5,1),IF(ISNUMBER($O357),"Complete","Missing: written terms"),IF(OR(ISNUMBER($P357),ISNUMBER($O357)),"Complete","Missing: Information Sheet (was due 31/05/2026)"))))</f>
        <v/>
      </c>
      <c r="R357" s="52"/>
      <c r="S357" s="82">
        <f>IF(ISNUMBER($R357),$R357+364,IF(ISNUMBER($D357),$D357+364,""))</f>
        <v/>
      </c>
      <c r="T357" s="52"/>
      <c r="U357" s="82">
        <f>IF(ISNUMBER($T357),IF(ISNUMBER($S357),MAX(EDATE($T357,2),$S357),EDATE($T357,2)),"")</f>
        <v/>
      </c>
      <c r="V357" s="52"/>
      <c r="W357" s="52"/>
      <c r="X357" s="121">
        <f>IF(NOT(ISNUMBER($V357)),"",IF(ISNUMBER($W357),IF($W357-$V357&lt;=28,"Answered in time","LATE: answered after day 28"),IF(TODAY()-$V357&gt;28,"OVERDUE: no reply yet","Reply due by "&amp;TEXT($V357+28,"dd/mm/yyyy"))))</f>
        <v/>
      </c>
      <c r="Y357" s="54"/>
    </row>
    <row r="358" spans="1:25">
      <c r="A358" s="54"/>
      <c r="B358" s="54"/>
      <c r="C358" s="51"/>
      <c r="D358" s="52"/>
      <c r="E358" s="120"/>
      <c r="F358" s="120"/>
      <c r="G358" s="52"/>
      <c r="H358" s="52"/>
      <c r="I358" s="52"/>
      <c r="J358" s="121">
        <f>IF(OR($A358="",NOT(ISNUMBER($F358))),"",IF($F358&lt;=0,"No deposit",IF(NOT(ISNUMBER($G358)),"Enter date received",IF(AND(ISNUMBER($H358),ISNUMBER($I358)),IF(MAX($H358,$I358)-$G358&lt;=29,"OK","LATE: protected / info served after day 30"),IF(TODAY()-$G358&gt;29,"OVERDUE: not protected / info not served","Protect + serve info by "&amp;TEXT($G358+29,"dd/mm/yyyy"))))))</f>
        <v/>
      </c>
      <c r="K358" s="97">
        <f>IF(OR(NOT(ISNUMBER($E358)),NOT(ISNUMBER($F358))),"",IF($F358&lt;=$E358*12/52*5,"OK","Over 5 weeks"))</f>
        <v/>
      </c>
      <c r="L358" s="52"/>
      <c r="M358" s="52"/>
      <c r="N358" s="122">
        <f>IF(OR($A358="",NOT(ISNUMBER($L358))),IF($A358="","","Not recorded"),IF(NOT(ISNUMBER($M358)),"Checked (no follow-up)",IF($M358&lt;TODAY(),"OVERDUE: follow-up check",IF($M358-TODAY()&lt;=60,"Follow-up due "&amp;TEXT($M358,"dd/mm/yyyy"),"Checked"))))</f>
        <v/>
      </c>
      <c r="O358" s="52"/>
      <c r="P358" s="52"/>
      <c r="Q358" s="122">
        <f>IF($A358="","",IF(NOT(ISNUMBER($D358)),"Enter start date",IF($D358&gt;=DATE(2026,5,1),IF(ISNUMBER($O358),"Complete","Missing: written terms"),IF(OR(ISNUMBER($P358),ISNUMBER($O358)),"Complete","Missing: Information Sheet (was due 31/05/2026)"))))</f>
        <v/>
      </c>
      <c r="R358" s="52"/>
      <c r="S358" s="82">
        <f>IF(ISNUMBER($R358),$R358+364,IF(ISNUMBER($D358),$D358+364,""))</f>
        <v/>
      </c>
      <c r="T358" s="52"/>
      <c r="U358" s="82">
        <f>IF(ISNUMBER($T358),IF(ISNUMBER($S358),MAX(EDATE($T358,2),$S358),EDATE($T358,2)),"")</f>
        <v/>
      </c>
      <c r="V358" s="52"/>
      <c r="W358" s="52"/>
      <c r="X358" s="121">
        <f>IF(NOT(ISNUMBER($V358)),"",IF(ISNUMBER($W358),IF($W358-$V358&lt;=28,"Answered in time","LATE: answered after day 28"),IF(TODAY()-$V358&gt;28,"OVERDUE: no reply yet","Reply due by "&amp;TEXT($V358+28,"dd/mm/yyyy"))))</f>
        <v/>
      </c>
      <c r="Y358" s="54"/>
    </row>
    <row r="359" spans="1:25">
      <c r="A359" s="54"/>
      <c r="B359" s="54"/>
      <c r="C359" s="51"/>
      <c r="D359" s="52"/>
      <c r="E359" s="120"/>
      <c r="F359" s="120"/>
      <c r="G359" s="52"/>
      <c r="H359" s="52"/>
      <c r="I359" s="52"/>
      <c r="J359" s="121">
        <f>IF(OR($A359="",NOT(ISNUMBER($F359))),"",IF($F359&lt;=0,"No deposit",IF(NOT(ISNUMBER($G359)),"Enter date received",IF(AND(ISNUMBER($H359),ISNUMBER($I359)),IF(MAX($H359,$I359)-$G359&lt;=29,"OK","LATE: protected / info served after day 30"),IF(TODAY()-$G359&gt;29,"OVERDUE: not protected / info not served","Protect + serve info by "&amp;TEXT($G359+29,"dd/mm/yyyy"))))))</f>
        <v/>
      </c>
      <c r="K359" s="97">
        <f>IF(OR(NOT(ISNUMBER($E359)),NOT(ISNUMBER($F359))),"",IF($F359&lt;=$E359*12/52*5,"OK","Over 5 weeks"))</f>
        <v/>
      </c>
      <c r="L359" s="52"/>
      <c r="M359" s="52"/>
      <c r="N359" s="122">
        <f>IF(OR($A359="",NOT(ISNUMBER($L359))),IF($A359="","","Not recorded"),IF(NOT(ISNUMBER($M359)),"Checked (no follow-up)",IF($M359&lt;TODAY(),"OVERDUE: follow-up check",IF($M359-TODAY()&lt;=60,"Follow-up due "&amp;TEXT($M359,"dd/mm/yyyy"),"Checked"))))</f>
        <v/>
      </c>
      <c r="O359" s="52"/>
      <c r="P359" s="52"/>
      <c r="Q359" s="122">
        <f>IF($A359="","",IF(NOT(ISNUMBER($D359)),"Enter start date",IF($D359&gt;=DATE(2026,5,1),IF(ISNUMBER($O359),"Complete","Missing: written terms"),IF(OR(ISNUMBER($P359),ISNUMBER($O359)),"Complete","Missing: Information Sheet (was due 31/05/2026)"))))</f>
        <v/>
      </c>
      <c r="R359" s="52"/>
      <c r="S359" s="82">
        <f>IF(ISNUMBER($R359),$R359+364,IF(ISNUMBER($D359),$D359+364,""))</f>
        <v/>
      </c>
      <c r="T359" s="52"/>
      <c r="U359" s="82">
        <f>IF(ISNUMBER($T359),IF(ISNUMBER($S359),MAX(EDATE($T359,2),$S359),EDATE($T359,2)),"")</f>
        <v/>
      </c>
      <c r="V359" s="52"/>
      <c r="W359" s="52"/>
      <c r="X359" s="121">
        <f>IF(NOT(ISNUMBER($V359)),"",IF(ISNUMBER($W359),IF($W359-$V359&lt;=28,"Answered in time","LATE: answered after day 28"),IF(TODAY()-$V359&gt;28,"OVERDUE: no reply yet","Reply due by "&amp;TEXT($V359+28,"dd/mm/yyyy"))))</f>
        <v/>
      </c>
      <c r="Y359" s="54"/>
    </row>
    <row r="360" spans="1:25">
      <c r="A360" s="54"/>
      <c r="B360" s="54"/>
      <c r="C360" s="51"/>
      <c r="D360" s="52"/>
      <c r="E360" s="120"/>
      <c r="F360" s="120"/>
      <c r="G360" s="52"/>
      <c r="H360" s="52"/>
      <c r="I360" s="52"/>
      <c r="J360" s="121">
        <f>IF(OR($A360="",NOT(ISNUMBER($F360))),"",IF($F360&lt;=0,"No deposit",IF(NOT(ISNUMBER($G360)),"Enter date received",IF(AND(ISNUMBER($H360),ISNUMBER($I360)),IF(MAX($H360,$I360)-$G360&lt;=29,"OK","LATE: protected / info served after day 30"),IF(TODAY()-$G360&gt;29,"OVERDUE: not protected / info not served","Protect + serve info by "&amp;TEXT($G360+29,"dd/mm/yyyy"))))))</f>
        <v/>
      </c>
      <c r="K360" s="97">
        <f>IF(OR(NOT(ISNUMBER($E360)),NOT(ISNUMBER($F360))),"",IF($F360&lt;=$E360*12/52*5,"OK","Over 5 weeks"))</f>
        <v/>
      </c>
      <c r="L360" s="52"/>
      <c r="M360" s="52"/>
      <c r="N360" s="122">
        <f>IF(OR($A360="",NOT(ISNUMBER($L360))),IF($A360="","","Not recorded"),IF(NOT(ISNUMBER($M360)),"Checked (no follow-up)",IF($M360&lt;TODAY(),"OVERDUE: follow-up check",IF($M360-TODAY()&lt;=60,"Follow-up due "&amp;TEXT($M360,"dd/mm/yyyy"),"Checked"))))</f>
        <v/>
      </c>
      <c r="O360" s="52"/>
      <c r="P360" s="52"/>
      <c r="Q360" s="122">
        <f>IF($A360="","",IF(NOT(ISNUMBER($D360)),"Enter start date",IF($D360&gt;=DATE(2026,5,1),IF(ISNUMBER($O360),"Complete","Missing: written terms"),IF(OR(ISNUMBER($P360),ISNUMBER($O360)),"Complete","Missing: Information Sheet (was due 31/05/2026)"))))</f>
        <v/>
      </c>
      <c r="R360" s="52"/>
      <c r="S360" s="82">
        <f>IF(ISNUMBER($R360),$R360+364,IF(ISNUMBER($D360),$D360+364,""))</f>
        <v/>
      </c>
      <c r="T360" s="52"/>
      <c r="U360" s="82">
        <f>IF(ISNUMBER($T360),IF(ISNUMBER($S360),MAX(EDATE($T360,2),$S360),EDATE($T360,2)),"")</f>
        <v/>
      </c>
      <c r="V360" s="52"/>
      <c r="W360" s="52"/>
      <c r="X360" s="121">
        <f>IF(NOT(ISNUMBER($V360)),"",IF(ISNUMBER($W360),IF($W360-$V360&lt;=28,"Answered in time","LATE: answered after day 28"),IF(TODAY()-$V360&gt;28,"OVERDUE: no reply yet","Reply due by "&amp;TEXT($V360+28,"dd/mm/yyyy"))))</f>
        <v/>
      </c>
      <c r="Y360" s="54"/>
    </row>
    <row r="361" spans="1:25">
      <c r="A361" s="54"/>
      <c r="B361" s="54"/>
      <c r="C361" s="51"/>
      <c r="D361" s="52"/>
      <c r="E361" s="120"/>
      <c r="F361" s="120"/>
      <c r="G361" s="52"/>
      <c r="H361" s="52"/>
      <c r="I361" s="52"/>
      <c r="J361" s="121">
        <f>IF(OR($A361="",NOT(ISNUMBER($F361))),"",IF($F361&lt;=0,"No deposit",IF(NOT(ISNUMBER($G361)),"Enter date received",IF(AND(ISNUMBER($H361),ISNUMBER($I361)),IF(MAX($H361,$I361)-$G361&lt;=29,"OK","LATE: protected / info served after day 30"),IF(TODAY()-$G361&gt;29,"OVERDUE: not protected / info not served","Protect + serve info by "&amp;TEXT($G361+29,"dd/mm/yyyy"))))))</f>
        <v/>
      </c>
      <c r="K361" s="97">
        <f>IF(OR(NOT(ISNUMBER($E361)),NOT(ISNUMBER($F361))),"",IF($F361&lt;=$E361*12/52*5,"OK","Over 5 weeks"))</f>
        <v/>
      </c>
      <c r="L361" s="52"/>
      <c r="M361" s="52"/>
      <c r="N361" s="122">
        <f>IF(OR($A361="",NOT(ISNUMBER($L361))),IF($A361="","","Not recorded"),IF(NOT(ISNUMBER($M361)),"Checked (no follow-up)",IF($M361&lt;TODAY(),"OVERDUE: follow-up check",IF($M361-TODAY()&lt;=60,"Follow-up due "&amp;TEXT($M361,"dd/mm/yyyy"),"Checked"))))</f>
        <v/>
      </c>
      <c r="O361" s="52"/>
      <c r="P361" s="52"/>
      <c r="Q361" s="122">
        <f>IF($A361="","",IF(NOT(ISNUMBER($D361)),"Enter start date",IF($D361&gt;=DATE(2026,5,1),IF(ISNUMBER($O361),"Complete","Missing: written terms"),IF(OR(ISNUMBER($P361),ISNUMBER($O361)),"Complete","Missing: Information Sheet (was due 31/05/2026)"))))</f>
        <v/>
      </c>
      <c r="R361" s="52"/>
      <c r="S361" s="82">
        <f>IF(ISNUMBER($R361),$R361+364,IF(ISNUMBER($D361),$D361+364,""))</f>
        <v/>
      </c>
      <c r="T361" s="52"/>
      <c r="U361" s="82">
        <f>IF(ISNUMBER($T361),IF(ISNUMBER($S361),MAX(EDATE($T361,2),$S361),EDATE($T361,2)),"")</f>
        <v/>
      </c>
      <c r="V361" s="52"/>
      <c r="W361" s="52"/>
      <c r="X361" s="121">
        <f>IF(NOT(ISNUMBER($V361)),"",IF(ISNUMBER($W361),IF($W361-$V361&lt;=28,"Answered in time","LATE: answered after day 28"),IF(TODAY()-$V361&gt;28,"OVERDUE: no reply yet","Reply due by "&amp;TEXT($V361+28,"dd/mm/yyyy"))))</f>
        <v/>
      </c>
      <c r="Y361" s="54"/>
    </row>
    <row r="362" spans="1:25">
      <c r="A362" s="54"/>
      <c r="B362" s="54"/>
      <c r="C362" s="51"/>
      <c r="D362" s="52"/>
      <c r="E362" s="120"/>
      <c r="F362" s="120"/>
      <c r="G362" s="52"/>
      <c r="H362" s="52"/>
      <c r="I362" s="52"/>
      <c r="J362" s="121">
        <f>IF(OR($A362="",NOT(ISNUMBER($F362))),"",IF($F362&lt;=0,"No deposit",IF(NOT(ISNUMBER($G362)),"Enter date received",IF(AND(ISNUMBER($H362),ISNUMBER($I362)),IF(MAX($H362,$I362)-$G362&lt;=29,"OK","LATE: protected / info served after day 30"),IF(TODAY()-$G362&gt;29,"OVERDUE: not protected / info not served","Protect + serve info by "&amp;TEXT($G362+29,"dd/mm/yyyy"))))))</f>
        <v/>
      </c>
      <c r="K362" s="97">
        <f>IF(OR(NOT(ISNUMBER($E362)),NOT(ISNUMBER($F362))),"",IF($F362&lt;=$E362*12/52*5,"OK","Over 5 weeks"))</f>
        <v/>
      </c>
      <c r="L362" s="52"/>
      <c r="M362" s="52"/>
      <c r="N362" s="122">
        <f>IF(OR($A362="",NOT(ISNUMBER($L362))),IF($A362="","","Not recorded"),IF(NOT(ISNUMBER($M362)),"Checked (no follow-up)",IF($M362&lt;TODAY(),"OVERDUE: follow-up check",IF($M362-TODAY()&lt;=60,"Follow-up due "&amp;TEXT($M362,"dd/mm/yyyy"),"Checked"))))</f>
        <v/>
      </c>
      <c r="O362" s="52"/>
      <c r="P362" s="52"/>
      <c r="Q362" s="122">
        <f>IF($A362="","",IF(NOT(ISNUMBER($D362)),"Enter start date",IF($D362&gt;=DATE(2026,5,1),IF(ISNUMBER($O362),"Complete","Missing: written terms"),IF(OR(ISNUMBER($P362),ISNUMBER($O362)),"Complete","Missing: Information Sheet (was due 31/05/2026)"))))</f>
        <v/>
      </c>
      <c r="R362" s="52"/>
      <c r="S362" s="82">
        <f>IF(ISNUMBER($R362),$R362+364,IF(ISNUMBER($D362),$D362+364,""))</f>
        <v/>
      </c>
      <c r="T362" s="52"/>
      <c r="U362" s="82">
        <f>IF(ISNUMBER($T362),IF(ISNUMBER($S362),MAX(EDATE($T362,2),$S362),EDATE($T362,2)),"")</f>
        <v/>
      </c>
      <c r="V362" s="52"/>
      <c r="W362" s="52"/>
      <c r="X362" s="121">
        <f>IF(NOT(ISNUMBER($V362)),"",IF(ISNUMBER($W362),IF($W362-$V362&lt;=28,"Answered in time","LATE: answered after day 28"),IF(TODAY()-$V362&gt;28,"OVERDUE: no reply yet","Reply due by "&amp;TEXT($V362+28,"dd/mm/yyyy"))))</f>
        <v/>
      </c>
      <c r="Y362" s="54"/>
    </row>
    <row r="363" spans="1:25">
      <c r="A363" s="54"/>
      <c r="B363" s="54"/>
      <c r="C363" s="51"/>
      <c r="D363" s="52"/>
      <c r="E363" s="120"/>
      <c r="F363" s="120"/>
      <c r="G363" s="52"/>
      <c r="H363" s="52"/>
      <c r="I363" s="52"/>
      <c r="J363" s="121">
        <f>IF(OR($A363="",NOT(ISNUMBER($F363))),"",IF($F363&lt;=0,"No deposit",IF(NOT(ISNUMBER($G363)),"Enter date received",IF(AND(ISNUMBER($H363),ISNUMBER($I363)),IF(MAX($H363,$I363)-$G363&lt;=29,"OK","LATE: protected / info served after day 30"),IF(TODAY()-$G363&gt;29,"OVERDUE: not protected / info not served","Protect + serve info by "&amp;TEXT($G363+29,"dd/mm/yyyy"))))))</f>
        <v/>
      </c>
      <c r="K363" s="97">
        <f>IF(OR(NOT(ISNUMBER($E363)),NOT(ISNUMBER($F363))),"",IF($F363&lt;=$E363*12/52*5,"OK","Over 5 weeks"))</f>
        <v/>
      </c>
      <c r="L363" s="52"/>
      <c r="M363" s="52"/>
      <c r="N363" s="122">
        <f>IF(OR($A363="",NOT(ISNUMBER($L363))),IF($A363="","","Not recorded"),IF(NOT(ISNUMBER($M363)),"Checked (no follow-up)",IF($M363&lt;TODAY(),"OVERDUE: follow-up check",IF($M363-TODAY()&lt;=60,"Follow-up due "&amp;TEXT($M363,"dd/mm/yyyy"),"Checked"))))</f>
        <v/>
      </c>
      <c r="O363" s="52"/>
      <c r="P363" s="52"/>
      <c r="Q363" s="122">
        <f>IF($A363="","",IF(NOT(ISNUMBER($D363)),"Enter start date",IF($D363&gt;=DATE(2026,5,1),IF(ISNUMBER($O363),"Complete","Missing: written terms"),IF(OR(ISNUMBER($P363),ISNUMBER($O363)),"Complete","Missing: Information Sheet (was due 31/05/2026)"))))</f>
        <v/>
      </c>
      <c r="R363" s="52"/>
      <c r="S363" s="82">
        <f>IF(ISNUMBER($R363),$R363+364,IF(ISNUMBER($D363),$D363+364,""))</f>
        <v/>
      </c>
      <c r="T363" s="52"/>
      <c r="U363" s="82">
        <f>IF(ISNUMBER($T363),IF(ISNUMBER($S363),MAX(EDATE($T363,2),$S363),EDATE($T363,2)),"")</f>
        <v/>
      </c>
      <c r="V363" s="52"/>
      <c r="W363" s="52"/>
      <c r="X363" s="121">
        <f>IF(NOT(ISNUMBER($V363)),"",IF(ISNUMBER($W363),IF($W363-$V363&lt;=28,"Answered in time","LATE: answered after day 28"),IF(TODAY()-$V363&gt;28,"OVERDUE: no reply yet","Reply due by "&amp;TEXT($V363+28,"dd/mm/yyyy"))))</f>
        <v/>
      </c>
      <c r="Y363" s="54"/>
    </row>
    <row r="364" spans="1:25">
      <c r="A364" s="54"/>
      <c r="B364" s="54"/>
      <c r="C364" s="51"/>
      <c r="D364" s="52"/>
      <c r="E364" s="120"/>
      <c r="F364" s="120"/>
      <c r="G364" s="52"/>
      <c r="H364" s="52"/>
      <c r="I364" s="52"/>
      <c r="J364" s="121">
        <f>IF(OR($A364="",NOT(ISNUMBER($F364))),"",IF($F364&lt;=0,"No deposit",IF(NOT(ISNUMBER($G364)),"Enter date received",IF(AND(ISNUMBER($H364),ISNUMBER($I364)),IF(MAX($H364,$I364)-$G364&lt;=29,"OK","LATE: protected / info served after day 30"),IF(TODAY()-$G364&gt;29,"OVERDUE: not protected / info not served","Protect + serve info by "&amp;TEXT($G364+29,"dd/mm/yyyy"))))))</f>
        <v/>
      </c>
      <c r="K364" s="97">
        <f>IF(OR(NOT(ISNUMBER($E364)),NOT(ISNUMBER($F364))),"",IF($F364&lt;=$E364*12/52*5,"OK","Over 5 weeks"))</f>
        <v/>
      </c>
      <c r="L364" s="52"/>
      <c r="M364" s="52"/>
      <c r="N364" s="122">
        <f>IF(OR($A364="",NOT(ISNUMBER($L364))),IF($A364="","","Not recorded"),IF(NOT(ISNUMBER($M364)),"Checked (no follow-up)",IF($M364&lt;TODAY(),"OVERDUE: follow-up check",IF($M364-TODAY()&lt;=60,"Follow-up due "&amp;TEXT($M364,"dd/mm/yyyy"),"Checked"))))</f>
        <v/>
      </c>
      <c r="O364" s="52"/>
      <c r="P364" s="52"/>
      <c r="Q364" s="122">
        <f>IF($A364="","",IF(NOT(ISNUMBER($D364)),"Enter start date",IF($D364&gt;=DATE(2026,5,1),IF(ISNUMBER($O364),"Complete","Missing: written terms"),IF(OR(ISNUMBER($P364),ISNUMBER($O364)),"Complete","Missing: Information Sheet (was due 31/05/2026)"))))</f>
        <v/>
      </c>
      <c r="R364" s="52"/>
      <c r="S364" s="82">
        <f>IF(ISNUMBER($R364),$R364+364,IF(ISNUMBER($D364),$D364+364,""))</f>
        <v/>
      </c>
      <c r="T364" s="52"/>
      <c r="U364" s="82">
        <f>IF(ISNUMBER($T364),IF(ISNUMBER($S364),MAX(EDATE($T364,2),$S364),EDATE($T364,2)),"")</f>
        <v/>
      </c>
      <c r="V364" s="52"/>
      <c r="W364" s="52"/>
      <c r="X364" s="121">
        <f>IF(NOT(ISNUMBER($V364)),"",IF(ISNUMBER($W364),IF($W364-$V364&lt;=28,"Answered in time","LATE: answered after day 28"),IF(TODAY()-$V364&gt;28,"OVERDUE: no reply yet","Reply due by "&amp;TEXT($V364+28,"dd/mm/yyyy"))))</f>
        <v/>
      </c>
      <c r="Y364" s="54"/>
    </row>
    <row r="365" spans="1:25">
      <c r="A365" s="54"/>
      <c r="B365" s="54"/>
      <c r="C365" s="51"/>
      <c r="D365" s="52"/>
      <c r="E365" s="120"/>
      <c r="F365" s="120"/>
      <c r="G365" s="52"/>
      <c r="H365" s="52"/>
      <c r="I365" s="52"/>
      <c r="J365" s="121">
        <f>IF(OR($A365="",NOT(ISNUMBER($F365))),"",IF($F365&lt;=0,"No deposit",IF(NOT(ISNUMBER($G365)),"Enter date received",IF(AND(ISNUMBER($H365),ISNUMBER($I365)),IF(MAX($H365,$I365)-$G365&lt;=29,"OK","LATE: protected / info served after day 30"),IF(TODAY()-$G365&gt;29,"OVERDUE: not protected / info not served","Protect + serve info by "&amp;TEXT($G365+29,"dd/mm/yyyy"))))))</f>
        <v/>
      </c>
      <c r="K365" s="97">
        <f>IF(OR(NOT(ISNUMBER($E365)),NOT(ISNUMBER($F365))),"",IF($F365&lt;=$E365*12/52*5,"OK","Over 5 weeks"))</f>
        <v/>
      </c>
      <c r="L365" s="52"/>
      <c r="M365" s="52"/>
      <c r="N365" s="122">
        <f>IF(OR($A365="",NOT(ISNUMBER($L365))),IF($A365="","","Not recorded"),IF(NOT(ISNUMBER($M365)),"Checked (no follow-up)",IF($M365&lt;TODAY(),"OVERDUE: follow-up check",IF($M365-TODAY()&lt;=60,"Follow-up due "&amp;TEXT($M365,"dd/mm/yyyy"),"Checked"))))</f>
        <v/>
      </c>
      <c r="O365" s="52"/>
      <c r="P365" s="52"/>
      <c r="Q365" s="122">
        <f>IF($A365="","",IF(NOT(ISNUMBER($D365)),"Enter start date",IF($D365&gt;=DATE(2026,5,1),IF(ISNUMBER($O365),"Complete","Missing: written terms"),IF(OR(ISNUMBER($P365),ISNUMBER($O365)),"Complete","Missing: Information Sheet (was due 31/05/2026)"))))</f>
        <v/>
      </c>
      <c r="R365" s="52"/>
      <c r="S365" s="82">
        <f>IF(ISNUMBER($R365),$R365+364,IF(ISNUMBER($D365),$D365+364,""))</f>
        <v/>
      </c>
      <c r="T365" s="52"/>
      <c r="U365" s="82">
        <f>IF(ISNUMBER($T365),IF(ISNUMBER($S365),MAX(EDATE($T365,2),$S365),EDATE($T365,2)),"")</f>
        <v/>
      </c>
      <c r="V365" s="52"/>
      <c r="W365" s="52"/>
      <c r="X365" s="121">
        <f>IF(NOT(ISNUMBER($V365)),"",IF(ISNUMBER($W365),IF($W365-$V365&lt;=28,"Answered in time","LATE: answered after day 28"),IF(TODAY()-$V365&gt;28,"OVERDUE: no reply yet","Reply due by "&amp;TEXT($V365+28,"dd/mm/yyyy"))))</f>
        <v/>
      </c>
      <c r="Y365" s="54"/>
    </row>
    <row r="366" spans="1:25">
      <c r="A366" s="54"/>
      <c r="B366" s="54"/>
      <c r="C366" s="51"/>
      <c r="D366" s="52"/>
      <c r="E366" s="120"/>
      <c r="F366" s="120"/>
      <c r="G366" s="52"/>
      <c r="H366" s="52"/>
      <c r="I366" s="52"/>
      <c r="J366" s="121">
        <f>IF(OR($A366="",NOT(ISNUMBER($F366))),"",IF($F366&lt;=0,"No deposit",IF(NOT(ISNUMBER($G366)),"Enter date received",IF(AND(ISNUMBER($H366),ISNUMBER($I366)),IF(MAX($H366,$I366)-$G366&lt;=29,"OK","LATE: protected / info served after day 30"),IF(TODAY()-$G366&gt;29,"OVERDUE: not protected / info not served","Protect + serve info by "&amp;TEXT($G366+29,"dd/mm/yyyy"))))))</f>
        <v/>
      </c>
      <c r="K366" s="97">
        <f>IF(OR(NOT(ISNUMBER($E366)),NOT(ISNUMBER($F366))),"",IF($F366&lt;=$E366*12/52*5,"OK","Over 5 weeks"))</f>
        <v/>
      </c>
      <c r="L366" s="52"/>
      <c r="M366" s="52"/>
      <c r="N366" s="122">
        <f>IF(OR($A366="",NOT(ISNUMBER($L366))),IF($A366="","","Not recorded"),IF(NOT(ISNUMBER($M366)),"Checked (no follow-up)",IF($M366&lt;TODAY(),"OVERDUE: follow-up check",IF($M366-TODAY()&lt;=60,"Follow-up due "&amp;TEXT($M366,"dd/mm/yyyy"),"Checked"))))</f>
        <v/>
      </c>
      <c r="O366" s="52"/>
      <c r="P366" s="52"/>
      <c r="Q366" s="122">
        <f>IF($A366="","",IF(NOT(ISNUMBER($D366)),"Enter start date",IF($D366&gt;=DATE(2026,5,1),IF(ISNUMBER($O366),"Complete","Missing: written terms"),IF(OR(ISNUMBER($P366),ISNUMBER($O366)),"Complete","Missing: Information Sheet (was due 31/05/2026)"))))</f>
        <v/>
      </c>
      <c r="R366" s="52"/>
      <c r="S366" s="82">
        <f>IF(ISNUMBER($R366),$R366+364,IF(ISNUMBER($D366),$D366+364,""))</f>
        <v/>
      </c>
      <c r="T366" s="52"/>
      <c r="U366" s="82">
        <f>IF(ISNUMBER($T366),IF(ISNUMBER($S366),MAX(EDATE($T366,2),$S366),EDATE($T366,2)),"")</f>
        <v/>
      </c>
      <c r="V366" s="52"/>
      <c r="W366" s="52"/>
      <c r="X366" s="121">
        <f>IF(NOT(ISNUMBER($V366)),"",IF(ISNUMBER($W366),IF($W366-$V366&lt;=28,"Answered in time","LATE: answered after day 28"),IF(TODAY()-$V366&gt;28,"OVERDUE: no reply yet","Reply due by "&amp;TEXT($V366+28,"dd/mm/yyyy"))))</f>
        <v/>
      </c>
      <c r="Y366" s="54"/>
    </row>
    <row r="367" spans="1:25">
      <c r="A367" s="54"/>
      <c r="B367" s="54"/>
      <c r="C367" s="51"/>
      <c r="D367" s="52"/>
      <c r="E367" s="120"/>
      <c r="F367" s="120"/>
      <c r="G367" s="52"/>
      <c r="H367" s="52"/>
      <c r="I367" s="52"/>
      <c r="J367" s="121">
        <f>IF(OR($A367="",NOT(ISNUMBER($F367))),"",IF($F367&lt;=0,"No deposit",IF(NOT(ISNUMBER($G367)),"Enter date received",IF(AND(ISNUMBER($H367),ISNUMBER($I367)),IF(MAX($H367,$I367)-$G367&lt;=29,"OK","LATE: protected / info served after day 30"),IF(TODAY()-$G367&gt;29,"OVERDUE: not protected / info not served","Protect + serve info by "&amp;TEXT($G367+29,"dd/mm/yyyy"))))))</f>
        <v/>
      </c>
      <c r="K367" s="97">
        <f>IF(OR(NOT(ISNUMBER($E367)),NOT(ISNUMBER($F367))),"",IF($F367&lt;=$E367*12/52*5,"OK","Over 5 weeks"))</f>
        <v/>
      </c>
      <c r="L367" s="52"/>
      <c r="M367" s="52"/>
      <c r="N367" s="122">
        <f>IF(OR($A367="",NOT(ISNUMBER($L367))),IF($A367="","","Not recorded"),IF(NOT(ISNUMBER($M367)),"Checked (no follow-up)",IF($M367&lt;TODAY(),"OVERDUE: follow-up check",IF($M367-TODAY()&lt;=60,"Follow-up due "&amp;TEXT($M367,"dd/mm/yyyy"),"Checked"))))</f>
        <v/>
      </c>
      <c r="O367" s="52"/>
      <c r="P367" s="52"/>
      <c r="Q367" s="122">
        <f>IF($A367="","",IF(NOT(ISNUMBER($D367)),"Enter start date",IF($D367&gt;=DATE(2026,5,1),IF(ISNUMBER($O367),"Complete","Missing: written terms"),IF(OR(ISNUMBER($P367),ISNUMBER($O367)),"Complete","Missing: Information Sheet (was due 31/05/2026)"))))</f>
        <v/>
      </c>
      <c r="R367" s="52"/>
      <c r="S367" s="82">
        <f>IF(ISNUMBER($R367),$R367+364,IF(ISNUMBER($D367),$D367+364,""))</f>
        <v/>
      </c>
      <c r="T367" s="52"/>
      <c r="U367" s="82">
        <f>IF(ISNUMBER($T367),IF(ISNUMBER($S367),MAX(EDATE($T367,2),$S367),EDATE($T367,2)),"")</f>
        <v/>
      </c>
      <c r="V367" s="52"/>
      <c r="W367" s="52"/>
      <c r="X367" s="121">
        <f>IF(NOT(ISNUMBER($V367)),"",IF(ISNUMBER($W367),IF($W367-$V367&lt;=28,"Answered in time","LATE: answered after day 28"),IF(TODAY()-$V367&gt;28,"OVERDUE: no reply yet","Reply due by "&amp;TEXT($V367+28,"dd/mm/yyyy"))))</f>
        <v/>
      </c>
      <c r="Y367" s="54"/>
    </row>
    <row r="368" spans="1:25">
      <c r="A368" s="54"/>
      <c r="B368" s="54"/>
      <c r="C368" s="51"/>
      <c r="D368" s="52"/>
      <c r="E368" s="120"/>
      <c r="F368" s="120"/>
      <c r="G368" s="52"/>
      <c r="H368" s="52"/>
      <c r="I368" s="52"/>
      <c r="J368" s="121">
        <f>IF(OR($A368="",NOT(ISNUMBER($F368))),"",IF($F368&lt;=0,"No deposit",IF(NOT(ISNUMBER($G368)),"Enter date received",IF(AND(ISNUMBER($H368),ISNUMBER($I368)),IF(MAX($H368,$I368)-$G368&lt;=29,"OK","LATE: protected / info served after day 30"),IF(TODAY()-$G368&gt;29,"OVERDUE: not protected / info not served","Protect + serve info by "&amp;TEXT($G368+29,"dd/mm/yyyy"))))))</f>
        <v/>
      </c>
      <c r="K368" s="97">
        <f>IF(OR(NOT(ISNUMBER($E368)),NOT(ISNUMBER($F368))),"",IF($F368&lt;=$E368*12/52*5,"OK","Over 5 weeks"))</f>
        <v/>
      </c>
      <c r="L368" s="52"/>
      <c r="M368" s="52"/>
      <c r="N368" s="122">
        <f>IF(OR($A368="",NOT(ISNUMBER($L368))),IF($A368="","","Not recorded"),IF(NOT(ISNUMBER($M368)),"Checked (no follow-up)",IF($M368&lt;TODAY(),"OVERDUE: follow-up check",IF($M368-TODAY()&lt;=60,"Follow-up due "&amp;TEXT($M368,"dd/mm/yyyy"),"Checked"))))</f>
        <v/>
      </c>
      <c r="O368" s="52"/>
      <c r="P368" s="52"/>
      <c r="Q368" s="122">
        <f>IF($A368="","",IF(NOT(ISNUMBER($D368)),"Enter start date",IF($D368&gt;=DATE(2026,5,1),IF(ISNUMBER($O368),"Complete","Missing: written terms"),IF(OR(ISNUMBER($P368),ISNUMBER($O368)),"Complete","Missing: Information Sheet (was due 31/05/2026)"))))</f>
        <v/>
      </c>
      <c r="R368" s="52"/>
      <c r="S368" s="82">
        <f>IF(ISNUMBER($R368),$R368+364,IF(ISNUMBER($D368),$D368+364,""))</f>
        <v/>
      </c>
      <c r="T368" s="52"/>
      <c r="U368" s="82">
        <f>IF(ISNUMBER($T368),IF(ISNUMBER($S368),MAX(EDATE($T368,2),$S368),EDATE($T368,2)),"")</f>
        <v/>
      </c>
      <c r="V368" s="52"/>
      <c r="W368" s="52"/>
      <c r="X368" s="121">
        <f>IF(NOT(ISNUMBER($V368)),"",IF(ISNUMBER($W368),IF($W368-$V368&lt;=28,"Answered in time","LATE: answered after day 28"),IF(TODAY()-$V368&gt;28,"OVERDUE: no reply yet","Reply due by "&amp;TEXT($V368+28,"dd/mm/yyyy"))))</f>
        <v/>
      </c>
      <c r="Y368" s="54"/>
    </row>
    <row r="369" spans="1:25">
      <c r="A369" s="54"/>
      <c r="B369" s="54"/>
      <c r="C369" s="51"/>
      <c r="D369" s="52"/>
      <c r="E369" s="120"/>
      <c r="F369" s="120"/>
      <c r="G369" s="52"/>
      <c r="H369" s="52"/>
      <c r="I369" s="52"/>
      <c r="J369" s="121">
        <f>IF(OR($A369="",NOT(ISNUMBER($F369))),"",IF($F369&lt;=0,"No deposit",IF(NOT(ISNUMBER($G369)),"Enter date received",IF(AND(ISNUMBER($H369),ISNUMBER($I369)),IF(MAX($H369,$I369)-$G369&lt;=29,"OK","LATE: protected / info served after day 30"),IF(TODAY()-$G369&gt;29,"OVERDUE: not protected / info not served","Protect + serve info by "&amp;TEXT($G369+29,"dd/mm/yyyy"))))))</f>
        <v/>
      </c>
      <c r="K369" s="97">
        <f>IF(OR(NOT(ISNUMBER($E369)),NOT(ISNUMBER($F369))),"",IF($F369&lt;=$E369*12/52*5,"OK","Over 5 weeks"))</f>
        <v/>
      </c>
      <c r="L369" s="52"/>
      <c r="M369" s="52"/>
      <c r="N369" s="122">
        <f>IF(OR($A369="",NOT(ISNUMBER($L369))),IF($A369="","","Not recorded"),IF(NOT(ISNUMBER($M369)),"Checked (no follow-up)",IF($M369&lt;TODAY(),"OVERDUE: follow-up check",IF($M369-TODAY()&lt;=60,"Follow-up due "&amp;TEXT($M369,"dd/mm/yyyy"),"Checked"))))</f>
        <v/>
      </c>
      <c r="O369" s="52"/>
      <c r="P369" s="52"/>
      <c r="Q369" s="122">
        <f>IF($A369="","",IF(NOT(ISNUMBER($D369)),"Enter start date",IF($D369&gt;=DATE(2026,5,1),IF(ISNUMBER($O369),"Complete","Missing: written terms"),IF(OR(ISNUMBER($P369),ISNUMBER($O369)),"Complete","Missing: Information Sheet (was due 31/05/2026)"))))</f>
        <v/>
      </c>
      <c r="R369" s="52"/>
      <c r="S369" s="82">
        <f>IF(ISNUMBER($R369),$R369+364,IF(ISNUMBER($D369),$D369+364,""))</f>
        <v/>
      </c>
      <c r="T369" s="52"/>
      <c r="U369" s="82">
        <f>IF(ISNUMBER($T369),IF(ISNUMBER($S369),MAX(EDATE($T369,2),$S369),EDATE($T369,2)),"")</f>
        <v/>
      </c>
      <c r="V369" s="52"/>
      <c r="W369" s="52"/>
      <c r="X369" s="121">
        <f>IF(NOT(ISNUMBER($V369)),"",IF(ISNUMBER($W369),IF($W369-$V369&lt;=28,"Answered in time","LATE: answered after day 28"),IF(TODAY()-$V369&gt;28,"OVERDUE: no reply yet","Reply due by "&amp;TEXT($V369+28,"dd/mm/yyyy"))))</f>
        <v/>
      </c>
      <c r="Y369" s="54"/>
    </row>
    <row r="370" spans="1:25">
      <c r="A370" s="54"/>
      <c r="B370" s="54"/>
      <c r="C370" s="51"/>
      <c r="D370" s="52"/>
      <c r="E370" s="120"/>
      <c r="F370" s="120"/>
      <c r="G370" s="52"/>
      <c r="H370" s="52"/>
      <c r="I370" s="52"/>
      <c r="J370" s="121">
        <f>IF(OR($A370="",NOT(ISNUMBER($F370))),"",IF($F370&lt;=0,"No deposit",IF(NOT(ISNUMBER($G370)),"Enter date received",IF(AND(ISNUMBER($H370),ISNUMBER($I370)),IF(MAX($H370,$I370)-$G370&lt;=29,"OK","LATE: protected / info served after day 30"),IF(TODAY()-$G370&gt;29,"OVERDUE: not protected / info not served","Protect + serve info by "&amp;TEXT($G370+29,"dd/mm/yyyy"))))))</f>
        <v/>
      </c>
      <c r="K370" s="97">
        <f>IF(OR(NOT(ISNUMBER($E370)),NOT(ISNUMBER($F370))),"",IF($F370&lt;=$E370*12/52*5,"OK","Over 5 weeks"))</f>
        <v/>
      </c>
      <c r="L370" s="52"/>
      <c r="M370" s="52"/>
      <c r="N370" s="122">
        <f>IF(OR($A370="",NOT(ISNUMBER($L370))),IF($A370="","","Not recorded"),IF(NOT(ISNUMBER($M370)),"Checked (no follow-up)",IF($M370&lt;TODAY(),"OVERDUE: follow-up check",IF($M370-TODAY()&lt;=60,"Follow-up due "&amp;TEXT($M370,"dd/mm/yyyy"),"Checked"))))</f>
        <v/>
      </c>
      <c r="O370" s="52"/>
      <c r="P370" s="52"/>
      <c r="Q370" s="122">
        <f>IF($A370="","",IF(NOT(ISNUMBER($D370)),"Enter start date",IF($D370&gt;=DATE(2026,5,1),IF(ISNUMBER($O370),"Complete","Missing: written terms"),IF(OR(ISNUMBER($P370),ISNUMBER($O370)),"Complete","Missing: Information Sheet (was due 31/05/2026)"))))</f>
        <v/>
      </c>
      <c r="R370" s="52"/>
      <c r="S370" s="82">
        <f>IF(ISNUMBER($R370),$R370+364,IF(ISNUMBER($D370),$D370+364,""))</f>
        <v/>
      </c>
      <c r="T370" s="52"/>
      <c r="U370" s="82">
        <f>IF(ISNUMBER($T370),IF(ISNUMBER($S370),MAX(EDATE($T370,2),$S370),EDATE($T370,2)),"")</f>
        <v/>
      </c>
      <c r="V370" s="52"/>
      <c r="W370" s="52"/>
      <c r="X370" s="121">
        <f>IF(NOT(ISNUMBER($V370)),"",IF(ISNUMBER($W370),IF($W370-$V370&lt;=28,"Answered in time","LATE: answered after day 28"),IF(TODAY()-$V370&gt;28,"OVERDUE: no reply yet","Reply due by "&amp;TEXT($V370+28,"dd/mm/yyyy"))))</f>
        <v/>
      </c>
      <c r="Y370" s="54"/>
    </row>
    <row r="371" spans="1:25">
      <c r="A371" s="54"/>
      <c r="B371" s="54"/>
      <c r="C371" s="51"/>
      <c r="D371" s="52"/>
      <c r="E371" s="120"/>
      <c r="F371" s="120"/>
      <c r="G371" s="52"/>
      <c r="H371" s="52"/>
      <c r="I371" s="52"/>
      <c r="J371" s="121">
        <f>IF(OR($A371="",NOT(ISNUMBER($F371))),"",IF($F371&lt;=0,"No deposit",IF(NOT(ISNUMBER($G371)),"Enter date received",IF(AND(ISNUMBER($H371),ISNUMBER($I371)),IF(MAX($H371,$I371)-$G371&lt;=29,"OK","LATE: protected / info served after day 30"),IF(TODAY()-$G371&gt;29,"OVERDUE: not protected / info not served","Protect + serve info by "&amp;TEXT($G371+29,"dd/mm/yyyy"))))))</f>
        <v/>
      </c>
      <c r="K371" s="97">
        <f>IF(OR(NOT(ISNUMBER($E371)),NOT(ISNUMBER($F371))),"",IF($F371&lt;=$E371*12/52*5,"OK","Over 5 weeks"))</f>
        <v/>
      </c>
      <c r="L371" s="52"/>
      <c r="M371" s="52"/>
      <c r="N371" s="122">
        <f>IF(OR($A371="",NOT(ISNUMBER($L371))),IF($A371="","","Not recorded"),IF(NOT(ISNUMBER($M371)),"Checked (no follow-up)",IF($M371&lt;TODAY(),"OVERDUE: follow-up check",IF($M371-TODAY()&lt;=60,"Follow-up due "&amp;TEXT($M371,"dd/mm/yyyy"),"Checked"))))</f>
        <v/>
      </c>
      <c r="O371" s="52"/>
      <c r="P371" s="52"/>
      <c r="Q371" s="122">
        <f>IF($A371="","",IF(NOT(ISNUMBER($D371)),"Enter start date",IF($D371&gt;=DATE(2026,5,1),IF(ISNUMBER($O371),"Complete","Missing: written terms"),IF(OR(ISNUMBER($P371),ISNUMBER($O371)),"Complete","Missing: Information Sheet (was due 31/05/2026)"))))</f>
        <v/>
      </c>
      <c r="R371" s="52"/>
      <c r="S371" s="82">
        <f>IF(ISNUMBER($R371),$R371+364,IF(ISNUMBER($D371),$D371+364,""))</f>
        <v/>
      </c>
      <c r="T371" s="52"/>
      <c r="U371" s="82">
        <f>IF(ISNUMBER($T371),IF(ISNUMBER($S371),MAX(EDATE($T371,2),$S371),EDATE($T371,2)),"")</f>
        <v/>
      </c>
      <c r="V371" s="52"/>
      <c r="W371" s="52"/>
      <c r="X371" s="121">
        <f>IF(NOT(ISNUMBER($V371)),"",IF(ISNUMBER($W371),IF($W371-$V371&lt;=28,"Answered in time","LATE: answered after day 28"),IF(TODAY()-$V371&gt;28,"OVERDUE: no reply yet","Reply due by "&amp;TEXT($V371+28,"dd/mm/yyyy"))))</f>
        <v/>
      </c>
      <c r="Y371" s="54"/>
    </row>
    <row r="372" spans="1:25">
      <c r="A372" s="54"/>
      <c r="B372" s="54"/>
      <c r="C372" s="51"/>
      <c r="D372" s="52"/>
      <c r="E372" s="120"/>
      <c r="F372" s="120"/>
      <c r="G372" s="52"/>
      <c r="H372" s="52"/>
      <c r="I372" s="52"/>
      <c r="J372" s="121">
        <f>IF(OR($A372="",NOT(ISNUMBER($F372))),"",IF($F372&lt;=0,"No deposit",IF(NOT(ISNUMBER($G372)),"Enter date received",IF(AND(ISNUMBER($H372),ISNUMBER($I372)),IF(MAX($H372,$I372)-$G372&lt;=29,"OK","LATE: protected / info served after day 30"),IF(TODAY()-$G372&gt;29,"OVERDUE: not protected / info not served","Protect + serve info by "&amp;TEXT($G372+29,"dd/mm/yyyy"))))))</f>
        <v/>
      </c>
      <c r="K372" s="97">
        <f>IF(OR(NOT(ISNUMBER($E372)),NOT(ISNUMBER($F372))),"",IF($F372&lt;=$E372*12/52*5,"OK","Over 5 weeks"))</f>
        <v/>
      </c>
      <c r="L372" s="52"/>
      <c r="M372" s="52"/>
      <c r="N372" s="122">
        <f>IF(OR($A372="",NOT(ISNUMBER($L372))),IF($A372="","","Not recorded"),IF(NOT(ISNUMBER($M372)),"Checked (no follow-up)",IF($M372&lt;TODAY(),"OVERDUE: follow-up check",IF($M372-TODAY()&lt;=60,"Follow-up due "&amp;TEXT($M372,"dd/mm/yyyy"),"Checked"))))</f>
        <v/>
      </c>
      <c r="O372" s="52"/>
      <c r="P372" s="52"/>
      <c r="Q372" s="122">
        <f>IF($A372="","",IF(NOT(ISNUMBER($D372)),"Enter start date",IF($D372&gt;=DATE(2026,5,1),IF(ISNUMBER($O372),"Complete","Missing: written terms"),IF(OR(ISNUMBER($P372),ISNUMBER($O372)),"Complete","Missing: Information Sheet (was due 31/05/2026)"))))</f>
        <v/>
      </c>
      <c r="R372" s="52"/>
      <c r="S372" s="82">
        <f>IF(ISNUMBER($R372),$R372+364,IF(ISNUMBER($D372),$D372+364,""))</f>
        <v/>
      </c>
      <c r="T372" s="52"/>
      <c r="U372" s="82">
        <f>IF(ISNUMBER($T372),IF(ISNUMBER($S372),MAX(EDATE($T372,2),$S372),EDATE($T372,2)),"")</f>
        <v/>
      </c>
      <c r="V372" s="52"/>
      <c r="W372" s="52"/>
      <c r="X372" s="121">
        <f>IF(NOT(ISNUMBER($V372)),"",IF(ISNUMBER($W372),IF($W372-$V372&lt;=28,"Answered in time","LATE: answered after day 28"),IF(TODAY()-$V372&gt;28,"OVERDUE: no reply yet","Reply due by "&amp;TEXT($V372+28,"dd/mm/yyyy"))))</f>
        <v/>
      </c>
      <c r="Y372" s="54"/>
    </row>
    <row r="373" spans="1:25">
      <c r="A373" s="54"/>
      <c r="B373" s="54"/>
      <c r="C373" s="51"/>
      <c r="D373" s="52"/>
      <c r="E373" s="120"/>
      <c r="F373" s="120"/>
      <c r="G373" s="52"/>
      <c r="H373" s="52"/>
      <c r="I373" s="52"/>
      <c r="J373" s="121">
        <f>IF(OR($A373="",NOT(ISNUMBER($F373))),"",IF($F373&lt;=0,"No deposit",IF(NOT(ISNUMBER($G373)),"Enter date received",IF(AND(ISNUMBER($H373),ISNUMBER($I373)),IF(MAX($H373,$I373)-$G373&lt;=29,"OK","LATE: protected / info served after day 30"),IF(TODAY()-$G373&gt;29,"OVERDUE: not protected / info not served","Protect + serve info by "&amp;TEXT($G373+29,"dd/mm/yyyy"))))))</f>
        <v/>
      </c>
      <c r="K373" s="97">
        <f>IF(OR(NOT(ISNUMBER($E373)),NOT(ISNUMBER($F373))),"",IF($F373&lt;=$E373*12/52*5,"OK","Over 5 weeks"))</f>
        <v/>
      </c>
      <c r="L373" s="52"/>
      <c r="M373" s="52"/>
      <c r="N373" s="122">
        <f>IF(OR($A373="",NOT(ISNUMBER($L373))),IF($A373="","","Not recorded"),IF(NOT(ISNUMBER($M373)),"Checked (no follow-up)",IF($M373&lt;TODAY(),"OVERDUE: follow-up check",IF($M373-TODAY()&lt;=60,"Follow-up due "&amp;TEXT($M373,"dd/mm/yyyy"),"Checked"))))</f>
        <v/>
      </c>
      <c r="O373" s="52"/>
      <c r="P373" s="52"/>
      <c r="Q373" s="122">
        <f>IF($A373="","",IF(NOT(ISNUMBER($D373)),"Enter start date",IF($D373&gt;=DATE(2026,5,1),IF(ISNUMBER($O373),"Complete","Missing: written terms"),IF(OR(ISNUMBER($P373),ISNUMBER($O373)),"Complete","Missing: Information Sheet (was due 31/05/2026)"))))</f>
        <v/>
      </c>
      <c r="R373" s="52"/>
      <c r="S373" s="82">
        <f>IF(ISNUMBER($R373),$R373+364,IF(ISNUMBER($D373),$D373+364,""))</f>
        <v/>
      </c>
      <c r="T373" s="52"/>
      <c r="U373" s="82">
        <f>IF(ISNUMBER($T373),IF(ISNUMBER($S373),MAX(EDATE($T373,2),$S373),EDATE($T373,2)),"")</f>
        <v/>
      </c>
      <c r="V373" s="52"/>
      <c r="W373" s="52"/>
      <c r="X373" s="121">
        <f>IF(NOT(ISNUMBER($V373)),"",IF(ISNUMBER($W373),IF($W373-$V373&lt;=28,"Answered in time","LATE: answered after day 28"),IF(TODAY()-$V373&gt;28,"OVERDUE: no reply yet","Reply due by "&amp;TEXT($V373+28,"dd/mm/yyyy"))))</f>
        <v/>
      </c>
      <c r="Y373" s="54"/>
    </row>
    <row r="374" spans="1:25">
      <c r="A374" s="54"/>
      <c r="B374" s="54"/>
      <c r="C374" s="51"/>
      <c r="D374" s="52"/>
      <c r="E374" s="120"/>
      <c r="F374" s="120"/>
      <c r="G374" s="52"/>
      <c r="H374" s="52"/>
      <c r="I374" s="52"/>
      <c r="J374" s="121">
        <f>IF(OR($A374="",NOT(ISNUMBER($F374))),"",IF($F374&lt;=0,"No deposit",IF(NOT(ISNUMBER($G374)),"Enter date received",IF(AND(ISNUMBER($H374),ISNUMBER($I374)),IF(MAX($H374,$I374)-$G374&lt;=29,"OK","LATE: protected / info served after day 30"),IF(TODAY()-$G374&gt;29,"OVERDUE: not protected / info not served","Protect + serve info by "&amp;TEXT($G374+29,"dd/mm/yyyy"))))))</f>
        <v/>
      </c>
      <c r="K374" s="97">
        <f>IF(OR(NOT(ISNUMBER($E374)),NOT(ISNUMBER($F374))),"",IF($F374&lt;=$E374*12/52*5,"OK","Over 5 weeks"))</f>
        <v/>
      </c>
      <c r="L374" s="52"/>
      <c r="M374" s="52"/>
      <c r="N374" s="122">
        <f>IF(OR($A374="",NOT(ISNUMBER($L374))),IF($A374="","","Not recorded"),IF(NOT(ISNUMBER($M374)),"Checked (no follow-up)",IF($M374&lt;TODAY(),"OVERDUE: follow-up check",IF($M374-TODAY()&lt;=60,"Follow-up due "&amp;TEXT($M374,"dd/mm/yyyy"),"Checked"))))</f>
        <v/>
      </c>
      <c r="O374" s="52"/>
      <c r="P374" s="52"/>
      <c r="Q374" s="122">
        <f>IF($A374="","",IF(NOT(ISNUMBER($D374)),"Enter start date",IF($D374&gt;=DATE(2026,5,1),IF(ISNUMBER($O374),"Complete","Missing: written terms"),IF(OR(ISNUMBER($P374),ISNUMBER($O374)),"Complete","Missing: Information Sheet (was due 31/05/2026)"))))</f>
        <v/>
      </c>
      <c r="R374" s="52"/>
      <c r="S374" s="82">
        <f>IF(ISNUMBER($R374),$R374+364,IF(ISNUMBER($D374),$D374+364,""))</f>
        <v/>
      </c>
      <c r="T374" s="52"/>
      <c r="U374" s="82">
        <f>IF(ISNUMBER($T374),IF(ISNUMBER($S374),MAX(EDATE($T374,2),$S374),EDATE($T374,2)),"")</f>
        <v/>
      </c>
      <c r="V374" s="52"/>
      <c r="W374" s="52"/>
      <c r="X374" s="121">
        <f>IF(NOT(ISNUMBER($V374)),"",IF(ISNUMBER($W374),IF($W374-$V374&lt;=28,"Answered in time","LATE: answered after day 28"),IF(TODAY()-$V374&gt;28,"OVERDUE: no reply yet","Reply due by "&amp;TEXT($V374+28,"dd/mm/yyyy"))))</f>
        <v/>
      </c>
      <c r="Y374" s="54"/>
    </row>
    <row r="375" spans="1:25">
      <c r="A375" s="54"/>
      <c r="B375" s="54"/>
      <c r="C375" s="51"/>
      <c r="D375" s="52"/>
      <c r="E375" s="120"/>
      <c r="F375" s="120"/>
      <c r="G375" s="52"/>
      <c r="H375" s="52"/>
      <c r="I375" s="52"/>
      <c r="J375" s="121">
        <f>IF(OR($A375="",NOT(ISNUMBER($F375))),"",IF($F375&lt;=0,"No deposit",IF(NOT(ISNUMBER($G375)),"Enter date received",IF(AND(ISNUMBER($H375),ISNUMBER($I375)),IF(MAX($H375,$I375)-$G375&lt;=29,"OK","LATE: protected / info served after day 30"),IF(TODAY()-$G375&gt;29,"OVERDUE: not protected / info not served","Protect + serve info by "&amp;TEXT($G375+29,"dd/mm/yyyy"))))))</f>
        <v/>
      </c>
      <c r="K375" s="97">
        <f>IF(OR(NOT(ISNUMBER($E375)),NOT(ISNUMBER($F375))),"",IF($F375&lt;=$E375*12/52*5,"OK","Over 5 weeks"))</f>
        <v/>
      </c>
      <c r="L375" s="52"/>
      <c r="M375" s="52"/>
      <c r="N375" s="122">
        <f>IF(OR($A375="",NOT(ISNUMBER($L375))),IF($A375="","","Not recorded"),IF(NOT(ISNUMBER($M375)),"Checked (no follow-up)",IF($M375&lt;TODAY(),"OVERDUE: follow-up check",IF($M375-TODAY()&lt;=60,"Follow-up due "&amp;TEXT($M375,"dd/mm/yyyy"),"Checked"))))</f>
        <v/>
      </c>
      <c r="O375" s="52"/>
      <c r="P375" s="52"/>
      <c r="Q375" s="122">
        <f>IF($A375="","",IF(NOT(ISNUMBER($D375)),"Enter start date",IF($D375&gt;=DATE(2026,5,1),IF(ISNUMBER($O375),"Complete","Missing: written terms"),IF(OR(ISNUMBER($P375),ISNUMBER($O375)),"Complete","Missing: Information Sheet (was due 31/05/2026)"))))</f>
        <v/>
      </c>
      <c r="R375" s="52"/>
      <c r="S375" s="82">
        <f>IF(ISNUMBER($R375),$R375+364,IF(ISNUMBER($D375),$D375+364,""))</f>
        <v/>
      </c>
      <c r="T375" s="52"/>
      <c r="U375" s="82">
        <f>IF(ISNUMBER($T375),IF(ISNUMBER($S375),MAX(EDATE($T375,2),$S375),EDATE($T375,2)),"")</f>
        <v/>
      </c>
      <c r="V375" s="52"/>
      <c r="W375" s="52"/>
      <c r="X375" s="121">
        <f>IF(NOT(ISNUMBER($V375)),"",IF(ISNUMBER($W375),IF($W375-$V375&lt;=28,"Answered in time","LATE: answered after day 28"),IF(TODAY()-$V375&gt;28,"OVERDUE: no reply yet","Reply due by "&amp;TEXT($V375+28,"dd/mm/yyyy"))))</f>
        <v/>
      </c>
      <c r="Y375" s="54"/>
    </row>
    <row r="376" spans="1:25">
      <c r="A376" s="54"/>
      <c r="B376" s="54"/>
      <c r="C376" s="51"/>
      <c r="D376" s="52"/>
      <c r="E376" s="120"/>
      <c r="F376" s="120"/>
      <c r="G376" s="52"/>
      <c r="H376" s="52"/>
      <c r="I376" s="52"/>
      <c r="J376" s="121">
        <f>IF(OR($A376="",NOT(ISNUMBER($F376))),"",IF($F376&lt;=0,"No deposit",IF(NOT(ISNUMBER($G376)),"Enter date received",IF(AND(ISNUMBER($H376),ISNUMBER($I376)),IF(MAX($H376,$I376)-$G376&lt;=29,"OK","LATE: protected / info served after day 30"),IF(TODAY()-$G376&gt;29,"OVERDUE: not protected / info not served","Protect + serve info by "&amp;TEXT($G376+29,"dd/mm/yyyy"))))))</f>
        <v/>
      </c>
      <c r="K376" s="97">
        <f>IF(OR(NOT(ISNUMBER($E376)),NOT(ISNUMBER($F376))),"",IF($F376&lt;=$E376*12/52*5,"OK","Over 5 weeks"))</f>
        <v/>
      </c>
      <c r="L376" s="52"/>
      <c r="M376" s="52"/>
      <c r="N376" s="122">
        <f>IF(OR($A376="",NOT(ISNUMBER($L376))),IF($A376="","","Not recorded"),IF(NOT(ISNUMBER($M376)),"Checked (no follow-up)",IF($M376&lt;TODAY(),"OVERDUE: follow-up check",IF($M376-TODAY()&lt;=60,"Follow-up due "&amp;TEXT($M376,"dd/mm/yyyy"),"Checked"))))</f>
        <v/>
      </c>
      <c r="O376" s="52"/>
      <c r="P376" s="52"/>
      <c r="Q376" s="122">
        <f>IF($A376="","",IF(NOT(ISNUMBER($D376)),"Enter start date",IF($D376&gt;=DATE(2026,5,1),IF(ISNUMBER($O376),"Complete","Missing: written terms"),IF(OR(ISNUMBER($P376),ISNUMBER($O376)),"Complete","Missing: Information Sheet (was due 31/05/2026)"))))</f>
        <v/>
      </c>
      <c r="R376" s="52"/>
      <c r="S376" s="82">
        <f>IF(ISNUMBER($R376),$R376+364,IF(ISNUMBER($D376),$D376+364,""))</f>
        <v/>
      </c>
      <c r="T376" s="52"/>
      <c r="U376" s="82">
        <f>IF(ISNUMBER($T376),IF(ISNUMBER($S376),MAX(EDATE($T376,2),$S376),EDATE($T376,2)),"")</f>
        <v/>
      </c>
      <c r="V376" s="52"/>
      <c r="W376" s="52"/>
      <c r="X376" s="121">
        <f>IF(NOT(ISNUMBER($V376)),"",IF(ISNUMBER($W376),IF($W376-$V376&lt;=28,"Answered in time","LATE: answered after day 28"),IF(TODAY()-$V376&gt;28,"OVERDUE: no reply yet","Reply due by "&amp;TEXT($V376+28,"dd/mm/yyyy"))))</f>
        <v/>
      </c>
      <c r="Y376" s="54"/>
    </row>
    <row r="377" spans="1:25">
      <c r="A377" s="54"/>
      <c r="B377" s="54"/>
      <c r="C377" s="51"/>
      <c r="D377" s="52"/>
      <c r="E377" s="120"/>
      <c r="F377" s="120"/>
      <c r="G377" s="52"/>
      <c r="H377" s="52"/>
      <c r="I377" s="52"/>
      <c r="J377" s="121">
        <f>IF(OR($A377="",NOT(ISNUMBER($F377))),"",IF($F377&lt;=0,"No deposit",IF(NOT(ISNUMBER($G377)),"Enter date received",IF(AND(ISNUMBER($H377),ISNUMBER($I377)),IF(MAX($H377,$I377)-$G377&lt;=29,"OK","LATE: protected / info served after day 30"),IF(TODAY()-$G377&gt;29,"OVERDUE: not protected / info not served","Protect + serve info by "&amp;TEXT($G377+29,"dd/mm/yyyy"))))))</f>
        <v/>
      </c>
      <c r="K377" s="97">
        <f>IF(OR(NOT(ISNUMBER($E377)),NOT(ISNUMBER($F377))),"",IF($F377&lt;=$E377*12/52*5,"OK","Over 5 weeks"))</f>
        <v/>
      </c>
      <c r="L377" s="52"/>
      <c r="M377" s="52"/>
      <c r="N377" s="122">
        <f>IF(OR($A377="",NOT(ISNUMBER($L377))),IF($A377="","","Not recorded"),IF(NOT(ISNUMBER($M377)),"Checked (no follow-up)",IF($M377&lt;TODAY(),"OVERDUE: follow-up check",IF($M377-TODAY()&lt;=60,"Follow-up due "&amp;TEXT($M377,"dd/mm/yyyy"),"Checked"))))</f>
        <v/>
      </c>
      <c r="O377" s="52"/>
      <c r="P377" s="52"/>
      <c r="Q377" s="122">
        <f>IF($A377="","",IF(NOT(ISNUMBER($D377)),"Enter start date",IF($D377&gt;=DATE(2026,5,1),IF(ISNUMBER($O377),"Complete","Missing: written terms"),IF(OR(ISNUMBER($P377),ISNUMBER($O377)),"Complete","Missing: Information Sheet (was due 31/05/2026)"))))</f>
        <v/>
      </c>
      <c r="R377" s="52"/>
      <c r="S377" s="82">
        <f>IF(ISNUMBER($R377),$R377+364,IF(ISNUMBER($D377),$D377+364,""))</f>
        <v/>
      </c>
      <c r="T377" s="52"/>
      <c r="U377" s="82">
        <f>IF(ISNUMBER($T377),IF(ISNUMBER($S377),MAX(EDATE($T377,2),$S377),EDATE($T377,2)),"")</f>
        <v/>
      </c>
      <c r="V377" s="52"/>
      <c r="W377" s="52"/>
      <c r="X377" s="121">
        <f>IF(NOT(ISNUMBER($V377)),"",IF(ISNUMBER($W377),IF($W377-$V377&lt;=28,"Answered in time","LATE: answered after day 28"),IF(TODAY()-$V377&gt;28,"OVERDUE: no reply yet","Reply due by "&amp;TEXT($V377+28,"dd/mm/yyyy"))))</f>
        <v/>
      </c>
      <c r="Y377" s="54"/>
    </row>
    <row r="378" spans="1:25">
      <c r="A378" s="54"/>
      <c r="B378" s="54"/>
      <c r="C378" s="51"/>
      <c r="D378" s="52"/>
      <c r="E378" s="120"/>
      <c r="F378" s="120"/>
      <c r="G378" s="52"/>
      <c r="H378" s="52"/>
      <c r="I378" s="52"/>
      <c r="J378" s="121">
        <f>IF(OR($A378="",NOT(ISNUMBER($F378))),"",IF($F378&lt;=0,"No deposit",IF(NOT(ISNUMBER($G378)),"Enter date received",IF(AND(ISNUMBER($H378),ISNUMBER($I378)),IF(MAX($H378,$I378)-$G378&lt;=29,"OK","LATE: protected / info served after day 30"),IF(TODAY()-$G378&gt;29,"OVERDUE: not protected / info not served","Protect + serve info by "&amp;TEXT($G378+29,"dd/mm/yyyy"))))))</f>
        <v/>
      </c>
      <c r="K378" s="97">
        <f>IF(OR(NOT(ISNUMBER($E378)),NOT(ISNUMBER($F378))),"",IF($F378&lt;=$E378*12/52*5,"OK","Over 5 weeks"))</f>
        <v/>
      </c>
      <c r="L378" s="52"/>
      <c r="M378" s="52"/>
      <c r="N378" s="122">
        <f>IF(OR($A378="",NOT(ISNUMBER($L378))),IF($A378="","","Not recorded"),IF(NOT(ISNUMBER($M378)),"Checked (no follow-up)",IF($M378&lt;TODAY(),"OVERDUE: follow-up check",IF($M378-TODAY()&lt;=60,"Follow-up due "&amp;TEXT($M378,"dd/mm/yyyy"),"Checked"))))</f>
        <v/>
      </c>
      <c r="O378" s="52"/>
      <c r="P378" s="52"/>
      <c r="Q378" s="122">
        <f>IF($A378="","",IF(NOT(ISNUMBER($D378)),"Enter start date",IF($D378&gt;=DATE(2026,5,1),IF(ISNUMBER($O378),"Complete","Missing: written terms"),IF(OR(ISNUMBER($P378),ISNUMBER($O378)),"Complete","Missing: Information Sheet (was due 31/05/2026)"))))</f>
        <v/>
      </c>
      <c r="R378" s="52"/>
      <c r="S378" s="82">
        <f>IF(ISNUMBER($R378),$R378+364,IF(ISNUMBER($D378),$D378+364,""))</f>
        <v/>
      </c>
      <c r="T378" s="52"/>
      <c r="U378" s="82">
        <f>IF(ISNUMBER($T378),IF(ISNUMBER($S378),MAX(EDATE($T378,2),$S378),EDATE($T378,2)),"")</f>
        <v/>
      </c>
      <c r="V378" s="52"/>
      <c r="W378" s="52"/>
      <c r="X378" s="121">
        <f>IF(NOT(ISNUMBER($V378)),"",IF(ISNUMBER($W378),IF($W378-$V378&lt;=28,"Answered in time","LATE: answered after day 28"),IF(TODAY()-$V378&gt;28,"OVERDUE: no reply yet","Reply due by "&amp;TEXT($V378+28,"dd/mm/yyyy"))))</f>
        <v/>
      </c>
      <c r="Y378" s="54"/>
    </row>
    <row r="379" spans="1:25">
      <c r="A379" s="54"/>
      <c r="B379" s="54"/>
      <c r="C379" s="51"/>
      <c r="D379" s="52"/>
      <c r="E379" s="120"/>
      <c r="F379" s="120"/>
      <c r="G379" s="52"/>
      <c r="H379" s="52"/>
      <c r="I379" s="52"/>
      <c r="J379" s="121">
        <f>IF(OR($A379="",NOT(ISNUMBER($F379))),"",IF($F379&lt;=0,"No deposit",IF(NOT(ISNUMBER($G379)),"Enter date received",IF(AND(ISNUMBER($H379),ISNUMBER($I379)),IF(MAX($H379,$I379)-$G379&lt;=29,"OK","LATE: protected / info served after day 30"),IF(TODAY()-$G379&gt;29,"OVERDUE: not protected / info not served","Protect + serve info by "&amp;TEXT($G379+29,"dd/mm/yyyy"))))))</f>
        <v/>
      </c>
      <c r="K379" s="97">
        <f>IF(OR(NOT(ISNUMBER($E379)),NOT(ISNUMBER($F379))),"",IF($F379&lt;=$E379*12/52*5,"OK","Over 5 weeks"))</f>
        <v/>
      </c>
      <c r="L379" s="52"/>
      <c r="M379" s="52"/>
      <c r="N379" s="122">
        <f>IF(OR($A379="",NOT(ISNUMBER($L379))),IF($A379="","","Not recorded"),IF(NOT(ISNUMBER($M379)),"Checked (no follow-up)",IF($M379&lt;TODAY(),"OVERDUE: follow-up check",IF($M379-TODAY()&lt;=60,"Follow-up due "&amp;TEXT($M379,"dd/mm/yyyy"),"Checked"))))</f>
        <v/>
      </c>
      <c r="O379" s="52"/>
      <c r="P379" s="52"/>
      <c r="Q379" s="122">
        <f>IF($A379="","",IF(NOT(ISNUMBER($D379)),"Enter start date",IF($D379&gt;=DATE(2026,5,1),IF(ISNUMBER($O379),"Complete","Missing: written terms"),IF(OR(ISNUMBER($P379),ISNUMBER($O379)),"Complete","Missing: Information Sheet (was due 31/05/2026)"))))</f>
        <v/>
      </c>
      <c r="R379" s="52"/>
      <c r="S379" s="82">
        <f>IF(ISNUMBER($R379),$R379+364,IF(ISNUMBER($D379),$D379+364,""))</f>
        <v/>
      </c>
      <c r="T379" s="52"/>
      <c r="U379" s="82">
        <f>IF(ISNUMBER($T379),IF(ISNUMBER($S379),MAX(EDATE($T379,2),$S379),EDATE($T379,2)),"")</f>
        <v/>
      </c>
      <c r="V379" s="52"/>
      <c r="W379" s="52"/>
      <c r="X379" s="121">
        <f>IF(NOT(ISNUMBER($V379)),"",IF(ISNUMBER($W379),IF($W379-$V379&lt;=28,"Answered in time","LATE: answered after day 28"),IF(TODAY()-$V379&gt;28,"OVERDUE: no reply yet","Reply due by "&amp;TEXT($V379+28,"dd/mm/yyyy"))))</f>
        <v/>
      </c>
      <c r="Y379" s="54"/>
    </row>
    <row r="380" spans="1:25">
      <c r="A380" s="54"/>
      <c r="B380" s="54"/>
      <c r="C380" s="51"/>
      <c r="D380" s="52"/>
      <c r="E380" s="120"/>
      <c r="F380" s="120"/>
      <c r="G380" s="52"/>
      <c r="H380" s="52"/>
      <c r="I380" s="52"/>
      <c r="J380" s="121">
        <f>IF(OR($A380="",NOT(ISNUMBER($F380))),"",IF($F380&lt;=0,"No deposit",IF(NOT(ISNUMBER($G380)),"Enter date received",IF(AND(ISNUMBER($H380),ISNUMBER($I380)),IF(MAX($H380,$I380)-$G380&lt;=29,"OK","LATE: protected / info served after day 30"),IF(TODAY()-$G380&gt;29,"OVERDUE: not protected / info not served","Protect + serve info by "&amp;TEXT($G380+29,"dd/mm/yyyy"))))))</f>
        <v/>
      </c>
      <c r="K380" s="97">
        <f>IF(OR(NOT(ISNUMBER($E380)),NOT(ISNUMBER($F380))),"",IF($F380&lt;=$E380*12/52*5,"OK","Over 5 weeks"))</f>
        <v/>
      </c>
      <c r="L380" s="52"/>
      <c r="M380" s="52"/>
      <c r="N380" s="122">
        <f>IF(OR($A380="",NOT(ISNUMBER($L380))),IF($A380="","","Not recorded"),IF(NOT(ISNUMBER($M380)),"Checked (no follow-up)",IF($M380&lt;TODAY(),"OVERDUE: follow-up check",IF($M380-TODAY()&lt;=60,"Follow-up due "&amp;TEXT($M380,"dd/mm/yyyy"),"Checked"))))</f>
        <v/>
      </c>
      <c r="O380" s="52"/>
      <c r="P380" s="52"/>
      <c r="Q380" s="122">
        <f>IF($A380="","",IF(NOT(ISNUMBER($D380)),"Enter start date",IF($D380&gt;=DATE(2026,5,1),IF(ISNUMBER($O380),"Complete","Missing: written terms"),IF(OR(ISNUMBER($P380),ISNUMBER($O380)),"Complete","Missing: Information Sheet (was due 31/05/2026)"))))</f>
        <v/>
      </c>
      <c r="R380" s="52"/>
      <c r="S380" s="82">
        <f>IF(ISNUMBER($R380),$R380+364,IF(ISNUMBER($D380),$D380+364,""))</f>
        <v/>
      </c>
      <c r="T380" s="52"/>
      <c r="U380" s="82">
        <f>IF(ISNUMBER($T380),IF(ISNUMBER($S380),MAX(EDATE($T380,2),$S380),EDATE($T380,2)),"")</f>
        <v/>
      </c>
      <c r="V380" s="52"/>
      <c r="W380" s="52"/>
      <c r="X380" s="121">
        <f>IF(NOT(ISNUMBER($V380)),"",IF(ISNUMBER($W380),IF($W380-$V380&lt;=28,"Answered in time","LATE: answered after day 28"),IF(TODAY()-$V380&gt;28,"OVERDUE: no reply yet","Reply due by "&amp;TEXT($V380+28,"dd/mm/yyyy"))))</f>
        <v/>
      </c>
      <c r="Y380" s="54"/>
    </row>
    <row r="381" spans="1:25">
      <c r="A381" s="54"/>
      <c r="B381" s="54"/>
      <c r="C381" s="51"/>
      <c r="D381" s="52"/>
      <c r="E381" s="120"/>
      <c r="F381" s="120"/>
      <c r="G381" s="52"/>
      <c r="H381" s="52"/>
      <c r="I381" s="52"/>
      <c r="J381" s="121">
        <f>IF(OR($A381="",NOT(ISNUMBER($F381))),"",IF($F381&lt;=0,"No deposit",IF(NOT(ISNUMBER($G381)),"Enter date received",IF(AND(ISNUMBER($H381),ISNUMBER($I381)),IF(MAX($H381,$I381)-$G381&lt;=29,"OK","LATE: protected / info served after day 30"),IF(TODAY()-$G381&gt;29,"OVERDUE: not protected / info not served","Protect + serve info by "&amp;TEXT($G381+29,"dd/mm/yyyy"))))))</f>
        <v/>
      </c>
      <c r="K381" s="97">
        <f>IF(OR(NOT(ISNUMBER($E381)),NOT(ISNUMBER($F381))),"",IF($F381&lt;=$E381*12/52*5,"OK","Over 5 weeks"))</f>
        <v/>
      </c>
      <c r="L381" s="52"/>
      <c r="M381" s="52"/>
      <c r="N381" s="122">
        <f>IF(OR($A381="",NOT(ISNUMBER($L381))),IF($A381="","","Not recorded"),IF(NOT(ISNUMBER($M381)),"Checked (no follow-up)",IF($M381&lt;TODAY(),"OVERDUE: follow-up check",IF($M381-TODAY()&lt;=60,"Follow-up due "&amp;TEXT($M381,"dd/mm/yyyy"),"Checked"))))</f>
        <v/>
      </c>
      <c r="O381" s="52"/>
      <c r="P381" s="52"/>
      <c r="Q381" s="122">
        <f>IF($A381="","",IF(NOT(ISNUMBER($D381)),"Enter start date",IF($D381&gt;=DATE(2026,5,1),IF(ISNUMBER($O381),"Complete","Missing: written terms"),IF(OR(ISNUMBER($P381),ISNUMBER($O381)),"Complete","Missing: Information Sheet (was due 31/05/2026)"))))</f>
        <v/>
      </c>
      <c r="R381" s="52"/>
      <c r="S381" s="82">
        <f>IF(ISNUMBER($R381),$R381+364,IF(ISNUMBER($D381),$D381+364,""))</f>
        <v/>
      </c>
      <c r="T381" s="52"/>
      <c r="U381" s="82">
        <f>IF(ISNUMBER($T381),IF(ISNUMBER($S381),MAX(EDATE($T381,2),$S381),EDATE($T381,2)),"")</f>
        <v/>
      </c>
      <c r="V381" s="52"/>
      <c r="W381" s="52"/>
      <c r="X381" s="121">
        <f>IF(NOT(ISNUMBER($V381)),"",IF(ISNUMBER($W381),IF($W381-$V381&lt;=28,"Answered in time","LATE: answered after day 28"),IF(TODAY()-$V381&gt;28,"OVERDUE: no reply yet","Reply due by "&amp;TEXT($V381+28,"dd/mm/yyyy"))))</f>
        <v/>
      </c>
      <c r="Y381" s="54"/>
    </row>
    <row r="382" spans="1:25">
      <c r="A382" s="54"/>
      <c r="B382" s="54"/>
      <c r="C382" s="51"/>
      <c r="D382" s="52"/>
      <c r="E382" s="120"/>
      <c r="F382" s="120"/>
      <c r="G382" s="52"/>
      <c r="H382" s="52"/>
      <c r="I382" s="52"/>
      <c r="J382" s="121">
        <f>IF(OR($A382="",NOT(ISNUMBER($F382))),"",IF($F382&lt;=0,"No deposit",IF(NOT(ISNUMBER($G382)),"Enter date received",IF(AND(ISNUMBER($H382),ISNUMBER($I382)),IF(MAX($H382,$I382)-$G382&lt;=29,"OK","LATE: protected / info served after day 30"),IF(TODAY()-$G382&gt;29,"OVERDUE: not protected / info not served","Protect + serve info by "&amp;TEXT($G382+29,"dd/mm/yyyy"))))))</f>
        <v/>
      </c>
      <c r="K382" s="97">
        <f>IF(OR(NOT(ISNUMBER($E382)),NOT(ISNUMBER($F382))),"",IF($F382&lt;=$E382*12/52*5,"OK","Over 5 weeks"))</f>
        <v/>
      </c>
      <c r="L382" s="52"/>
      <c r="M382" s="52"/>
      <c r="N382" s="122">
        <f>IF(OR($A382="",NOT(ISNUMBER($L382))),IF($A382="","","Not recorded"),IF(NOT(ISNUMBER($M382)),"Checked (no follow-up)",IF($M382&lt;TODAY(),"OVERDUE: follow-up check",IF($M382-TODAY()&lt;=60,"Follow-up due "&amp;TEXT($M382,"dd/mm/yyyy"),"Checked"))))</f>
        <v/>
      </c>
      <c r="O382" s="52"/>
      <c r="P382" s="52"/>
      <c r="Q382" s="122">
        <f>IF($A382="","",IF(NOT(ISNUMBER($D382)),"Enter start date",IF($D382&gt;=DATE(2026,5,1),IF(ISNUMBER($O382),"Complete","Missing: written terms"),IF(OR(ISNUMBER($P382),ISNUMBER($O382)),"Complete","Missing: Information Sheet (was due 31/05/2026)"))))</f>
        <v/>
      </c>
      <c r="R382" s="52"/>
      <c r="S382" s="82">
        <f>IF(ISNUMBER($R382),$R382+364,IF(ISNUMBER($D382),$D382+364,""))</f>
        <v/>
      </c>
      <c r="T382" s="52"/>
      <c r="U382" s="82">
        <f>IF(ISNUMBER($T382),IF(ISNUMBER($S382),MAX(EDATE($T382,2),$S382),EDATE($T382,2)),"")</f>
        <v/>
      </c>
      <c r="V382" s="52"/>
      <c r="W382" s="52"/>
      <c r="X382" s="121">
        <f>IF(NOT(ISNUMBER($V382)),"",IF(ISNUMBER($W382),IF($W382-$V382&lt;=28,"Answered in time","LATE: answered after day 28"),IF(TODAY()-$V382&gt;28,"OVERDUE: no reply yet","Reply due by "&amp;TEXT($V382+28,"dd/mm/yyyy"))))</f>
        <v/>
      </c>
      <c r="Y382" s="54"/>
    </row>
    <row r="383" spans="1:25">
      <c r="A383" s="54"/>
      <c r="B383" s="54"/>
      <c r="C383" s="51"/>
      <c r="D383" s="52"/>
      <c r="E383" s="120"/>
      <c r="F383" s="120"/>
      <c r="G383" s="52"/>
      <c r="H383" s="52"/>
      <c r="I383" s="52"/>
      <c r="J383" s="121">
        <f>IF(OR($A383="",NOT(ISNUMBER($F383))),"",IF($F383&lt;=0,"No deposit",IF(NOT(ISNUMBER($G383)),"Enter date received",IF(AND(ISNUMBER($H383),ISNUMBER($I383)),IF(MAX($H383,$I383)-$G383&lt;=29,"OK","LATE: protected / info served after day 30"),IF(TODAY()-$G383&gt;29,"OVERDUE: not protected / info not served","Protect + serve info by "&amp;TEXT($G383+29,"dd/mm/yyyy"))))))</f>
        <v/>
      </c>
      <c r="K383" s="97">
        <f>IF(OR(NOT(ISNUMBER($E383)),NOT(ISNUMBER($F383))),"",IF($F383&lt;=$E383*12/52*5,"OK","Over 5 weeks"))</f>
        <v/>
      </c>
      <c r="L383" s="52"/>
      <c r="M383" s="52"/>
      <c r="N383" s="122">
        <f>IF(OR($A383="",NOT(ISNUMBER($L383))),IF($A383="","","Not recorded"),IF(NOT(ISNUMBER($M383)),"Checked (no follow-up)",IF($M383&lt;TODAY(),"OVERDUE: follow-up check",IF($M383-TODAY()&lt;=60,"Follow-up due "&amp;TEXT($M383,"dd/mm/yyyy"),"Checked"))))</f>
        <v/>
      </c>
      <c r="O383" s="52"/>
      <c r="P383" s="52"/>
      <c r="Q383" s="122">
        <f>IF($A383="","",IF(NOT(ISNUMBER($D383)),"Enter start date",IF($D383&gt;=DATE(2026,5,1),IF(ISNUMBER($O383),"Complete","Missing: written terms"),IF(OR(ISNUMBER($P383),ISNUMBER($O383)),"Complete","Missing: Information Sheet (was due 31/05/2026)"))))</f>
        <v/>
      </c>
      <c r="R383" s="52"/>
      <c r="S383" s="82">
        <f>IF(ISNUMBER($R383),$R383+364,IF(ISNUMBER($D383),$D383+364,""))</f>
        <v/>
      </c>
      <c r="T383" s="52"/>
      <c r="U383" s="82">
        <f>IF(ISNUMBER($T383),IF(ISNUMBER($S383),MAX(EDATE($T383,2),$S383),EDATE($T383,2)),"")</f>
        <v/>
      </c>
      <c r="V383" s="52"/>
      <c r="W383" s="52"/>
      <c r="X383" s="121">
        <f>IF(NOT(ISNUMBER($V383)),"",IF(ISNUMBER($W383),IF($W383-$V383&lt;=28,"Answered in time","LATE: answered after day 28"),IF(TODAY()-$V383&gt;28,"OVERDUE: no reply yet","Reply due by "&amp;TEXT($V383+28,"dd/mm/yyyy"))))</f>
        <v/>
      </c>
      <c r="Y383" s="54"/>
    </row>
    <row r="384" spans="1:25">
      <c r="A384" s="54"/>
      <c r="B384" s="54"/>
      <c r="C384" s="51"/>
      <c r="D384" s="52"/>
      <c r="E384" s="120"/>
      <c r="F384" s="120"/>
      <c r="G384" s="52"/>
      <c r="H384" s="52"/>
      <c r="I384" s="52"/>
      <c r="J384" s="121">
        <f>IF(OR($A384="",NOT(ISNUMBER($F384))),"",IF($F384&lt;=0,"No deposit",IF(NOT(ISNUMBER($G384)),"Enter date received",IF(AND(ISNUMBER($H384),ISNUMBER($I384)),IF(MAX($H384,$I384)-$G384&lt;=29,"OK","LATE: protected / info served after day 30"),IF(TODAY()-$G384&gt;29,"OVERDUE: not protected / info not served","Protect + serve info by "&amp;TEXT($G384+29,"dd/mm/yyyy"))))))</f>
        <v/>
      </c>
      <c r="K384" s="97">
        <f>IF(OR(NOT(ISNUMBER($E384)),NOT(ISNUMBER($F384))),"",IF($F384&lt;=$E384*12/52*5,"OK","Over 5 weeks"))</f>
        <v/>
      </c>
      <c r="L384" s="52"/>
      <c r="M384" s="52"/>
      <c r="N384" s="122">
        <f>IF(OR($A384="",NOT(ISNUMBER($L384))),IF($A384="","","Not recorded"),IF(NOT(ISNUMBER($M384)),"Checked (no follow-up)",IF($M384&lt;TODAY(),"OVERDUE: follow-up check",IF($M384-TODAY()&lt;=60,"Follow-up due "&amp;TEXT($M384,"dd/mm/yyyy"),"Checked"))))</f>
        <v/>
      </c>
      <c r="O384" s="52"/>
      <c r="P384" s="52"/>
      <c r="Q384" s="122">
        <f>IF($A384="","",IF(NOT(ISNUMBER($D384)),"Enter start date",IF($D384&gt;=DATE(2026,5,1),IF(ISNUMBER($O384),"Complete","Missing: written terms"),IF(OR(ISNUMBER($P384),ISNUMBER($O384)),"Complete","Missing: Information Sheet (was due 31/05/2026)"))))</f>
        <v/>
      </c>
      <c r="R384" s="52"/>
      <c r="S384" s="82">
        <f>IF(ISNUMBER($R384),$R384+364,IF(ISNUMBER($D384),$D384+364,""))</f>
        <v/>
      </c>
      <c r="T384" s="52"/>
      <c r="U384" s="82">
        <f>IF(ISNUMBER($T384),IF(ISNUMBER($S384),MAX(EDATE($T384,2),$S384),EDATE($T384,2)),"")</f>
        <v/>
      </c>
      <c r="V384" s="52"/>
      <c r="W384" s="52"/>
      <c r="X384" s="121">
        <f>IF(NOT(ISNUMBER($V384)),"",IF(ISNUMBER($W384),IF($W384-$V384&lt;=28,"Answered in time","LATE: answered after day 28"),IF(TODAY()-$V384&gt;28,"OVERDUE: no reply yet","Reply due by "&amp;TEXT($V384+28,"dd/mm/yyyy"))))</f>
        <v/>
      </c>
      <c r="Y384" s="54"/>
    </row>
    <row r="385" spans="1:25">
      <c r="A385" s="54"/>
      <c r="B385" s="54"/>
      <c r="C385" s="51"/>
      <c r="D385" s="52"/>
      <c r="E385" s="120"/>
      <c r="F385" s="120"/>
      <c r="G385" s="52"/>
      <c r="H385" s="52"/>
      <c r="I385" s="52"/>
      <c r="J385" s="121">
        <f>IF(OR($A385="",NOT(ISNUMBER($F385))),"",IF($F385&lt;=0,"No deposit",IF(NOT(ISNUMBER($G385)),"Enter date received",IF(AND(ISNUMBER($H385),ISNUMBER($I385)),IF(MAX($H385,$I385)-$G385&lt;=29,"OK","LATE: protected / info served after day 30"),IF(TODAY()-$G385&gt;29,"OVERDUE: not protected / info not served","Protect + serve info by "&amp;TEXT($G385+29,"dd/mm/yyyy"))))))</f>
        <v/>
      </c>
      <c r="K385" s="97">
        <f>IF(OR(NOT(ISNUMBER($E385)),NOT(ISNUMBER($F385))),"",IF($F385&lt;=$E385*12/52*5,"OK","Over 5 weeks"))</f>
        <v/>
      </c>
      <c r="L385" s="52"/>
      <c r="M385" s="52"/>
      <c r="N385" s="122">
        <f>IF(OR($A385="",NOT(ISNUMBER($L385))),IF($A385="","","Not recorded"),IF(NOT(ISNUMBER($M385)),"Checked (no follow-up)",IF($M385&lt;TODAY(),"OVERDUE: follow-up check",IF($M385-TODAY()&lt;=60,"Follow-up due "&amp;TEXT($M385,"dd/mm/yyyy"),"Checked"))))</f>
        <v/>
      </c>
      <c r="O385" s="52"/>
      <c r="P385" s="52"/>
      <c r="Q385" s="122">
        <f>IF($A385="","",IF(NOT(ISNUMBER($D385)),"Enter start date",IF($D385&gt;=DATE(2026,5,1),IF(ISNUMBER($O385),"Complete","Missing: written terms"),IF(OR(ISNUMBER($P385),ISNUMBER($O385)),"Complete","Missing: Information Sheet (was due 31/05/2026)"))))</f>
        <v/>
      </c>
      <c r="R385" s="52"/>
      <c r="S385" s="82">
        <f>IF(ISNUMBER($R385),$R385+364,IF(ISNUMBER($D385),$D385+364,""))</f>
        <v/>
      </c>
      <c r="T385" s="52"/>
      <c r="U385" s="82">
        <f>IF(ISNUMBER($T385),IF(ISNUMBER($S385),MAX(EDATE($T385,2),$S385),EDATE($T385,2)),"")</f>
        <v/>
      </c>
      <c r="V385" s="52"/>
      <c r="W385" s="52"/>
      <c r="X385" s="121">
        <f>IF(NOT(ISNUMBER($V385)),"",IF(ISNUMBER($W385),IF($W385-$V385&lt;=28,"Answered in time","LATE: answered after day 28"),IF(TODAY()-$V385&gt;28,"OVERDUE: no reply yet","Reply due by "&amp;TEXT($V385+28,"dd/mm/yyyy"))))</f>
        <v/>
      </c>
      <c r="Y385" s="54"/>
    </row>
    <row r="386" spans="1:25">
      <c r="A386" s="54"/>
      <c r="B386" s="54"/>
      <c r="C386" s="51"/>
      <c r="D386" s="52"/>
      <c r="E386" s="120"/>
      <c r="F386" s="120"/>
      <c r="G386" s="52"/>
      <c r="H386" s="52"/>
      <c r="I386" s="52"/>
      <c r="J386" s="121">
        <f>IF(OR($A386="",NOT(ISNUMBER($F386))),"",IF($F386&lt;=0,"No deposit",IF(NOT(ISNUMBER($G386)),"Enter date received",IF(AND(ISNUMBER($H386),ISNUMBER($I386)),IF(MAX($H386,$I386)-$G386&lt;=29,"OK","LATE: protected / info served after day 30"),IF(TODAY()-$G386&gt;29,"OVERDUE: not protected / info not served","Protect + serve info by "&amp;TEXT($G386+29,"dd/mm/yyyy"))))))</f>
        <v/>
      </c>
      <c r="K386" s="97">
        <f>IF(OR(NOT(ISNUMBER($E386)),NOT(ISNUMBER($F386))),"",IF($F386&lt;=$E386*12/52*5,"OK","Over 5 weeks"))</f>
        <v/>
      </c>
      <c r="L386" s="52"/>
      <c r="M386" s="52"/>
      <c r="N386" s="122">
        <f>IF(OR($A386="",NOT(ISNUMBER($L386))),IF($A386="","","Not recorded"),IF(NOT(ISNUMBER($M386)),"Checked (no follow-up)",IF($M386&lt;TODAY(),"OVERDUE: follow-up check",IF($M386-TODAY()&lt;=60,"Follow-up due "&amp;TEXT($M386,"dd/mm/yyyy"),"Checked"))))</f>
        <v/>
      </c>
      <c r="O386" s="52"/>
      <c r="P386" s="52"/>
      <c r="Q386" s="122">
        <f>IF($A386="","",IF(NOT(ISNUMBER($D386)),"Enter start date",IF($D386&gt;=DATE(2026,5,1),IF(ISNUMBER($O386),"Complete","Missing: written terms"),IF(OR(ISNUMBER($P386),ISNUMBER($O386)),"Complete","Missing: Information Sheet (was due 31/05/2026)"))))</f>
        <v/>
      </c>
      <c r="R386" s="52"/>
      <c r="S386" s="82">
        <f>IF(ISNUMBER($R386),$R386+364,IF(ISNUMBER($D386),$D386+364,""))</f>
        <v/>
      </c>
      <c r="T386" s="52"/>
      <c r="U386" s="82">
        <f>IF(ISNUMBER($T386),IF(ISNUMBER($S386),MAX(EDATE($T386,2),$S386),EDATE($T386,2)),"")</f>
        <v/>
      </c>
      <c r="V386" s="52"/>
      <c r="W386" s="52"/>
      <c r="X386" s="121">
        <f>IF(NOT(ISNUMBER($V386)),"",IF(ISNUMBER($W386),IF($W386-$V386&lt;=28,"Answered in time","LATE: answered after day 28"),IF(TODAY()-$V386&gt;28,"OVERDUE: no reply yet","Reply due by "&amp;TEXT($V386+28,"dd/mm/yyyy"))))</f>
        <v/>
      </c>
      <c r="Y386" s="54"/>
    </row>
    <row r="387" spans="1:25">
      <c r="A387" s="54"/>
      <c r="B387" s="54"/>
      <c r="C387" s="51"/>
      <c r="D387" s="52"/>
      <c r="E387" s="120"/>
      <c r="F387" s="120"/>
      <c r="G387" s="52"/>
      <c r="H387" s="52"/>
      <c r="I387" s="52"/>
      <c r="J387" s="121">
        <f>IF(OR($A387="",NOT(ISNUMBER($F387))),"",IF($F387&lt;=0,"No deposit",IF(NOT(ISNUMBER($G387)),"Enter date received",IF(AND(ISNUMBER($H387),ISNUMBER($I387)),IF(MAX($H387,$I387)-$G387&lt;=29,"OK","LATE: protected / info served after day 30"),IF(TODAY()-$G387&gt;29,"OVERDUE: not protected / info not served","Protect + serve info by "&amp;TEXT($G387+29,"dd/mm/yyyy"))))))</f>
        <v/>
      </c>
      <c r="K387" s="97">
        <f>IF(OR(NOT(ISNUMBER($E387)),NOT(ISNUMBER($F387))),"",IF($F387&lt;=$E387*12/52*5,"OK","Over 5 weeks"))</f>
        <v/>
      </c>
      <c r="L387" s="52"/>
      <c r="M387" s="52"/>
      <c r="N387" s="122">
        <f>IF(OR($A387="",NOT(ISNUMBER($L387))),IF($A387="","","Not recorded"),IF(NOT(ISNUMBER($M387)),"Checked (no follow-up)",IF($M387&lt;TODAY(),"OVERDUE: follow-up check",IF($M387-TODAY()&lt;=60,"Follow-up due "&amp;TEXT($M387,"dd/mm/yyyy"),"Checked"))))</f>
        <v/>
      </c>
      <c r="O387" s="52"/>
      <c r="P387" s="52"/>
      <c r="Q387" s="122">
        <f>IF($A387="","",IF(NOT(ISNUMBER($D387)),"Enter start date",IF($D387&gt;=DATE(2026,5,1),IF(ISNUMBER($O387),"Complete","Missing: written terms"),IF(OR(ISNUMBER($P387),ISNUMBER($O387)),"Complete","Missing: Information Sheet (was due 31/05/2026)"))))</f>
        <v/>
      </c>
      <c r="R387" s="52"/>
      <c r="S387" s="82">
        <f>IF(ISNUMBER($R387),$R387+364,IF(ISNUMBER($D387),$D387+364,""))</f>
        <v/>
      </c>
      <c r="T387" s="52"/>
      <c r="U387" s="82">
        <f>IF(ISNUMBER($T387),IF(ISNUMBER($S387),MAX(EDATE($T387,2),$S387),EDATE($T387,2)),"")</f>
        <v/>
      </c>
      <c r="V387" s="52"/>
      <c r="W387" s="52"/>
      <c r="X387" s="121">
        <f>IF(NOT(ISNUMBER($V387)),"",IF(ISNUMBER($W387),IF($W387-$V387&lt;=28,"Answered in time","LATE: answered after day 28"),IF(TODAY()-$V387&gt;28,"OVERDUE: no reply yet","Reply due by "&amp;TEXT($V387+28,"dd/mm/yyyy"))))</f>
        <v/>
      </c>
      <c r="Y387" s="54"/>
    </row>
    <row r="388" spans="1:25">
      <c r="A388" s="54"/>
      <c r="B388" s="54"/>
      <c r="C388" s="51"/>
      <c r="D388" s="52"/>
      <c r="E388" s="120"/>
      <c r="F388" s="120"/>
      <c r="G388" s="52"/>
      <c r="H388" s="52"/>
      <c r="I388" s="52"/>
      <c r="J388" s="121">
        <f>IF(OR($A388="",NOT(ISNUMBER($F388))),"",IF($F388&lt;=0,"No deposit",IF(NOT(ISNUMBER($G388)),"Enter date received",IF(AND(ISNUMBER($H388),ISNUMBER($I388)),IF(MAX($H388,$I388)-$G388&lt;=29,"OK","LATE: protected / info served after day 30"),IF(TODAY()-$G388&gt;29,"OVERDUE: not protected / info not served","Protect + serve info by "&amp;TEXT($G388+29,"dd/mm/yyyy"))))))</f>
        <v/>
      </c>
      <c r="K388" s="97">
        <f>IF(OR(NOT(ISNUMBER($E388)),NOT(ISNUMBER($F388))),"",IF($F388&lt;=$E388*12/52*5,"OK","Over 5 weeks"))</f>
        <v/>
      </c>
      <c r="L388" s="52"/>
      <c r="M388" s="52"/>
      <c r="N388" s="122">
        <f>IF(OR($A388="",NOT(ISNUMBER($L388))),IF($A388="","","Not recorded"),IF(NOT(ISNUMBER($M388)),"Checked (no follow-up)",IF($M388&lt;TODAY(),"OVERDUE: follow-up check",IF($M388-TODAY()&lt;=60,"Follow-up due "&amp;TEXT($M388,"dd/mm/yyyy"),"Checked"))))</f>
        <v/>
      </c>
      <c r="O388" s="52"/>
      <c r="P388" s="52"/>
      <c r="Q388" s="122">
        <f>IF($A388="","",IF(NOT(ISNUMBER($D388)),"Enter start date",IF($D388&gt;=DATE(2026,5,1),IF(ISNUMBER($O388),"Complete","Missing: written terms"),IF(OR(ISNUMBER($P388),ISNUMBER($O388)),"Complete","Missing: Information Sheet (was due 31/05/2026)"))))</f>
        <v/>
      </c>
      <c r="R388" s="52"/>
      <c r="S388" s="82">
        <f>IF(ISNUMBER($R388),$R388+364,IF(ISNUMBER($D388),$D388+364,""))</f>
        <v/>
      </c>
      <c r="T388" s="52"/>
      <c r="U388" s="82">
        <f>IF(ISNUMBER($T388),IF(ISNUMBER($S388),MAX(EDATE($T388,2),$S388),EDATE($T388,2)),"")</f>
        <v/>
      </c>
      <c r="V388" s="52"/>
      <c r="W388" s="52"/>
      <c r="X388" s="121">
        <f>IF(NOT(ISNUMBER($V388)),"",IF(ISNUMBER($W388),IF($W388-$V388&lt;=28,"Answered in time","LATE: answered after day 28"),IF(TODAY()-$V388&gt;28,"OVERDUE: no reply yet","Reply due by "&amp;TEXT($V388+28,"dd/mm/yyyy"))))</f>
        <v/>
      </c>
      <c r="Y388" s="54"/>
    </row>
    <row r="389" spans="1:25">
      <c r="A389" s="54"/>
      <c r="B389" s="54"/>
      <c r="C389" s="51"/>
      <c r="D389" s="52"/>
      <c r="E389" s="120"/>
      <c r="F389" s="120"/>
      <c r="G389" s="52"/>
      <c r="H389" s="52"/>
      <c r="I389" s="52"/>
      <c r="J389" s="121">
        <f>IF(OR($A389="",NOT(ISNUMBER($F389))),"",IF($F389&lt;=0,"No deposit",IF(NOT(ISNUMBER($G389)),"Enter date received",IF(AND(ISNUMBER($H389),ISNUMBER($I389)),IF(MAX($H389,$I389)-$G389&lt;=29,"OK","LATE: protected / info served after day 30"),IF(TODAY()-$G389&gt;29,"OVERDUE: not protected / info not served","Protect + serve info by "&amp;TEXT($G389+29,"dd/mm/yyyy"))))))</f>
        <v/>
      </c>
      <c r="K389" s="97">
        <f>IF(OR(NOT(ISNUMBER($E389)),NOT(ISNUMBER($F389))),"",IF($F389&lt;=$E389*12/52*5,"OK","Over 5 weeks"))</f>
        <v/>
      </c>
      <c r="L389" s="52"/>
      <c r="M389" s="52"/>
      <c r="N389" s="122">
        <f>IF(OR($A389="",NOT(ISNUMBER($L389))),IF($A389="","","Not recorded"),IF(NOT(ISNUMBER($M389)),"Checked (no follow-up)",IF($M389&lt;TODAY(),"OVERDUE: follow-up check",IF($M389-TODAY()&lt;=60,"Follow-up due "&amp;TEXT($M389,"dd/mm/yyyy"),"Checked"))))</f>
        <v/>
      </c>
      <c r="O389" s="52"/>
      <c r="P389" s="52"/>
      <c r="Q389" s="122">
        <f>IF($A389="","",IF(NOT(ISNUMBER($D389)),"Enter start date",IF($D389&gt;=DATE(2026,5,1),IF(ISNUMBER($O389),"Complete","Missing: written terms"),IF(OR(ISNUMBER($P389),ISNUMBER($O389)),"Complete","Missing: Information Sheet (was due 31/05/2026)"))))</f>
        <v/>
      </c>
      <c r="R389" s="52"/>
      <c r="S389" s="82">
        <f>IF(ISNUMBER($R389),$R389+364,IF(ISNUMBER($D389),$D389+364,""))</f>
        <v/>
      </c>
      <c r="T389" s="52"/>
      <c r="U389" s="82">
        <f>IF(ISNUMBER($T389),IF(ISNUMBER($S389),MAX(EDATE($T389,2),$S389),EDATE($T389,2)),"")</f>
        <v/>
      </c>
      <c r="V389" s="52"/>
      <c r="W389" s="52"/>
      <c r="X389" s="121">
        <f>IF(NOT(ISNUMBER($V389)),"",IF(ISNUMBER($W389),IF($W389-$V389&lt;=28,"Answered in time","LATE: answered after day 28"),IF(TODAY()-$V389&gt;28,"OVERDUE: no reply yet","Reply due by "&amp;TEXT($V389+28,"dd/mm/yyyy"))))</f>
        <v/>
      </c>
      <c r="Y389" s="54"/>
    </row>
    <row r="390" spans="1:25">
      <c r="A390" s="54"/>
      <c r="B390" s="54"/>
      <c r="C390" s="51"/>
      <c r="D390" s="52"/>
      <c r="E390" s="120"/>
      <c r="F390" s="120"/>
      <c r="G390" s="52"/>
      <c r="H390" s="52"/>
      <c r="I390" s="52"/>
      <c r="J390" s="121">
        <f>IF(OR($A390="",NOT(ISNUMBER($F390))),"",IF($F390&lt;=0,"No deposit",IF(NOT(ISNUMBER($G390)),"Enter date received",IF(AND(ISNUMBER($H390),ISNUMBER($I390)),IF(MAX($H390,$I390)-$G390&lt;=29,"OK","LATE: protected / info served after day 30"),IF(TODAY()-$G390&gt;29,"OVERDUE: not protected / info not served","Protect + serve info by "&amp;TEXT($G390+29,"dd/mm/yyyy"))))))</f>
        <v/>
      </c>
      <c r="K390" s="97">
        <f>IF(OR(NOT(ISNUMBER($E390)),NOT(ISNUMBER($F390))),"",IF($F390&lt;=$E390*12/52*5,"OK","Over 5 weeks"))</f>
        <v/>
      </c>
      <c r="L390" s="52"/>
      <c r="M390" s="52"/>
      <c r="N390" s="122">
        <f>IF(OR($A390="",NOT(ISNUMBER($L390))),IF($A390="","","Not recorded"),IF(NOT(ISNUMBER($M390)),"Checked (no follow-up)",IF($M390&lt;TODAY(),"OVERDUE: follow-up check",IF($M390-TODAY()&lt;=60,"Follow-up due "&amp;TEXT($M390,"dd/mm/yyyy"),"Checked"))))</f>
        <v/>
      </c>
      <c r="O390" s="52"/>
      <c r="P390" s="52"/>
      <c r="Q390" s="122">
        <f>IF($A390="","",IF(NOT(ISNUMBER($D390)),"Enter start date",IF($D390&gt;=DATE(2026,5,1),IF(ISNUMBER($O390),"Complete","Missing: written terms"),IF(OR(ISNUMBER($P390),ISNUMBER($O390)),"Complete","Missing: Information Sheet (was due 31/05/2026)"))))</f>
        <v/>
      </c>
      <c r="R390" s="52"/>
      <c r="S390" s="82">
        <f>IF(ISNUMBER($R390),$R390+364,IF(ISNUMBER($D390),$D390+364,""))</f>
        <v/>
      </c>
      <c r="T390" s="52"/>
      <c r="U390" s="82">
        <f>IF(ISNUMBER($T390),IF(ISNUMBER($S390),MAX(EDATE($T390,2),$S390),EDATE($T390,2)),"")</f>
        <v/>
      </c>
      <c r="V390" s="52"/>
      <c r="W390" s="52"/>
      <c r="X390" s="121">
        <f>IF(NOT(ISNUMBER($V390)),"",IF(ISNUMBER($W390),IF($W390-$V390&lt;=28,"Answered in time","LATE: answered after day 28"),IF(TODAY()-$V390&gt;28,"OVERDUE: no reply yet","Reply due by "&amp;TEXT($V390+28,"dd/mm/yyyy"))))</f>
        <v/>
      </c>
      <c r="Y390" s="54"/>
    </row>
    <row r="391" spans="1:25">
      <c r="A391" s="54"/>
      <c r="B391" s="54"/>
      <c r="C391" s="51"/>
      <c r="D391" s="52"/>
      <c r="E391" s="120"/>
      <c r="F391" s="120"/>
      <c r="G391" s="52"/>
      <c r="H391" s="52"/>
      <c r="I391" s="52"/>
      <c r="J391" s="121">
        <f>IF(OR($A391="",NOT(ISNUMBER($F391))),"",IF($F391&lt;=0,"No deposit",IF(NOT(ISNUMBER($G391)),"Enter date received",IF(AND(ISNUMBER($H391),ISNUMBER($I391)),IF(MAX($H391,$I391)-$G391&lt;=29,"OK","LATE: protected / info served after day 30"),IF(TODAY()-$G391&gt;29,"OVERDUE: not protected / info not served","Protect + serve info by "&amp;TEXT($G391+29,"dd/mm/yyyy"))))))</f>
        <v/>
      </c>
      <c r="K391" s="97">
        <f>IF(OR(NOT(ISNUMBER($E391)),NOT(ISNUMBER($F391))),"",IF($F391&lt;=$E391*12/52*5,"OK","Over 5 weeks"))</f>
        <v/>
      </c>
      <c r="L391" s="52"/>
      <c r="M391" s="52"/>
      <c r="N391" s="122">
        <f>IF(OR($A391="",NOT(ISNUMBER($L391))),IF($A391="","","Not recorded"),IF(NOT(ISNUMBER($M391)),"Checked (no follow-up)",IF($M391&lt;TODAY(),"OVERDUE: follow-up check",IF($M391-TODAY()&lt;=60,"Follow-up due "&amp;TEXT($M391,"dd/mm/yyyy"),"Checked"))))</f>
        <v/>
      </c>
      <c r="O391" s="52"/>
      <c r="P391" s="52"/>
      <c r="Q391" s="122">
        <f>IF($A391="","",IF(NOT(ISNUMBER($D391)),"Enter start date",IF($D391&gt;=DATE(2026,5,1),IF(ISNUMBER($O391),"Complete","Missing: written terms"),IF(OR(ISNUMBER($P391),ISNUMBER($O391)),"Complete","Missing: Information Sheet (was due 31/05/2026)"))))</f>
        <v/>
      </c>
      <c r="R391" s="52"/>
      <c r="S391" s="82">
        <f>IF(ISNUMBER($R391),$R391+364,IF(ISNUMBER($D391),$D391+364,""))</f>
        <v/>
      </c>
      <c r="T391" s="52"/>
      <c r="U391" s="82">
        <f>IF(ISNUMBER($T391),IF(ISNUMBER($S391),MAX(EDATE($T391,2),$S391),EDATE($T391,2)),"")</f>
        <v/>
      </c>
      <c r="V391" s="52"/>
      <c r="W391" s="52"/>
      <c r="X391" s="121">
        <f>IF(NOT(ISNUMBER($V391)),"",IF(ISNUMBER($W391),IF($W391-$V391&lt;=28,"Answered in time","LATE: answered after day 28"),IF(TODAY()-$V391&gt;28,"OVERDUE: no reply yet","Reply due by "&amp;TEXT($V391+28,"dd/mm/yyyy"))))</f>
        <v/>
      </c>
      <c r="Y391" s="54"/>
    </row>
    <row r="392" spans="1:25">
      <c r="A392" s="54"/>
      <c r="B392" s="54"/>
      <c r="C392" s="51"/>
      <c r="D392" s="52"/>
      <c r="E392" s="120"/>
      <c r="F392" s="120"/>
      <c r="G392" s="52"/>
      <c r="H392" s="52"/>
      <c r="I392" s="52"/>
      <c r="J392" s="121">
        <f>IF(OR($A392="",NOT(ISNUMBER($F392))),"",IF($F392&lt;=0,"No deposit",IF(NOT(ISNUMBER($G392)),"Enter date received",IF(AND(ISNUMBER($H392),ISNUMBER($I392)),IF(MAX($H392,$I392)-$G392&lt;=29,"OK","LATE: protected / info served after day 30"),IF(TODAY()-$G392&gt;29,"OVERDUE: not protected / info not served","Protect + serve info by "&amp;TEXT($G392+29,"dd/mm/yyyy"))))))</f>
        <v/>
      </c>
      <c r="K392" s="97">
        <f>IF(OR(NOT(ISNUMBER($E392)),NOT(ISNUMBER($F392))),"",IF($F392&lt;=$E392*12/52*5,"OK","Over 5 weeks"))</f>
        <v/>
      </c>
      <c r="L392" s="52"/>
      <c r="M392" s="52"/>
      <c r="N392" s="122">
        <f>IF(OR($A392="",NOT(ISNUMBER($L392))),IF($A392="","","Not recorded"),IF(NOT(ISNUMBER($M392)),"Checked (no follow-up)",IF($M392&lt;TODAY(),"OVERDUE: follow-up check",IF($M392-TODAY()&lt;=60,"Follow-up due "&amp;TEXT($M392,"dd/mm/yyyy"),"Checked"))))</f>
        <v/>
      </c>
      <c r="O392" s="52"/>
      <c r="P392" s="52"/>
      <c r="Q392" s="122">
        <f>IF($A392="","",IF(NOT(ISNUMBER($D392)),"Enter start date",IF($D392&gt;=DATE(2026,5,1),IF(ISNUMBER($O392),"Complete","Missing: written terms"),IF(OR(ISNUMBER($P392),ISNUMBER($O392)),"Complete","Missing: Information Sheet (was due 31/05/2026)"))))</f>
        <v/>
      </c>
      <c r="R392" s="52"/>
      <c r="S392" s="82">
        <f>IF(ISNUMBER($R392),$R392+364,IF(ISNUMBER($D392),$D392+364,""))</f>
        <v/>
      </c>
      <c r="T392" s="52"/>
      <c r="U392" s="82">
        <f>IF(ISNUMBER($T392),IF(ISNUMBER($S392),MAX(EDATE($T392,2),$S392),EDATE($T392,2)),"")</f>
        <v/>
      </c>
      <c r="V392" s="52"/>
      <c r="W392" s="52"/>
      <c r="X392" s="121">
        <f>IF(NOT(ISNUMBER($V392)),"",IF(ISNUMBER($W392),IF($W392-$V392&lt;=28,"Answered in time","LATE: answered after day 28"),IF(TODAY()-$V392&gt;28,"OVERDUE: no reply yet","Reply due by "&amp;TEXT($V392+28,"dd/mm/yyyy"))))</f>
        <v/>
      </c>
      <c r="Y392" s="54"/>
    </row>
    <row r="393" spans="1:25">
      <c r="A393" s="54"/>
      <c r="B393" s="54"/>
      <c r="C393" s="51"/>
      <c r="D393" s="52"/>
      <c r="E393" s="120"/>
      <c r="F393" s="120"/>
      <c r="G393" s="52"/>
      <c r="H393" s="52"/>
      <c r="I393" s="52"/>
      <c r="J393" s="121">
        <f>IF(OR($A393="",NOT(ISNUMBER($F393))),"",IF($F393&lt;=0,"No deposit",IF(NOT(ISNUMBER($G393)),"Enter date received",IF(AND(ISNUMBER($H393),ISNUMBER($I393)),IF(MAX($H393,$I393)-$G393&lt;=29,"OK","LATE: protected / info served after day 30"),IF(TODAY()-$G393&gt;29,"OVERDUE: not protected / info not served","Protect + serve info by "&amp;TEXT($G393+29,"dd/mm/yyyy"))))))</f>
        <v/>
      </c>
      <c r="K393" s="97">
        <f>IF(OR(NOT(ISNUMBER($E393)),NOT(ISNUMBER($F393))),"",IF($F393&lt;=$E393*12/52*5,"OK","Over 5 weeks"))</f>
        <v/>
      </c>
      <c r="L393" s="52"/>
      <c r="M393" s="52"/>
      <c r="N393" s="122">
        <f>IF(OR($A393="",NOT(ISNUMBER($L393))),IF($A393="","","Not recorded"),IF(NOT(ISNUMBER($M393)),"Checked (no follow-up)",IF($M393&lt;TODAY(),"OVERDUE: follow-up check",IF($M393-TODAY()&lt;=60,"Follow-up due "&amp;TEXT($M393,"dd/mm/yyyy"),"Checked"))))</f>
        <v/>
      </c>
      <c r="O393" s="52"/>
      <c r="P393" s="52"/>
      <c r="Q393" s="122">
        <f>IF($A393="","",IF(NOT(ISNUMBER($D393)),"Enter start date",IF($D393&gt;=DATE(2026,5,1),IF(ISNUMBER($O393),"Complete","Missing: written terms"),IF(OR(ISNUMBER($P393),ISNUMBER($O393)),"Complete","Missing: Information Sheet (was due 31/05/2026)"))))</f>
        <v/>
      </c>
      <c r="R393" s="52"/>
      <c r="S393" s="82">
        <f>IF(ISNUMBER($R393),$R393+364,IF(ISNUMBER($D393),$D393+364,""))</f>
        <v/>
      </c>
      <c r="T393" s="52"/>
      <c r="U393" s="82">
        <f>IF(ISNUMBER($T393),IF(ISNUMBER($S393),MAX(EDATE($T393,2),$S393),EDATE($T393,2)),"")</f>
        <v/>
      </c>
      <c r="V393" s="52"/>
      <c r="W393" s="52"/>
      <c r="X393" s="121">
        <f>IF(NOT(ISNUMBER($V393)),"",IF(ISNUMBER($W393),IF($W393-$V393&lt;=28,"Answered in time","LATE: answered after day 28"),IF(TODAY()-$V393&gt;28,"OVERDUE: no reply yet","Reply due by "&amp;TEXT($V393+28,"dd/mm/yyyy"))))</f>
        <v/>
      </c>
      <c r="Y393" s="54"/>
    </row>
    <row r="394" spans="1:25">
      <c r="A394" s="54"/>
      <c r="B394" s="54"/>
      <c r="C394" s="51"/>
      <c r="D394" s="52"/>
      <c r="E394" s="120"/>
      <c r="F394" s="120"/>
      <c r="G394" s="52"/>
      <c r="H394" s="52"/>
      <c r="I394" s="52"/>
      <c r="J394" s="121">
        <f>IF(OR($A394="",NOT(ISNUMBER($F394))),"",IF($F394&lt;=0,"No deposit",IF(NOT(ISNUMBER($G394)),"Enter date received",IF(AND(ISNUMBER($H394),ISNUMBER($I394)),IF(MAX($H394,$I394)-$G394&lt;=29,"OK","LATE: protected / info served after day 30"),IF(TODAY()-$G394&gt;29,"OVERDUE: not protected / info not served","Protect + serve info by "&amp;TEXT($G394+29,"dd/mm/yyyy"))))))</f>
        <v/>
      </c>
      <c r="K394" s="97">
        <f>IF(OR(NOT(ISNUMBER($E394)),NOT(ISNUMBER($F394))),"",IF($F394&lt;=$E394*12/52*5,"OK","Over 5 weeks"))</f>
        <v/>
      </c>
      <c r="L394" s="52"/>
      <c r="M394" s="52"/>
      <c r="N394" s="122">
        <f>IF(OR($A394="",NOT(ISNUMBER($L394))),IF($A394="","","Not recorded"),IF(NOT(ISNUMBER($M394)),"Checked (no follow-up)",IF($M394&lt;TODAY(),"OVERDUE: follow-up check",IF($M394-TODAY()&lt;=60,"Follow-up due "&amp;TEXT($M394,"dd/mm/yyyy"),"Checked"))))</f>
        <v/>
      </c>
      <c r="O394" s="52"/>
      <c r="P394" s="52"/>
      <c r="Q394" s="122">
        <f>IF($A394="","",IF(NOT(ISNUMBER($D394)),"Enter start date",IF($D394&gt;=DATE(2026,5,1),IF(ISNUMBER($O394),"Complete","Missing: written terms"),IF(OR(ISNUMBER($P394),ISNUMBER($O394)),"Complete","Missing: Information Sheet (was due 31/05/2026)"))))</f>
        <v/>
      </c>
      <c r="R394" s="52"/>
      <c r="S394" s="82">
        <f>IF(ISNUMBER($R394),$R394+364,IF(ISNUMBER($D394),$D394+364,""))</f>
        <v/>
      </c>
      <c r="T394" s="52"/>
      <c r="U394" s="82">
        <f>IF(ISNUMBER($T394),IF(ISNUMBER($S394),MAX(EDATE($T394,2),$S394),EDATE($T394,2)),"")</f>
        <v/>
      </c>
      <c r="V394" s="52"/>
      <c r="W394" s="52"/>
      <c r="X394" s="121">
        <f>IF(NOT(ISNUMBER($V394)),"",IF(ISNUMBER($W394),IF($W394-$V394&lt;=28,"Answered in time","LATE: answered after day 28"),IF(TODAY()-$V394&gt;28,"OVERDUE: no reply yet","Reply due by "&amp;TEXT($V394+28,"dd/mm/yyyy"))))</f>
        <v/>
      </c>
      <c r="Y394" s="54"/>
    </row>
    <row r="395" spans="1:25">
      <c r="A395" s="54"/>
      <c r="B395" s="54"/>
      <c r="C395" s="51"/>
      <c r="D395" s="52"/>
      <c r="E395" s="120"/>
      <c r="F395" s="120"/>
      <c r="G395" s="52"/>
      <c r="H395" s="52"/>
      <c r="I395" s="52"/>
      <c r="J395" s="121">
        <f>IF(OR($A395="",NOT(ISNUMBER($F395))),"",IF($F395&lt;=0,"No deposit",IF(NOT(ISNUMBER($G395)),"Enter date received",IF(AND(ISNUMBER($H395),ISNUMBER($I395)),IF(MAX($H395,$I395)-$G395&lt;=29,"OK","LATE: protected / info served after day 30"),IF(TODAY()-$G395&gt;29,"OVERDUE: not protected / info not served","Protect + serve info by "&amp;TEXT($G395+29,"dd/mm/yyyy"))))))</f>
        <v/>
      </c>
      <c r="K395" s="97">
        <f>IF(OR(NOT(ISNUMBER($E395)),NOT(ISNUMBER($F395))),"",IF($F395&lt;=$E395*12/52*5,"OK","Over 5 weeks"))</f>
        <v/>
      </c>
      <c r="L395" s="52"/>
      <c r="M395" s="52"/>
      <c r="N395" s="122">
        <f>IF(OR($A395="",NOT(ISNUMBER($L395))),IF($A395="","","Not recorded"),IF(NOT(ISNUMBER($M395)),"Checked (no follow-up)",IF($M395&lt;TODAY(),"OVERDUE: follow-up check",IF($M395-TODAY()&lt;=60,"Follow-up due "&amp;TEXT($M395,"dd/mm/yyyy"),"Checked"))))</f>
        <v/>
      </c>
      <c r="O395" s="52"/>
      <c r="P395" s="52"/>
      <c r="Q395" s="122">
        <f>IF($A395="","",IF(NOT(ISNUMBER($D395)),"Enter start date",IF($D395&gt;=DATE(2026,5,1),IF(ISNUMBER($O395),"Complete","Missing: written terms"),IF(OR(ISNUMBER($P395),ISNUMBER($O395)),"Complete","Missing: Information Sheet (was due 31/05/2026)"))))</f>
        <v/>
      </c>
      <c r="R395" s="52"/>
      <c r="S395" s="82">
        <f>IF(ISNUMBER($R395),$R395+364,IF(ISNUMBER($D395),$D395+364,""))</f>
        <v/>
      </c>
      <c r="T395" s="52"/>
      <c r="U395" s="82">
        <f>IF(ISNUMBER($T395),IF(ISNUMBER($S395),MAX(EDATE($T395,2),$S395),EDATE($T395,2)),"")</f>
        <v/>
      </c>
      <c r="V395" s="52"/>
      <c r="W395" s="52"/>
      <c r="X395" s="121">
        <f>IF(NOT(ISNUMBER($V395)),"",IF(ISNUMBER($W395),IF($W395-$V395&lt;=28,"Answered in time","LATE: answered after day 28"),IF(TODAY()-$V395&gt;28,"OVERDUE: no reply yet","Reply due by "&amp;TEXT($V395+28,"dd/mm/yyyy"))))</f>
        <v/>
      </c>
      <c r="Y395" s="54"/>
    </row>
    <row r="396" spans="1:25">
      <c r="A396" s="54"/>
      <c r="B396" s="54"/>
      <c r="C396" s="51"/>
      <c r="D396" s="52"/>
      <c r="E396" s="120"/>
      <c r="F396" s="120"/>
      <c r="G396" s="52"/>
      <c r="H396" s="52"/>
      <c r="I396" s="52"/>
      <c r="J396" s="121">
        <f>IF(OR($A396="",NOT(ISNUMBER($F396))),"",IF($F396&lt;=0,"No deposit",IF(NOT(ISNUMBER($G396)),"Enter date received",IF(AND(ISNUMBER($H396),ISNUMBER($I396)),IF(MAX($H396,$I396)-$G396&lt;=29,"OK","LATE: protected / info served after day 30"),IF(TODAY()-$G396&gt;29,"OVERDUE: not protected / info not served","Protect + serve info by "&amp;TEXT($G396+29,"dd/mm/yyyy"))))))</f>
        <v/>
      </c>
      <c r="K396" s="97">
        <f>IF(OR(NOT(ISNUMBER($E396)),NOT(ISNUMBER($F396))),"",IF($F396&lt;=$E396*12/52*5,"OK","Over 5 weeks"))</f>
        <v/>
      </c>
      <c r="L396" s="52"/>
      <c r="M396" s="52"/>
      <c r="N396" s="122">
        <f>IF(OR($A396="",NOT(ISNUMBER($L396))),IF($A396="","","Not recorded"),IF(NOT(ISNUMBER($M396)),"Checked (no follow-up)",IF($M396&lt;TODAY(),"OVERDUE: follow-up check",IF($M396-TODAY()&lt;=60,"Follow-up due "&amp;TEXT($M396,"dd/mm/yyyy"),"Checked"))))</f>
        <v/>
      </c>
      <c r="O396" s="52"/>
      <c r="P396" s="52"/>
      <c r="Q396" s="122">
        <f>IF($A396="","",IF(NOT(ISNUMBER($D396)),"Enter start date",IF($D396&gt;=DATE(2026,5,1),IF(ISNUMBER($O396),"Complete","Missing: written terms"),IF(OR(ISNUMBER($P396),ISNUMBER($O396)),"Complete","Missing: Information Sheet (was due 31/05/2026)"))))</f>
        <v/>
      </c>
      <c r="R396" s="52"/>
      <c r="S396" s="82">
        <f>IF(ISNUMBER($R396),$R396+364,IF(ISNUMBER($D396),$D396+364,""))</f>
        <v/>
      </c>
      <c r="T396" s="52"/>
      <c r="U396" s="82">
        <f>IF(ISNUMBER($T396),IF(ISNUMBER($S396),MAX(EDATE($T396,2),$S396),EDATE($T396,2)),"")</f>
        <v/>
      </c>
      <c r="V396" s="52"/>
      <c r="W396" s="52"/>
      <c r="X396" s="121">
        <f>IF(NOT(ISNUMBER($V396)),"",IF(ISNUMBER($W396),IF($W396-$V396&lt;=28,"Answered in time","LATE: answered after day 28"),IF(TODAY()-$V396&gt;28,"OVERDUE: no reply yet","Reply due by "&amp;TEXT($V396+28,"dd/mm/yyyy"))))</f>
        <v/>
      </c>
      <c r="Y396" s="54"/>
    </row>
    <row r="397" spans="1:25">
      <c r="A397" s="54"/>
      <c r="B397" s="54"/>
      <c r="C397" s="51"/>
      <c r="D397" s="52"/>
      <c r="E397" s="120"/>
      <c r="F397" s="120"/>
      <c r="G397" s="52"/>
      <c r="H397" s="52"/>
      <c r="I397" s="52"/>
      <c r="J397" s="121">
        <f>IF(OR($A397="",NOT(ISNUMBER($F397))),"",IF($F397&lt;=0,"No deposit",IF(NOT(ISNUMBER($G397)),"Enter date received",IF(AND(ISNUMBER($H397),ISNUMBER($I397)),IF(MAX($H397,$I397)-$G397&lt;=29,"OK","LATE: protected / info served after day 30"),IF(TODAY()-$G397&gt;29,"OVERDUE: not protected / info not served","Protect + serve info by "&amp;TEXT($G397+29,"dd/mm/yyyy"))))))</f>
        <v/>
      </c>
      <c r="K397" s="97">
        <f>IF(OR(NOT(ISNUMBER($E397)),NOT(ISNUMBER($F397))),"",IF($F397&lt;=$E397*12/52*5,"OK","Over 5 weeks"))</f>
        <v/>
      </c>
      <c r="L397" s="52"/>
      <c r="M397" s="52"/>
      <c r="N397" s="122">
        <f>IF(OR($A397="",NOT(ISNUMBER($L397))),IF($A397="","","Not recorded"),IF(NOT(ISNUMBER($M397)),"Checked (no follow-up)",IF($M397&lt;TODAY(),"OVERDUE: follow-up check",IF($M397-TODAY()&lt;=60,"Follow-up due "&amp;TEXT($M397,"dd/mm/yyyy"),"Checked"))))</f>
        <v/>
      </c>
      <c r="O397" s="52"/>
      <c r="P397" s="52"/>
      <c r="Q397" s="122">
        <f>IF($A397="","",IF(NOT(ISNUMBER($D397)),"Enter start date",IF($D397&gt;=DATE(2026,5,1),IF(ISNUMBER($O397),"Complete","Missing: written terms"),IF(OR(ISNUMBER($P397),ISNUMBER($O397)),"Complete","Missing: Information Sheet (was due 31/05/2026)"))))</f>
        <v/>
      </c>
      <c r="R397" s="52"/>
      <c r="S397" s="82">
        <f>IF(ISNUMBER($R397),$R397+364,IF(ISNUMBER($D397),$D397+364,""))</f>
        <v/>
      </c>
      <c r="T397" s="52"/>
      <c r="U397" s="82">
        <f>IF(ISNUMBER($T397),IF(ISNUMBER($S397),MAX(EDATE($T397,2),$S397),EDATE($T397,2)),"")</f>
        <v/>
      </c>
      <c r="V397" s="52"/>
      <c r="W397" s="52"/>
      <c r="X397" s="121">
        <f>IF(NOT(ISNUMBER($V397)),"",IF(ISNUMBER($W397),IF($W397-$V397&lt;=28,"Answered in time","LATE: answered after day 28"),IF(TODAY()-$V397&gt;28,"OVERDUE: no reply yet","Reply due by "&amp;TEXT($V397+28,"dd/mm/yyyy"))))</f>
        <v/>
      </c>
      <c r="Y397" s="54"/>
    </row>
    <row r="398" spans="1:25">
      <c r="A398" s="54"/>
      <c r="B398" s="54"/>
      <c r="C398" s="51"/>
      <c r="D398" s="52"/>
      <c r="E398" s="120"/>
      <c r="F398" s="120"/>
      <c r="G398" s="52"/>
      <c r="H398" s="52"/>
      <c r="I398" s="52"/>
      <c r="J398" s="121">
        <f>IF(OR($A398="",NOT(ISNUMBER($F398))),"",IF($F398&lt;=0,"No deposit",IF(NOT(ISNUMBER($G398)),"Enter date received",IF(AND(ISNUMBER($H398),ISNUMBER($I398)),IF(MAX($H398,$I398)-$G398&lt;=29,"OK","LATE: protected / info served after day 30"),IF(TODAY()-$G398&gt;29,"OVERDUE: not protected / info not served","Protect + serve info by "&amp;TEXT($G398+29,"dd/mm/yyyy"))))))</f>
        <v/>
      </c>
      <c r="K398" s="97">
        <f>IF(OR(NOT(ISNUMBER($E398)),NOT(ISNUMBER($F398))),"",IF($F398&lt;=$E398*12/52*5,"OK","Over 5 weeks"))</f>
        <v/>
      </c>
      <c r="L398" s="52"/>
      <c r="M398" s="52"/>
      <c r="N398" s="122">
        <f>IF(OR($A398="",NOT(ISNUMBER($L398))),IF($A398="","","Not recorded"),IF(NOT(ISNUMBER($M398)),"Checked (no follow-up)",IF($M398&lt;TODAY(),"OVERDUE: follow-up check",IF($M398-TODAY()&lt;=60,"Follow-up due "&amp;TEXT($M398,"dd/mm/yyyy"),"Checked"))))</f>
        <v/>
      </c>
      <c r="O398" s="52"/>
      <c r="P398" s="52"/>
      <c r="Q398" s="122">
        <f>IF($A398="","",IF(NOT(ISNUMBER($D398)),"Enter start date",IF($D398&gt;=DATE(2026,5,1),IF(ISNUMBER($O398),"Complete","Missing: written terms"),IF(OR(ISNUMBER($P398),ISNUMBER($O398)),"Complete","Missing: Information Sheet (was due 31/05/2026)"))))</f>
        <v/>
      </c>
      <c r="R398" s="52"/>
      <c r="S398" s="82">
        <f>IF(ISNUMBER($R398),$R398+364,IF(ISNUMBER($D398),$D398+364,""))</f>
        <v/>
      </c>
      <c r="T398" s="52"/>
      <c r="U398" s="82">
        <f>IF(ISNUMBER($T398),IF(ISNUMBER($S398),MAX(EDATE($T398,2),$S398),EDATE($T398,2)),"")</f>
        <v/>
      </c>
      <c r="V398" s="52"/>
      <c r="W398" s="52"/>
      <c r="X398" s="121">
        <f>IF(NOT(ISNUMBER($V398)),"",IF(ISNUMBER($W398),IF($W398-$V398&lt;=28,"Answered in time","LATE: answered after day 28"),IF(TODAY()-$V398&gt;28,"OVERDUE: no reply yet","Reply due by "&amp;TEXT($V398+28,"dd/mm/yyyy"))))</f>
        <v/>
      </c>
      <c r="Y398" s="54"/>
    </row>
    <row r="399" spans="1:25">
      <c r="A399" s="54"/>
      <c r="B399" s="54"/>
      <c r="C399" s="51"/>
      <c r="D399" s="52"/>
      <c r="E399" s="120"/>
      <c r="F399" s="120"/>
      <c r="G399" s="52"/>
      <c r="H399" s="52"/>
      <c r="I399" s="52"/>
      <c r="J399" s="121">
        <f>IF(OR($A399="",NOT(ISNUMBER($F399))),"",IF($F399&lt;=0,"No deposit",IF(NOT(ISNUMBER($G399)),"Enter date received",IF(AND(ISNUMBER($H399),ISNUMBER($I399)),IF(MAX($H399,$I399)-$G399&lt;=29,"OK","LATE: protected / info served after day 30"),IF(TODAY()-$G399&gt;29,"OVERDUE: not protected / info not served","Protect + serve info by "&amp;TEXT($G399+29,"dd/mm/yyyy"))))))</f>
        <v/>
      </c>
      <c r="K399" s="97">
        <f>IF(OR(NOT(ISNUMBER($E399)),NOT(ISNUMBER($F399))),"",IF($F399&lt;=$E399*12/52*5,"OK","Over 5 weeks"))</f>
        <v/>
      </c>
      <c r="L399" s="52"/>
      <c r="M399" s="52"/>
      <c r="N399" s="122">
        <f>IF(OR($A399="",NOT(ISNUMBER($L399))),IF($A399="","","Not recorded"),IF(NOT(ISNUMBER($M399)),"Checked (no follow-up)",IF($M399&lt;TODAY(),"OVERDUE: follow-up check",IF($M399-TODAY()&lt;=60,"Follow-up due "&amp;TEXT($M399,"dd/mm/yyyy"),"Checked"))))</f>
        <v/>
      </c>
      <c r="O399" s="52"/>
      <c r="P399" s="52"/>
      <c r="Q399" s="122">
        <f>IF($A399="","",IF(NOT(ISNUMBER($D399)),"Enter start date",IF($D399&gt;=DATE(2026,5,1),IF(ISNUMBER($O399),"Complete","Missing: written terms"),IF(OR(ISNUMBER($P399),ISNUMBER($O399)),"Complete","Missing: Information Sheet (was due 31/05/2026)"))))</f>
        <v/>
      </c>
      <c r="R399" s="52"/>
      <c r="S399" s="82">
        <f>IF(ISNUMBER($R399),$R399+364,IF(ISNUMBER($D399),$D399+364,""))</f>
        <v/>
      </c>
      <c r="T399" s="52"/>
      <c r="U399" s="82">
        <f>IF(ISNUMBER($T399),IF(ISNUMBER($S399),MAX(EDATE($T399,2),$S399),EDATE($T399,2)),"")</f>
        <v/>
      </c>
      <c r="V399" s="52"/>
      <c r="W399" s="52"/>
      <c r="X399" s="121">
        <f>IF(NOT(ISNUMBER($V399)),"",IF(ISNUMBER($W399),IF($W399-$V399&lt;=28,"Answered in time","LATE: answered after day 28"),IF(TODAY()-$V399&gt;28,"OVERDUE: no reply yet","Reply due by "&amp;TEXT($V399+28,"dd/mm/yyyy"))))</f>
        <v/>
      </c>
      <c r="Y399" s="54"/>
    </row>
    <row r="400" spans="1:25">
      <c r="A400" s="54"/>
      <c r="B400" s="54"/>
      <c r="C400" s="51"/>
      <c r="D400" s="52"/>
      <c r="E400" s="120"/>
      <c r="F400" s="120"/>
      <c r="G400" s="52"/>
      <c r="H400" s="52"/>
      <c r="I400" s="52"/>
      <c r="J400" s="121">
        <f>IF(OR($A400="",NOT(ISNUMBER($F400))),"",IF($F400&lt;=0,"No deposit",IF(NOT(ISNUMBER($G400)),"Enter date received",IF(AND(ISNUMBER($H400),ISNUMBER($I400)),IF(MAX($H400,$I400)-$G400&lt;=29,"OK","LATE: protected / info served after day 30"),IF(TODAY()-$G400&gt;29,"OVERDUE: not protected / info not served","Protect + serve info by "&amp;TEXT($G400+29,"dd/mm/yyyy"))))))</f>
        <v/>
      </c>
      <c r="K400" s="97">
        <f>IF(OR(NOT(ISNUMBER($E400)),NOT(ISNUMBER($F400))),"",IF($F400&lt;=$E400*12/52*5,"OK","Over 5 weeks"))</f>
        <v/>
      </c>
      <c r="L400" s="52"/>
      <c r="M400" s="52"/>
      <c r="N400" s="122">
        <f>IF(OR($A400="",NOT(ISNUMBER($L400))),IF($A400="","","Not recorded"),IF(NOT(ISNUMBER($M400)),"Checked (no follow-up)",IF($M400&lt;TODAY(),"OVERDUE: follow-up check",IF($M400-TODAY()&lt;=60,"Follow-up due "&amp;TEXT($M400,"dd/mm/yyyy"),"Checked"))))</f>
        <v/>
      </c>
      <c r="O400" s="52"/>
      <c r="P400" s="52"/>
      <c r="Q400" s="122">
        <f>IF($A400="","",IF(NOT(ISNUMBER($D400)),"Enter start date",IF($D400&gt;=DATE(2026,5,1),IF(ISNUMBER($O400),"Complete","Missing: written terms"),IF(OR(ISNUMBER($P400),ISNUMBER($O400)),"Complete","Missing: Information Sheet (was due 31/05/2026)"))))</f>
        <v/>
      </c>
      <c r="R400" s="52"/>
      <c r="S400" s="82">
        <f>IF(ISNUMBER($R400),$R400+364,IF(ISNUMBER($D400),$D400+364,""))</f>
        <v/>
      </c>
      <c r="T400" s="52"/>
      <c r="U400" s="82">
        <f>IF(ISNUMBER($T400),IF(ISNUMBER($S400),MAX(EDATE($T400,2),$S400),EDATE($T400,2)),"")</f>
        <v/>
      </c>
      <c r="V400" s="52"/>
      <c r="W400" s="52"/>
      <c r="X400" s="121">
        <f>IF(NOT(ISNUMBER($V400)),"",IF(ISNUMBER($W400),IF($W400-$V400&lt;=28,"Answered in time","LATE: answered after day 28"),IF(TODAY()-$V400&gt;28,"OVERDUE: no reply yet","Reply due by "&amp;TEXT($V400+28,"dd/mm/yyyy"))))</f>
        <v/>
      </c>
      <c r="Y400" s="54"/>
    </row>
    <row r="401" spans="1:25">
      <c r="A401" s="54"/>
      <c r="B401" s="54"/>
      <c r="C401" s="51"/>
      <c r="D401" s="52"/>
      <c r="E401" s="120"/>
      <c r="F401" s="120"/>
      <c r="G401" s="52"/>
      <c r="H401" s="52"/>
      <c r="I401" s="52"/>
      <c r="J401" s="121">
        <f>IF(OR($A401="",NOT(ISNUMBER($F401))),"",IF($F401&lt;=0,"No deposit",IF(NOT(ISNUMBER($G401)),"Enter date received",IF(AND(ISNUMBER($H401),ISNUMBER($I401)),IF(MAX($H401,$I401)-$G401&lt;=29,"OK","LATE: protected / info served after day 30"),IF(TODAY()-$G401&gt;29,"OVERDUE: not protected / info not served","Protect + serve info by "&amp;TEXT($G401+29,"dd/mm/yyyy"))))))</f>
        <v/>
      </c>
      <c r="K401" s="97">
        <f>IF(OR(NOT(ISNUMBER($E401)),NOT(ISNUMBER($F401))),"",IF($F401&lt;=$E401*12/52*5,"OK","Over 5 weeks"))</f>
        <v/>
      </c>
      <c r="L401" s="52"/>
      <c r="M401" s="52"/>
      <c r="N401" s="122">
        <f>IF(OR($A401="",NOT(ISNUMBER($L401))),IF($A401="","","Not recorded"),IF(NOT(ISNUMBER($M401)),"Checked (no follow-up)",IF($M401&lt;TODAY(),"OVERDUE: follow-up check",IF($M401-TODAY()&lt;=60,"Follow-up due "&amp;TEXT($M401,"dd/mm/yyyy"),"Checked"))))</f>
        <v/>
      </c>
      <c r="O401" s="52"/>
      <c r="P401" s="52"/>
      <c r="Q401" s="122">
        <f>IF($A401="","",IF(NOT(ISNUMBER($D401)),"Enter start date",IF($D401&gt;=DATE(2026,5,1),IF(ISNUMBER($O401),"Complete","Missing: written terms"),IF(OR(ISNUMBER($P401),ISNUMBER($O401)),"Complete","Missing: Information Sheet (was due 31/05/2026)"))))</f>
        <v/>
      </c>
      <c r="R401" s="52"/>
      <c r="S401" s="82">
        <f>IF(ISNUMBER($R401),$R401+364,IF(ISNUMBER($D401),$D401+364,""))</f>
        <v/>
      </c>
      <c r="T401" s="52"/>
      <c r="U401" s="82">
        <f>IF(ISNUMBER($T401),IF(ISNUMBER($S401),MAX(EDATE($T401,2),$S401),EDATE($T401,2)),"")</f>
        <v/>
      </c>
      <c r="V401" s="52"/>
      <c r="W401" s="52"/>
      <c r="X401" s="121">
        <f>IF(NOT(ISNUMBER($V401)),"",IF(ISNUMBER($W401),IF($W401-$V401&lt;=28,"Answered in time","LATE: answered after day 28"),IF(TODAY()-$V401&gt;28,"OVERDUE: no reply yet","Reply due by "&amp;TEXT($V401+28,"dd/mm/yyyy"))))</f>
        <v/>
      </c>
      <c r="Y401" s="54"/>
    </row>
    <row r="402" spans="1:25">
      <c r="A402" s="54"/>
      <c r="B402" s="54"/>
      <c r="C402" s="51"/>
      <c r="D402" s="52"/>
      <c r="E402" s="120"/>
      <c r="F402" s="120"/>
      <c r="G402" s="52"/>
      <c r="H402" s="52"/>
      <c r="I402" s="52"/>
      <c r="J402" s="121">
        <f>IF(OR($A402="",NOT(ISNUMBER($F402))),"",IF($F402&lt;=0,"No deposit",IF(NOT(ISNUMBER($G402)),"Enter date received",IF(AND(ISNUMBER($H402),ISNUMBER($I402)),IF(MAX($H402,$I402)-$G402&lt;=29,"OK","LATE: protected / info served after day 30"),IF(TODAY()-$G402&gt;29,"OVERDUE: not protected / info not served","Protect + serve info by "&amp;TEXT($G402+29,"dd/mm/yyyy"))))))</f>
        <v/>
      </c>
      <c r="K402" s="97">
        <f>IF(OR(NOT(ISNUMBER($E402)),NOT(ISNUMBER($F402))),"",IF($F402&lt;=$E402*12/52*5,"OK","Over 5 weeks"))</f>
        <v/>
      </c>
      <c r="L402" s="52"/>
      <c r="M402" s="52"/>
      <c r="N402" s="122">
        <f>IF(OR($A402="",NOT(ISNUMBER($L402))),IF($A402="","","Not recorded"),IF(NOT(ISNUMBER($M402)),"Checked (no follow-up)",IF($M402&lt;TODAY(),"OVERDUE: follow-up check",IF($M402-TODAY()&lt;=60,"Follow-up due "&amp;TEXT($M402,"dd/mm/yyyy"),"Checked"))))</f>
        <v/>
      </c>
      <c r="O402" s="52"/>
      <c r="P402" s="52"/>
      <c r="Q402" s="122">
        <f>IF($A402="","",IF(NOT(ISNUMBER($D402)),"Enter start date",IF($D402&gt;=DATE(2026,5,1),IF(ISNUMBER($O402),"Complete","Missing: written terms"),IF(OR(ISNUMBER($P402),ISNUMBER($O402)),"Complete","Missing: Information Sheet (was due 31/05/2026)"))))</f>
        <v/>
      </c>
      <c r="R402" s="52"/>
      <c r="S402" s="82">
        <f>IF(ISNUMBER($R402),$R402+364,IF(ISNUMBER($D402),$D402+364,""))</f>
        <v/>
      </c>
      <c r="T402" s="52"/>
      <c r="U402" s="82">
        <f>IF(ISNUMBER($T402),IF(ISNUMBER($S402),MAX(EDATE($T402,2),$S402),EDATE($T402,2)),"")</f>
        <v/>
      </c>
      <c r="V402" s="52"/>
      <c r="W402" s="52"/>
      <c r="X402" s="121">
        <f>IF(NOT(ISNUMBER($V402)),"",IF(ISNUMBER($W402),IF($W402-$V402&lt;=28,"Answered in time","LATE: answered after day 28"),IF(TODAY()-$V402&gt;28,"OVERDUE: no reply yet","Reply due by "&amp;TEXT($V402+28,"dd/mm/yyyy"))))</f>
        <v/>
      </c>
      <c r="Y402" s="54"/>
    </row>
    <row r="403" spans="1:25">
      <c r="A403" s="54"/>
      <c r="B403" s="54"/>
      <c r="C403" s="51"/>
      <c r="D403" s="52"/>
      <c r="E403" s="120"/>
      <c r="F403" s="120"/>
      <c r="G403" s="52"/>
      <c r="H403" s="52"/>
      <c r="I403" s="52"/>
      <c r="J403" s="121">
        <f>IF(OR($A403="",NOT(ISNUMBER($F403))),"",IF($F403&lt;=0,"No deposit",IF(NOT(ISNUMBER($G403)),"Enter date received",IF(AND(ISNUMBER($H403),ISNUMBER($I403)),IF(MAX($H403,$I403)-$G403&lt;=29,"OK","LATE: protected / info served after day 30"),IF(TODAY()-$G403&gt;29,"OVERDUE: not protected / info not served","Protect + serve info by "&amp;TEXT($G403+29,"dd/mm/yyyy"))))))</f>
        <v/>
      </c>
      <c r="K403" s="97">
        <f>IF(OR(NOT(ISNUMBER($E403)),NOT(ISNUMBER($F403))),"",IF($F403&lt;=$E403*12/52*5,"OK","Over 5 weeks"))</f>
        <v/>
      </c>
      <c r="L403" s="52"/>
      <c r="M403" s="52"/>
      <c r="N403" s="122">
        <f>IF(OR($A403="",NOT(ISNUMBER($L403))),IF($A403="","","Not recorded"),IF(NOT(ISNUMBER($M403)),"Checked (no follow-up)",IF($M403&lt;TODAY(),"OVERDUE: follow-up check",IF($M403-TODAY()&lt;=60,"Follow-up due "&amp;TEXT($M403,"dd/mm/yyyy"),"Checked"))))</f>
        <v/>
      </c>
      <c r="O403" s="52"/>
      <c r="P403" s="52"/>
      <c r="Q403" s="122">
        <f>IF($A403="","",IF(NOT(ISNUMBER($D403)),"Enter start date",IF($D403&gt;=DATE(2026,5,1),IF(ISNUMBER($O403),"Complete","Missing: written terms"),IF(OR(ISNUMBER($P403),ISNUMBER($O403)),"Complete","Missing: Information Sheet (was due 31/05/2026)"))))</f>
        <v/>
      </c>
      <c r="R403" s="52"/>
      <c r="S403" s="82">
        <f>IF(ISNUMBER($R403),$R403+364,IF(ISNUMBER($D403),$D403+364,""))</f>
        <v/>
      </c>
      <c r="T403" s="52"/>
      <c r="U403" s="82">
        <f>IF(ISNUMBER($T403),IF(ISNUMBER($S403),MAX(EDATE($T403,2),$S403),EDATE($T403,2)),"")</f>
        <v/>
      </c>
      <c r="V403" s="52"/>
      <c r="W403" s="52"/>
      <c r="X403" s="121">
        <f>IF(NOT(ISNUMBER($V403)),"",IF(ISNUMBER($W403),IF($W403-$V403&lt;=28,"Answered in time","LATE: answered after day 28"),IF(TODAY()-$V403&gt;28,"OVERDUE: no reply yet","Reply due by "&amp;TEXT($V403+28,"dd/mm/yyyy"))))</f>
        <v/>
      </c>
      <c r="Y403" s="54"/>
    </row>
    <row r="404" spans="1:25">
      <c r="A404" s="54"/>
      <c r="B404" s="54"/>
      <c r="C404" s="51"/>
      <c r="D404" s="52"/>
      <c r="E404" s="120"/>
      <c r="F404" s="120"/>
      <c r="G404" s="52"/>
      <c r="H404" s="52"/>
      <c r="I404" s="52"/>
      <c r="J404" s="121">
        <f>IF(OR($A404="",NOT(ISNUMBER($F404))),"",IF($F404&lt;=0,"No deposit",IF(NOT(ISNUMBER($G404)),"Enter date received",IF(AND(ISNUMBER($H404),ISNUMBER($I404)),IF(MAX($H404,$I404)-$G404&lt;=29,"OK","LATE: protected / info served after day 30"),IF(TODAY()-$G404&gt;29,"OVERDUE: not protected / info not served","Protect + serve info by "&amp;TEXT($G404+29,"dd/mm/yyyy"))))))</f>
        <v/>
      </c>
      <c r="K404" s="97">
        <f>IF(OR(NOT(ISNUMBER($E404)),NOT(ISNUMBER($F404))),"",IF($F404&lt;=$E404*12/52*5,"OK","Over 5 weeks"))</f>
        <v/>
      </c>
      <c r="L404" s="52"/>
      <c r="M404" s="52"/>
      <c r="N404" s="122">
        <f>IF(OR($A404="",NOT(ISNUMBER($L404))),IF($A404="","","Not recorded"),IF(NOT(ISNUMBER($M404)),"Checked (no follow-up)",IF($M404&lt;TODAY(),"OVERDUE: follow-up check",IF($M404-TODAY()&lt;=60,"Follow-up due "&amp;TEXT($M404,"dd/mm/yyyy"),"Checked"))))</f>
        <v/>
      </c>
      <c r="O404" s="52"/>
      <c r="P404" s="52"/>
      <c r="Q404" s="122">
        <f>IF($A404="","",IF(NOT(ISNUMBER($D404)),"Enter start date",IF($D404&gt;=DATE(2026,5,1),IF(ISNUMBER($O404),"Complete","Missing: written terms"),IF(OR(ISNUMBER($P404),ISNUMBER($O404)),"Complete","Missing: Information Sheet (was due 31/05/2026)"))))</f>
        <v/>
      </c>
      <c r="R404" s="52"/>
      <c r="S404" s="82">
        <f>IF(ISNUMBER($R404),$R404+364,IF(ISNUMBER($D404),$D404+364,""))</f>
        <v/>
      </c>
      <c r="T404" s="52"/>
      <c r="U404" s="82">
        <f>IF(ISNUMBER($T404),IF(ISNUMBER($S404),MAX(EDATE($T404,2),$S404),EDATE($T404,2)),"")</f>
        <v/>
      </c>
      <c r="V404" s="52"/>
      <c r="W404" s="52"/>
      <c r="X404" s="121">
        <f>IF(NOT(ISNUMBER($V404)),"",IF(ISNUMBER($W404),IF($W404-$V404&lt;=28,"Answered in time","LATE: answered after day 28"),IF(TODAY()-$V404&gt;28,"OVERDUE: no reply yet","Reply due by "&amp;TEXT($V404+28,"dd/mm/yyyy"))))</f>
        <v/>
      </c>
      <c r="Y404" s="54"/>
    </row>
    <row r="405" spans="1:25">
      <c r="A405" s="54"/>
      <c r="B405" s="54"/>
      <c r="C405" s="51"/>
      <c r="D405" s="52"/>
      <c r="E405" s="120"/>
      <c r="F405" s="120"/>
      <c r="G405" s="52"/>
      <c r="H405" s="52"/>
      <c r="I405" s="52"/>
      <c r="J405" s="121">
        <f>IF(OR($A405="",NOT(ISNUMBER($F405))),"",IF($F405&lt;=0,"No deposit",IF(NOT(ISNUMBER($G405)),"Enter date received",IF(AND(ISNUMBER($H405),ISNUMBER($I405)),IF(MAX($H405,$I405)-$G405&lt;=29,"OK","LATE: protected / info served after day 30"),IF(TODAY()-$G405&gt;29,"OVERDUE: not protected / info not served","Protect + serve info by "&amp;TEXT($G405+29,"dd/mm/yyyy"))))))</f>
        <v/>
      </c>
      <c r="K405" s="97">
        <f>IF(OR(NOT(ISNUMBER($E405)),NOT(ISNUMBER($F405))),"",IF($F405&lt;=$E405*12/52*5,"OK","Over 5 weeks"))</f>
        <v/>
      </c>
      <c r="L405" s="52"/>
      <c r="M405" s="52"/>
      <c r="N405" s="122">
        <f>IF(OR($A405="",NOT(ISNUMBER($L405))),IF($A405="","","Not recorded"),IF(NOT(ISNUMBER($M405)),"Checked (no follow-up)",IF($M405&lt;TODAY(),"OVERDUE: follow-up check",IF($M405-TODAY()&lt;=60,"Follow-up due "&amp;TEXT($M405,"dd/mm/yyyy"),"Checked"))))</f>
        <v/>
      </c>
      <c r="O405" s="52"/>
      <c r="P405" s="52"/>
      <c r="Q405" s="122">
        <f>IF($A405="","",IF(NOT(ISNUMBER($D405)),"Enter start date",IF($D405&gt;=DATE(2026,5,1),IF(ISNUMBER($O405),"Complete","Missing: written terms"),IF(OR(ISNUMBER($P405),ISNUMBER($O405)),"Complete","Missing: Information Sheet (was due 31/05/2026)"))))</f>
        <v/>
      </c>
      <c r="R405" s="52"/>
      <c r="S405" s="82">
        <f>IF(ISNUMBER($R405),$R405+364,IF(ISNUMBER($D405),$D405+364,""))</f>
        <v/>
      </c>
      <c r="T405" s="52"/>
      <c r="U405" s="82">
        <f>IF(ISNUMBER($T405),IF(ISNUMBER($S405),MAX(EDATE($T405,2),$S405),EDATE($T405,2)),"")</f>
        <v/>
      </c>
      <c r="V405" s="52"/>
      <c r="W405" s="52"/>
      <c r="X405" s="121">
        <f>IF(NOT(ISNUMBER($V405)),"",IF(ISNUMBER($W405),IF($W405-$V405&lt;=28,"Answered in time","LATE: answered after day 28"),IF(TODAY()-$V405&gt;28,"OVERDUE: no reply yet","Reply due by "&amp;TEXT($V405+28,"dd/mm/yyyy"))))</f>
        <v/>
      </c>
      <c r="Y405" s="54"/>
    </row>
    <row r="406" spans="1:25">
      <c r="A406" s="54"/>
      <c r="B406" s="54"/>
      <c r="C406" s="51"/>
      <c r="D406" s="52"/>
      <c r="E406" s="120"/>
      <c r="F406" s="120"/>
      <c r="G406" s="52"/>
      <c r="H406" s="52"/>
      <c r="I406" s="52"/>
      <c r="J406" s="121">
        <f>IF(OR($A406="",NOT(ISNUMBER($F406))),"",IF($F406&lt;=0,"No deposit",IF(NOT(ISNUMBER($G406)),"Enter date received",IF(AND(ISNUMBER($H406),ISNUMBER($I406)),IF(MAX($H406,$I406)-$G406&lt;=29,"OK","LATE: protected / info served after day 30"),IF(TODAY()-$G406&gt;29,"OVERDUE: not protected / info not served","Protect + serve info by "&amp;TEXT($G406+29,"dd/mm/yyyy"))))))</f>
        <v/>
      </c>
      <c r="K406" s="97">
        <f>IF(OR(NOT(ISNUMBER($E406)),NOT(ISNUMBER($F406))),"",IF($F406&lt;=$E406*12/52*5,"OK","Over 5 weeks"))</f>
        <v/>
      </c>
      <c r="L406" s="52"/>
      <c r="M406" s="52"/>
      <c r="N406" s="122">
        <f>IF(OR($A406="",NOT(ISNUMBER($L406))),IF($A406="","","Not recorded"),IF(NOT(ISNUMBER($M406)),"Checked (no follow-up)",IF($M406&lt;TODAY(),"OVERDUE: follow-up check",IF($M406-TODAY()&lt;=60,"Follow-up due "&amp;TEXT($M406,"dd/mm/yyyy"),"Checked"))))</f>
        <v/>
      </c>
      <c r="O406" s="52"/>
      <c r="P406" s="52"/>
      <c r="Q406" s="122">
        <f>IF($A406="","",IF(NOT(ISNUMBER($D406)),"Enter start date",IF($D406&gt;=DATE(2026,5,1),IF(ISNUMBER($O406),"Complete","Missing: written terms"),IF(OR(ISNUMBER($P406),ISNUMBER($O406)),"Complete","Missing: Information Sheet (was due 31/05/2026)"))))</f>
        <v/>
      </c>
      <c r="R406" s="52"/>
      <c r="S406" s="82">
        <f>IF(ISNUMBER($R406),$R406+364,IF(ISNUMBER($D406),$D406+364,""))</f>
        <v/>
      </c>
      <c r="T406" s="52"/>
      <c r="U406" s="82">
        <f>IF(ISNUMBER($T406),IF(ISNUMBER($S406),MAX(EDATE($T406,2),$S406),EDATE($T406,2)),"")</f>
        <v/>
      </c>
      <c r="V406" s="52"/>
      <c r="W406" s="52"/>
      <c r="X406" s="121">
        <f>IF(NOT(ISNUMBER($V406)),"",IF(ISNUMBER($W406),IF($W406-$V406&lt;=28,"Answered in time","LATE: answered after day 28"),IF(TODAY()-$V406&gt;28,"OVERDUE: no reply yet","Reply due by "&amp;TEXT($V406+28,"dd/mm/yyyy"))))</f>
        <v/>
      </c>
      <c r="Y406" s="54"/>
    </row>
    <row r="407" spans="1:25">
      <c r="A407" s="54"/>
      <c r="B407" s="54"/>
      <c r="C407" s="51"/>
      <c r="D407" s="52"/>
      <c r="E407" s="120"/>
      <c r="F407" s="120"/>
      <c r="G407" s="52"/>
      <c r="H407" s="52"/>
      <c r="I407" s="52"/>
      <c r="J407" s="121">
        <f>IF(OR($A407="",NOT(ISNUMBER($F407))),"",IF($F407&lt;=0,"No deposit",IF(NOT(ISNUMBER($G407)),"Enter date received",IF(AND(ISNUMBER($H407),ISNUMBER($I407)),IF(MAX($H407,$I407)-$G407&lt;=29,"OK","LATE: protected / info served after day 30"),IF(TODAY()-$G407&gt;29,"OVERDUE: not protected / info not served","Protect + serve info by "&amp;TEXT($G407+29,"dd/mm/yyyy"))))))</f>
        <v/>
      </c>
      <c r="K407" s="97">
        <f>IF(OR(NOT(ISNUMBER($E407)),NOT(ISNUMBER($F407))),"",IF($F407&lt;=$E407*12/52*5,"OK","Over 5 weeks"))</f>
        <v/>
      </c>
      <c r="L407" s="52"/>
      <c r="M407" s="52"/>
      <c r="N407" s="122">
        <f>IF(OR($A407="",NOT(ISNUMBER($L407))),IF($A407="","","Not recorded"),IF(NOT(ISNUMBER($M407)),"Checked (no follow-up)",IF($M407&lt;TODAY(),"OVERDUE: follow-up check",IF($M407-TODAY()&lt;=60,"Follow-up due "&amp;TEXT($M407,"dd/mm/yyyy"),"Checked"))))</f>
        <v/>
      </c>
      <c r="O407" s="52"/>
      <c r="P407" s="52"/>
      <c r="Q407" s="122">
        <f>IF($A407="","",IF(NOT(ISNUMBER($D407)),"Enter start date",IF($D407&gt;=DATE(2026,5,1),IF(ISNUMBER($O407),"Complete","Missing: written terms"),IF(OR(ISNUMBER($P407),ISNUMBER($O407)),"Complete","Missing: Information Sheet (was due 31/05/2026)"))))</f>
        <v/>
      </c>
      <c r="R407" s="52"/>
      <c r="S407" s="82">
        <f>IF(ISNUMBER($R407),$R407+364,IF(ISNUMBER($D407),$D407+364,""))</f>
        <v/>
      </c>
      <c r="T407" s="52"/>
      <c r="U407" s="82">
        <f>IF(ISNUMBER($T407),IF(ISNUMBER($S407),MAX(EDATE($T407,2),$S407),EDATE($T407,2)),"")</f>
        <v/>
      </c>
      <c r="V407" s="52"/>
      <c r="W407" s="52"/>
      <c r="X407" s="121">
        <f>IF(NOT(ISNUMBER($V407)),"",IF(ISNUMBER($W407),IF($W407-$V407&lt;=28,"Answered in time","LATE: answered after day 28"),IF(TODAY()-$V407&gt;28,"OVERDUE: no reply yet","Reply due by "&amp;TEXT($V407+28,"dd/mm/yyyy"))))</f>
        <v/>
      </c>
      <c r="Y407" s="54"/>
    </row>
    <row r="408" spans="1:25">
      <c r="A408" s="54"/>
      <c r="B408" s="54"/>
      <c r="C408" s="51"/>
      <c r="D408" s="52"/>
      <c r="E408" s="120"/>
      <c r="F408" s="120"/>
      <c r="G408" s="52"/>
      <c r="H408" s="52"/>
      <c r="I408" s="52"/>
      <c r="J408" s="121">
        <f>IF(OR($A408="",NOT(ISNUMBER($F408))),"",IF($F408&lt;=0,"No deposit",IF(NOT(ISNUMBER($G408)),"Enter date received",IF(AND(ISNUMBER($H408),ISNUMBER($I408)),IF(MAX($H408,$I408)-$G408&lt;=29,"OK","LATE: protected / info served after day 30"),IF(TODAY()-$G408&gt;29,"OVERDUE: not protected / info not served","Protect + serve info by "&amp;TEXT($G408+29,"dd/mm/yyyy"))))))</f>
        <v/>
      </c>
      <c r="K408" s="97">
        <f>IF(OR(NOT(ISNUMBER($E408)),NOT(ISNUMBER($F408))),"",IF($F408&lt;=$E408*12/52*5,"OK","Over 5 weeks"))</f>
        <v/>
      </c>
      <c r="L408" s="52"/>
      <c r="M408" s="52"/>
      <c r="N408" s="122">
        <f>IF(OR($A408="",NOT(ISNUMBER($L408))),IF($A408="","","Not recorded"),IF(NOT(ISNUMBER($M408)),"Checked (no follow-up)",IF($M408&lt;TODAY(),"OVERDUE: follow-up check",IF($M408-TODAY()&lt;=60,"Follow-up due "&amp;TEXT($M408,"dd/mm/yyyy"),"Checked"))))</f>
        <v/>
      </c>
      <c r="O408" s="52"/>
      <c r="P408" s="52"/>
      <c r="Q408" s="122">
        <f>IF($A408="","",IF(NOT(ISNUMBER($D408)),"Enter start date",IF($D408&gt;=DATE(2026,5,1),IF(ISNUMBER($O408),"Complete","Missing: written terms"),IF(OR(ISNUMBER($P408),ISNUMBER($O408)),"Complete","Missing: Information Sheet (was due 31/05/2026)"))))</f>
        <v/>
      </c>
      <c r="R408" s="52"/>
      <c r="S408" s="82">
        <f>IF(ISNUMBER($R408),$R408+364,IF(ISNUMBER($D408),$D408+364,""))</f>
        <v/>
      </c>
      <c r="T408" s="52"/>
      <c r="U408" s="82">
        <f>IF(ISNUMBER($T408),IF(ISNUMBER($S408),MAX(EDATE($T408,2),$S408),EDATE($T408,2)),"")</f>
        <v/>
      </c>
      <c r="V408" s="52"/>
      <c r="W408" s="52"/>
      <c r="X408" s="121">
        <f>IF(NOT(ISNUMBER($V408)),"",IF(ISNUMBER($W408),IF($W408-$V408&lt;=28,"Answered in time","LATE: answered after day 28"),IF(TODAY()-$V408&gt;28,"OVERDUE: no reply yet","Reply due by "&amp;TEXT($V408+28,"dd/mm/yyyy"))))</f>
        <v/>
      </c>
      <c r="Y408" s="54"/>
    </row>
    <row r="409" spans="1:25">
      <c r="A409" s="54"/>
      <c r="B409" s="54"/>
      <c r="C409" s="51"/>
      <c r="D409" s="52"/>
      <c r="E409" s="120"/>
      <c r="F409" s="120"/>
      <c r="G409" s="52"/>
      <c r="H409" s="52"/>
      <c r="I409" s="52"/>
      <c r="J409" s="121">
        <f>IF(OR($A409="",NOT(ISNUMBER($F409))),"",IF($F409&lt;=0,"No deposit",IF(NOT(ISNUMBER($G409)),"Enter date received",IF(AND(ISNUMBER($H409),ISNUMBER($I409)),IF(MAX($H409,$I409)-$G409&lt;=29,"OK","LATE: protected / info served after day 30"),IF(TODAY()-$G409&gt;29,"OVERDUE: not protected / info not served","Protect + serve info by "&amp;TEXT($G409+29,"dd/mm/yyyy"))))))</f>
        <v/>
      </c>
      <c r="K409" s="97">
        <f>IF(OR(NOT(ISNUMBER($E409)),NOT(ISNUMBER($F409))),"",IF($F409&lt;=$E409*12/52*5,"OK","Over 5 weeks"))</f>
        <v/>
      </c>
      <c r="L409" s="52"/>
      <c r="M409" s="52"/>
      <c r="N409" s="122">
        <f>IF(OR($A409="",NOT(ISNUMBER($L409))),IF($A409="","","Not recorded"),IF(NOT(ISNUMBER($M409)),"Checked (no follow-up)",IF($M409&lt;TODAY(),"OVERDUE: follow-up check",IF($M409-TODAY()&lt;=60,"Follow-up due "&amp;TEXT($M409,"dd/mm/yyyy"),"Checked"))))</f>
        <v/>
      </c>
      <c r="O409" s="52"/>
      <c r="P409" s="52"/>
      <c r="Q409" s="122">
        <f>IF($A409="","",IF(NOT(ISNUMBER($D409)),"Enter start date",IF($D409&gt;=DATE(2026,5,1),IF(ISNUMBER($O409),"Complete","Missing: written terms"),IF(OR(ISNUMBER($P409),ISNUMBER($O409)),"Complete","Missing: Information Sheet (was due 31/05/2026)"))))</f>
        <v/>
      </c>
      <c r="R409" s="52"/>
      <c r="S409" s="82">
        <f>IF(ISNUMBER($R409),$R409+364,IF(ISNUMBER($D409),$D409+364,""))</f>
        <v/>
      </c>
      <c r="T409" s="52"/>
      <c r="U409" s="82">
        <f>IF(ISNUMBER($T409),IF(ISNUMBER($S409),MAX(EDATE($T409,2),$S409),EDATE($T409,2)),"")</f>
        <v/>
      </c>
      <c r="V409" s="52"/>
      <c r="W409" s="52"/>
      <c r="X409" s="121">
        <f>IF(NOT(ISNUMBER($V409)),"",IF(ISNUMBER($W409),IF($W409-$V409&lt;=28,"Answered in time","LATE: answered after day 28"),IF(TODAY()-$V409&gt;28,"OVERDUE: no reply yet","Reply due by "&amp;TEXT($V409+28,"dd/mm/yyyy"))))</f>
        <v/>
      </c>
      <c r="Y409" s="54"/>
    </row>
    <row r="410" spans="1:25">
      <c r="A410" s="54"/>
      <c r="B410" s="54"/>
      <c r="C410" s="51"/>
      <c r="D410" s="52"/>
      <c r="E410" s="120"/>
      <c r="F410" s="120"/>
      <c r="G410" s="52"/>
      <c r="H410" s="52"/>
      <c r="I410" s="52"/>
      <c r="J410" s="121">
        <f>IF(OR($A410="",NOT(ISNUMBER($F410))),"",IF($F410&lt;=0,"No deposit",IF(NOT(ISNUMBER($G410)),"Enter date received",IF(AND(ISNUMBER($H410),ISNUMBER($I410)),IF(MAX($H410,$I410)-$G410&lt;=29,"OK","LATE: protected / info served after day 30"),IF(TODAY()-$G410&gt;29,"OVERDUE: not protected / info not served","Protect + serve info by "&amp;TEXT($G410+29,"dd/mm/yyyy"))))))</f>
        <v/>
      </c>
      <c r="K410" s="97">
        <f>IF(OR(NOT(ISNUMBER($E410)),NOT(ISNUMBER($F410))),"",IF($F410&lt;=$E410*12/52*5,"OK","Over 5 weeks"))</f>
        <v/>
      </c>
      <c r="L410" s="52"/>
      <c r="M410" s="52"/>
      <c r="N410" s="122">
        <f>IF(OR($A410="",NOT(ISNUMBER($L410))),IF($A410="","","Not recorded"),IF(NOT(ISNUMBER($M410)),"Checked (no follow-up)",IF($M410&lt;TODAY(),"OVERDUE: follow-up check",IF($M410-TODAY()&lt;=60,"Follow-up due "&amp;TEXT($M410,"dd/mm/yyyy"),"Checked"))))</f>
        <v/>
      </c>
      <c r="O410" s="52"/>
      <c r="P410" s="52"/>
      <c r="Q410" s="122">
        <f>IF($A410="","",IF(NOT(ISNUMBER($D410)),"Enter start date",IF($D410&gt;=DATE(2026,5,1),IF(ISNUMBER($O410),"Complete","Missing: written terms"),IF(OR(ISNUMBER($P410),ISNUMBER($O410)),"Complete","Missing: Information Sheet (was due 31/05/2026)"))))</f>
        <v/>
      </c>
      <c r="R410" s="52"/>
      <c r="S410" s="82">
        <f>IF(ISNUMBER($R410),$R410+364,IF(ISNUMBER($D410),$D410+364,""))</f>
        <v/>
      </c>
      <c r="T410" s="52"/>
      <c r="U410" s="82">
        <f>IF(ISNUMBER($T410),IF(ISNUMBER($S410),MAX(EDATE($T410,2),$S410),EDATE($T410,2)),"")</f>
        <v/>
      </c>
      <c r="V410" s="52"/>
      <c r="W410" s="52"/>
      <c r="X410" s="121">
        <f>IF(NOT(ISNUMBER($V410)),"",IF(ISNUMBER($W410),IF($W410-$V410&lt;=28,"Answered in time","LATE: answered after day 28"),IF(TODAY()-$V410&gt;28,"OVERDUE: no reply yet","Reply due by "&amp;TEXT($V410+28,"dd/mm/yyyy"))))</f>
        <v/>
      </c>
      <c r="Y410" s="54"/>
    </row>
    <row r="411" spans="1:25">
      <c r="A411" s="54"/>
      <c r="B411" s="54"/>
      <c r="C411" s="51"/>
      <c r="D411" s="52"/>
      <c r="E411" s="120"/>
      <c r="F411" s="120"/>
      <c r="G411" s="52"/>
      <c r="H411" s="52"/>
      <c r="I411" s="52"/>
      <c r="J411" s="121">
        <f>IF(OR($A411="",NOT(ISNUMBER($F411))),"",IF($F411&lt;=0,"No deposit",IF(NOT(ISNUMBER($G411)),"Enter date received",IF(AND(ISNUMBER($H411),ISNUMBER($I411)),IF(MAX($H411,$I411)-$G411&lt;=29,"OK","LATE: protected / info served after day 30"),IF(TODAY()-$G411&gt;29,"OVERDUE: not protected / info not served","Protect + serve info by "&amp;TEXT($G411+29,"dd/mm/yyyy"))))))</f>
        <v/>
      </c>
      <c r="K411" s="97">
        <f>IF(OR(NOT(ISNUMBER($E411)),NOT(ISNUMBER($F411))),"",IF($F411&lt;=$E411*12/52*5,"OK","Over 5 weeks"))</f>
        <v/>
      </c>
      <c r="L411" s="52"/>
      <c r="M411" s="52"/>
      <c r="N411" s="122">
        <f>IF(OR($A411="",NOT(ISNUMBER($L411))),IF($A411="","","Not recorded"),IF(NOT(ISNUMBER($M411)),"Checked (no follow-up)",IF($M411&lt;TODAY(),"OVERDUE: follow-up check",IF($M411-TODAY()&lt;=60,"Follow-up due "&amp;TEXT($M411,"dd/mm/yyyy"),"Checked"))))</f>
        <v/>
      </c>
      <c r="O411" s="52"/>
      <c r="P411" s="52"/>
      <c r="Q411" s="122">
        <f>IF($A411="","",IF(NOT(ISNUMBER($D411)),"Enter start date",IF($D411&gt;=DATE(2026,5,1),IF(ISNUMBER($O411),"Complete","Missing: written terms"),IF(OR(ISNUMBER($P411),ISNUMBER($O411)),"Complete","Missing: Information Sheet (was due 31/05/2026)"))))</f>
        <v/>
      </c>
      <c r="R411" s="52"/>
      <c r="S411" s="82">
        <f>IF(ISNUMBER($R411),$R411+364,IF(ISNUMBER($D411),$D411+364,""))</f>
        <v/>
      </c>
      <c r="T411" s="52"/>
      <c r="U411" s="82">
        <f>IF(ISNUMBER($T411),IF(ISNUMBER($S411),MAX(EDATE($T411,2),$S411),EDATE($T411,2)),"")</f>
        <v/>
      </c>
      <c r="V411" s="52"/>
      <c r="W411" s="52"/>
      <c r="X411" s="121">
        <f>IF(NOT(ISNUMBER($V411)),"",IF(ISNUMBER($W411),IF($W411-$V411&lt;=28,"Answered in time","LATE: answered after day 28"),IF(TODAY()-$V411&gt;28,"OVERDUE: no reply yet","Reply due by "&amp;TEXT($V411+28,"dd/mm/yyyy"))))</f>
        <v/>
      </c>
      <c r="Y411" s="54"/>
    </row>
    <row r="412" spans="1:25">
      <c r="A412" s="54"/>
      <c r="B412" s="54"/>
      <c r="C412" s="51"/>
      <c r="D412" s="52"/>
      <c r="E412" s="120"/>
      <c r="F412" s="120"/>
      <c r="G412" s="52"/>
      <c r="H412" s="52"/>
      <c r="I412" s="52"/>
      <c r="J412" s="121">
        <f>IF(OR($A412="",NOT(ISNUMBER($F412))),"",IF($F412&lt;=0,"No deposit",IF(NOT(ISNUMBER($G412)),"Enter date received",IF(AND(ISNUMBER($H412),ISNUMBER($I412)),IF(MAX($H412,$I412)-$G412&lt;=29,"OK","LATE: protected / info served after day 30"),IF(TODAY()-$G412&gt;29,"OVERDUE: not protected / info not served","Protect + serve info by "&amp;TEXT($G412+29,"dd/mm/yyyy"))))))</f>
        <v/>
      </c>
      <c r="K412" s="97">
        <f>IF(OR(NOT(ISNUMBER($E412)),NOT(ISNUMBER($F412))),"",IF($F412&lt;=$E412*12/52*5,"OK","Over 5 weeks"))</f>
        <v/>
      </c>
      <c r="L412" s="52"/>
      <c r="M412" s="52"/>
      <c r="N412" s="122">
        <f>IF(OR($A412="",NOT(ISNUMBER($L412))),IF($A412="","","Not recorded"),IF(NOT(ISNUMBER($M412)),"Checked (no follow-up)",IF($M412&lt;TODAY(),"OVERDUE: follow-up check",IF($M412-TODAY()&lt;=60,"Follow-up due "&amp;TEXT($M412,"dd/mm/yyyy"),"Checked"))))</f>
        <v/>
      </c>
      <c r="O412" s="52"/>
      <c r="P412" s="52"/>
      <c r="Q412" s="122">
        <f>IF($A412="","",IF(NOT(ISNUMBER($D412)),"Enter start date",IF($D412&gt;=DATE(2026,5,1),IF(ISNUMBER($O412),"Complete","Missing: written terms"),IF(OR(ISNUMBER($P412),ISNUMBER($O412)),"Complete","Missing: Information Sheet (was due 31/05/2026)"))))</f>
        <v/>
      </c>
      <c r="R412" s="52"/>
      <c r="S412" s="82">
        <f>IF(ISNUMBER($R412),$R412+364,IF(ISNUMBER($D412),$D412+364,""))</f>
        <v/>
      </c>
      <c r="T412" s="52"/>
      <c r="U412" s="82">
        <f>IF(ISNUMBER($T412),IF(ISNUMBER($S412),MAX(EDATE($T412,2),$S412),EDATE($T412,2)),"")</f>
        <v/>
      </c>
      <c r="V412" s="52"/>
      <c r="W412" s="52"/>
      <c r="X412" s="121">
        <f>IF(NOT(ISNUMBER($V412)),"",IF(ISNUMBER($W412),IF($W412-$V412&lt;=28,"Answered in time","LATE: answered after day 28"),IF(TODAY()-$V412&gt;28,"OVERDUE: no reply yet","Reply due by "&amp;TEXT($V412+28,"dd/mm/yyyy"))))</f>
        <v/>
      </c>
      <c r="Y412" s="54"/>
    </row>
    <row r="413" spans="1:25">
      <c r="A413" s="54"/>
      <c r="B413" s="54"/>
      <c r="C413" s="51"/>
      <c r="D413" s="52"/>
      <c r="E413" s="120"/>
      <c r="F413" s="120"/>
      <c r="G413" s="52"/>
      <c r="H413" s="52"/>
      <c r="I413" s="52"/>
      <c r="J413" s="121">
        <f>IF(OR($A413="",NOT(ISNUMBER($F413))),"",IF($F413&lt;=0,"No deposit",IF(NOT(ISNUMBER($G413)),"Enter date received",IF(AND(ISNUMBER($H413),ISNUMBER($I413)),IF(MAX($H413,$I413)-$G413&lt;=29,"OK","LATE: protected / info served after day 30"),IF(TODAY()-$G413&gt;29,"OVERDUE: not protected / info not served","Protect + serve info by "&amp;TEXT($G413+29,"dd/mm/yyyy"))))))</f>
        <v/>
      </c>
      <c r="K413" s="97">
        <f>IF(OR(NOT(ISNUMBER($E413)),NOT(ISNUMBER($F413))),"",IF($F413&lt;=$E413*12/52*5,"OK","Over 5 weeks"))</f>
        <v/>
      </c>
      <c r="L413" s="52"/>
      <c r="M413" s="52"/>
      <c r="N413" s="122">
        <f>IF(OR($A413="",NOT(ISNUMBER($L413))),IF($A413="","","Not recorded"),IF(NOT(ISNUMBER($M413)),"Checked (no follow-up)",IF($M413&lt;TODAY(),"OVERDUE: follow-up check",IF($M413-TODAY()&lt;=60,"Follow-up due "&amp;TEXT($M413,"dd/mm/yyyy"),"Checked"))))</f>
        <v/>
      </c>
      <c r="O413" s="52"/>
      <c r="P413" s="52"/>
      <c r="Q413" s="122">
        <f>IF($A413="","",IF(NOT(ISNUMBER($D413)),"Enter start date",IF($D413&gt;=DATE(2026,5,1),IF(ISNUMBER($O413),"Complete","Missing: written terms"),IF(OR(ISNUMBER($P413),ISNUMBER($O413)),"Complete","Missing: Information Sheet (was due 31/05/2026)"))))</f>
        <v/>
      </c>
      <c r="R413" s="52"/>
      <c r="S413" s="82">
        <f>IF(ISNUMBER($R413),$R413+364,IF(ISNUMBER($D413),$D413+364,""))</f>
        <v/>
      </c>
      <c r="T413" s="52"/>
      <c r="U413" s="82">
        <f>IF(ISNUMBER($T413),IF(ISNUMBER($S413),MAX(EDATE($T413,2),$S413),EDATE($T413,2)),"")</f>
        <v/>
      </c>
      <c r="V413" s="52"/>
      <c r="W413" s="52"/>
      <c r="X413" s="121">
        <f>IF(NOT(ISNUMBER($V413)),"",IF(ISNUMBER($W413),IF($W413-$V413&lt;=28,"Answered in time","LATE: answered after day 28"),IF(TODAY()-$V413&gt;28,"OVERDUE: no reply yet","Reply due by "&amp;TEXT($V413+28,"dd/mm/yyyy"))))</f>
        <v/>
      </c>
      <c r="Y413" s="54"/>
    </row>
    <row r="414" spans="1:25">
      <c r="A414" s="54"/>
      <c r="B414" s="54"/>
      <c r="C414" s="51"/>
      <c r="D414" s="52"/>
      <c r="E414" s="120"/>
      <c r="F414" s="120"/>
      <c r="G414" s="52"/>
      <c r="H414" s="52"/>
      <c r="I414" s="52"/>
      <c r="J414" s="121">
        <f>IF(OR($A414="",NOT(ISNUMBER($F414))),"",IF($F414&lt;=0,"No deposit",IF(NOT(ISNUMBER($G414)),"Enter date received",IF(AND(ISNUMBER($H414),ISNUMBER($I414)),IF(MAX($H414,$I414)-$G414&lt;=29,"OK","LATE: protected / info served after day 30"),IF(TODAY()-$G414&gt;29,"OVERDUE: not protected / info not served","Protect + serve info by "&amp;TEXT($G414+29,"dd/mm/yyyy"))))))</f>
        <v/>
      </c>
      <c r="K414" s="97">
        <f>IF(OR(NOT(ISNUMBER($E414)),NOT(ISNUMBER($F414))),"",IF($F414&lt;=$E414*12/52*5,"OK","Over 5 weeks"))</f>
        <v/>
      </c>
      <c r="L414" s="52"/>
      <c r="M414" s="52"/>
      <c r="N414" s="122">
        <f>IF(OR($A414="",NOT(ISNUMBER($L414))),IF($A414="","","Not recorded"),IF(NOT(ISNUMBER($M414)),"Checked (no follow-up)",IF($M414&lt;TODAY(),"OVERDUE: follow-up check",IF($M414-TODAY()&lt;=60,"Follow-up due "&amp;TEXT($M414,"dd/mm/yyyy"),"Checked"))))</f>
        <v/>
      </c>
      <c r="O414" s="52"/>
      <c r="P414" s="52"/>
      <c r="Q414" s="122">
        <f>IF($A414="","",IF(NOT(ISNUMBER($D414)),"Enter start date",IF($D414&gt;=DATE(2026,5,1),IF(ISNUMBER($O414),"Complete","Missing: written terms"),IF(OR(ISNUMBER($P414),ISNUMBER($O414)),"Complete","Missing: Information Sheet (was due 31/05/2026)"))))</f>
        <v/>
      </c>
      <c r="R414" s="52"/>
      <c r="S414" s="82">
        <f>IF(ISNUMBER($R414),$R414+364,IF(ISNUMBER($D414),$D414+364,""))</f>
        <v/>
      </c>
      <c r="T414" s="52"/>
      <c r="U414" s="82">
        <f>IF(ISNUMBER($T414),IF(ISNUMBER($S414),MAX(EDATE($T414,2),$S414),EDATE($T414,2)),"")</f>
        <v/>
      </c>
      <c r="V414" s="52"/>
      <c r="W414" s="52"/>
      <c r="X414" s="121">
        <f>IF(NOT(ISNUMBER($V414)),"",IF(ISNUMBER($W414),IF($W414-$V414&lt;=28,"Answered in time","LATE: answered after day 28"),IF(TODAY()-$V414&gt;28,"OVERDUE: no reply yet","Reply due by "&amp;TEXT($V414+28,"dd/mm/yyyy"))))</f>
        <v/>
      </c>
      <c r="Y414" s="54"/>
    </row>
    <row r="415" spans="1:25">
      <c r="A415" s="54"/>
      <c r="B415" s="54"/>
      <c r="C415" s="51"/>
      <c r="D415" s="52"/>
      <c r="E415" s="120"/>
      <c r="F415" s="120"/>
      <c r="G415" s="52"/>
      <c r="H415" s="52"/>
      <c r="I415" s="52"/>
      <c r="J415" s="121">
        <f>IF(OR($A415="",NOT(ISNUMBER($F415))),"",IF($F415&lt;=0,"No deposit",IF(NOT(ISNUMBER($G415)),"Enter date received",IF(AND(ISNUMBER($H415),ISNUMBER($I415)),IF(MAX($H415,$I415)-$G415&lt;=29,"OK","LATE: protected / info served after day 30"),IF(TODAY()-$G415&gt;29,"OVERDUE: not protected / info not served","Protect + serve info by "&amp;TEXT($G415+29,"dd/mm/yyyy"))))))</f>
        <v/>
      </c>
      <c r="K415" s="97">
        <f>IF(OR(NOT(ISNUMBER($E415)),NOT(ISNUMBER($F415))),"",IF($F415&lt;=$E415*12/52*5,"OK","Over 5 weeks"))</f>
        <v/>
      </c>
      <c r="L415" s="52"/>
      <c r="M415" s="52"/>
      <c r="N415" s="122">
        <f>IF(OR($A415="",NOT(ISNUMBER($L415))),IF($A415="","","Not recorded"),IF(NOT(ISNUMBER($M415)),"Checked (no follow-up)",IF($M415&lt;TODAY(),"OVERDUE: follow-up check",IF($M415-TODAY()&lt;=60,"Follow-up due "&amp;TEXT($M415,"dd/mm/yyyy"),"Checked"))))</f>
        <v/>
      </c>
      <c r="O415" s="52"/>
      <c r="P415" s="52"/>
      <c r="Q415" s="122">
        <f>IF($A415="","",IF(NOT(ISNUMBER($D415)),"Enter start date",IF($D415&gt;=DATE(2026,5,1),IF(ISNUMBER($O415),"Complete","Missing: written terms"),IF(OR(ISNUMBER($P415),ISNUMBER($O415)),"Complete","Missing: Information Sheet (was due 31/05/2026)"))))</f>
        <v/>
      </c>
      <c r="R415" s="52"/>
      <c r="S415" s="82">
        <f>IF(ISNUMBER($R415),$R415+364,IF(ISNUMBER($D415),$D415+364,""))</f>
        <v/>
      </c>
      <c r="T415" s="52"/>
      <c r="U415" s="82">
        <f>IF(ISNUMBER($T415),IF(ISNUMBER($S415),MAX(EDATE($T415,2),$S415),EDATE($T415,2)),"")</f>
        <v/>
      </c>
      <c r="V415" s="52"/>
      <c r="W415" s="52"/>
      <c r="X415" s="121">
        <f>IF(NOT(ISNUMBER($V415)),"",IF(ISNUMBER($W415),IF($W415-$V415&lt;=28,"Answered in time","LATE: answered after day 28"),IF(TODAY()-$V415&gt;28,"OVERDUE: no reply yet","Reply due by "&amp;TEXT($V415+28,"dd/mm/yyyy"))))</f>
        <v/>
      </c>
      <c r="Y415" s="54"/>
    </row>
    <row r="416" spans="1:25">
      <c r="A416" s="54"/>
      <c r="B416" s="54"/>
      <c r="C416" s="51"/>
      <c r="D416" s="52"/>
      <c r="E416" s="120"/>
      <c r="F416" s="120"/>
      <c r="G416" s="52"/>
      <c r="H416" s="52"/>
      <c r="I416" s="52"/>
      <c r="J416" s="121">
        <f>IF(OR($A416="",NOT(ISNUMBER($F416))),"",IF($F416&lt;=0,"No deposit",IF(NOT(ISNUMBER($G416)),"Enter date received",IF(AND(ISNUMBER($H416),ISNUMBER($I416)),IF(MAX($H416,$I416)-$G416&lt;=29,"OK","LATE: protected / info served after day 30"),IF(TODAY()-$G416&gt;29,"OVERDUE: not protected / info not served","Protect + serve info by "&amp;TEXT($G416+29,"dd/mm/yyyy"))))))</f>
        <v/>
      </c>
      <c r="K416" s="97">
        <f>IF(OR(NOT(ISNUMBER($E416)),NOT(ISNUMBER($F416))),"",IF($F416&lt;=$E416*12/52*5,"OK","Over 5 weeks"))</f>
        <v/>
      </c>
      <c r="L416" s="52"/>
      <c r="M416" s="52"/>
      <c r="N416" s="122">
        <f>IF(OR($A416="",NOT(ISNUMBER($L416))),IF($A416="","","Not recorded"),IF(NOT(ISNUMBER($M416)),"Checked (no follow-up)",IF($M416&lt;TODAY(),"OVERDUE: follow-up check",IF($M416-TODAY()&lt;=60,"Follow-up due "&amp;TEXT($M416,"dd/mm/yyyy"),"Checked"))))</f>
        <v/>
      </c>
      <c r="O416" s="52"/>
      <c r="P416" s="52"/>
      <c r="Q416" s="122">
        <f>IF($A416="","",IF(NOT(ISNUMBER($D416)),"Enter start date",IF($D416&gt;=DATE(2026,5,1),IF(ISNUMBER($O416),"Complete","Missing: written terms"),IF(OR(ISNUMBER($P416),ISNUMBER($O416)),"Complete","Missing: Information Sheet (was due 31/05/2026)"))))</f>
        <v/>
      </c>
      <c r="R416" s="52"/>
      <c r="S416" s="82">
        <f>IF(ISNUMBER($R416),$R416+364,IF(ISNUMBER($D416),$D416+364,""))</f>
        <v/>
      </c>
      <c r="T416" s="52"/>
      <c r="U416" s="82">
        <f>IF(ISNUMBER($T416),IF(ISNUMBER($S416),MAX(EDATE($T416,2),$S416),EDATE($T416,2)),"")</f>
        <v/>
      </c>
      <c r="V416" s="52"/>
      <c r="W416" s="52"/>
      <c r="X416" s="121">
        <f>IF(NOT(ISNUMBER($V416)),"",IF(ISNUMBER($W416),IF($W416-$V416&lt;=28,"Answered in time","LATE: answered after day 28"),IF(TODAY()-$V416&gt;28,"OVERDUE: no reply yet","Reply due by "&amp;TEXT($V416+28,"dd/mm/yyyy"))))</f>
        <v/>
      </c>
      <c r="Y416" s="54"/>
    </row>
    <row r="417" spans="1:25">
      <c r="A417" s="54"/>
      <c r="B417" s="54"/>
      <c r="C417" s="51"/>
      <c r="D417" s="52"/>
      <c r="E417" s="120"/>
      <c r="F417" s="120"/>
      <c r="G417" s="52"/>
      <c r="H417" s="52"/>
      <c r="I417" s="52"/>
      <c r="J417" s="121">
        <f>IF(OR($A417="",NOT(ISNUMBER($F417))),"",IF($F417&lt;=0,"No deposit",IF(NOT(ISNUMBER($G417)),"Enter date received",IF(AND(ISNUMBER($H417),ISNUMBER($I417)),IF(MAX($H417,$I417)-$G417&lt;=29,"OK","LATE: protected / info served after day 30"),IF(TODAY()-$G417&gt;29,"OVERDUE: not protected / info not served","Protect + serve info by "&amp;TEXT($G417+29,"dd/mm/yyyy"))))))</f>
        <v/>
      </c>
      <c r="K417" s="97">
        <f>IF(OR(NOT(ISNUMBER($E417)),NOT(ISNUMBER($F417))),"",IF($F417&lt;=$E417*12/52*5,"OK","Over 5 weeks"))</f>
        <v/>
      </c>
      <c r="L417" s="52"/>
      <c r="M417" s="52"/>
      <c r="N417" s="122">
        <f>IF(OR($A417="",NOT(ISNUMBER($L417))),IF($A417="","","Not recorded"),IF(NOT(ISNUMBER($M417)),"Checked (no follow-up)",IF($M417&lt;TODAY(),"OVERDUE: follow-up check",IF($M417-TODAY()&lt;=60,"Follow-up due "&amp;TEXT($M417,"dd/mm/yyyy"),"Checked"))))</f>
        <v/>
      </c>
      <c r="O417" s="52"/>
      <c r="P417" s="52"/>
      <c r="Q417" s="122">
        <f>IF($A417="","",IF(NOT(ISNUMBER($D417)),"Enter start date",IF($D417&gt;=DATE(2026,5,1),IF(ISNUMBER($O417),"Complete","Missing: written terms"),IF(OR(ISNUMBER($P417),ISNUMBER($O417)),"Complete","Missing: Information Sheet (was due 31/05/2026)"))))</f>
        <v/>
      </c>
      <c r="R417" s="52"/>
      <c r="S417" s="82">
        <f>IF(ISNUMBER($R417),$R417+364,IF(ISNUMBER($D417),$D417+364,""))</f>
        <v/>
      </c>
      <c r="T417" s="52"/>
      <c r="U417" s="82">
        <f>IF(ISNUMBER($T417),IF(ISNUMBER($S417),MAX(EDATE($T417,2),$S417),EDATE($T417,2)),"")</f>
        <v/>
      </c>
      <c r="V417" s="52"/>
      <c r="W417" s="52"/>
      <c r="X417" s="121">
        <f>IF(NOT(ISNUMBER($V417)),"",IF(ISNUMBER($W417),IF($W417-$V417&lt;=28,"Answered in time","LATE: answered after day 28"),IF(TODAY()-$V417&gt;28,"OVERDUE: no reply yet","Reply due by "&amp;TEXT($V417+28,"dd/mm/yyyy"))))</f>
        <v/>
      </c>
      <c r="Y417" s="54"/>
    </row>
    <row r="418" spans="1:25">
      <c r="A418" s="54"/>
      <c r="B418" s="54"/>
      <c r="C418" s="51"/>
      <c r="D418" s="52"/>
      <c r="E418" s="120"/>
      <c r="F418" s="120"/>
      <c r="G418" s="52"/>
      <c r="H418" s="52"/>
      <c r="I418" s="52"/>
      <c r="J418" s="121">
        <f>IF(OR($A418="",NOT(ISNUMBER($F418))),"",IF($F418&lt;=0,"No deposit",IF(NOT(ISNUMBER($G418)),"Enter date received",IF(AND(ISNUMBER($H418),ISNUMBER($I418)),IF(MAX($H418,$I418)-$G418&lt;=29,"OK","LATE: protected / info served after day 30"),IF(TODAY()-$G418&gt;29,"OVERDUE: not protected / info not served","Protect + serve info by "&amp;TEXT($G418+29,"dd/mm/yyyy"))))))</f>
        <v/>
      </c>
      <c r="K418" s="97">
        <f>IF(OR(NOT(ISNUMBER($E418)),NOT(ISNUMBER($F418))),"",IF($F418&lt;=$E418*12/52*5,"OK","Over 5 weeks"))</f>
        <v/>
      </c>
      <c r="L418" s="52"/>
      <c r="M418" s="52"/>
      <c r="N418" s="122">
        <f>IF(OR($A418="",NOT(ISNUMBER($L418))),IF($A418="","","Not recorded"),IF(NOT(ISNUMBER($M418)),"Checked (no follow-up)",IF($M418&lt;TODAY(),"OVERDUE: follow-up check",IF($M418-TODAY()&lt;=60,"Follow-up due "&amp;TEXT($M418,"dd/mm/yyyy"),"Checked"))))</f>
        <v/>
      </c>
      <c r="O418" s="52"/>
      <c r="P418" s="52"/>
      <c r="Q418" s="122">
        <f>IF($A418="","",IF(NOT(ISNUMBER($D418)),"Enter start date",IF($D418&gt;=DATE(2026,5,1),IF(ISNUMBER($O418),"Complete","Missing: written terms"),IF(OR(ISNUMBER($P418),ISNUMBER($O418)),"Complete","Missing: Information Sheet (was due 31/05/2026)"))))</f>
        <v/>
      </c>
      <c r="R418" s="52"/>
      <c r="S418" s="82">
        <f>IF(ISNUMBER($R418),$R418+364,IF(ISNUMBER($D418),$D418+364,""))</f>
        <v/>
      </c>
      <c r="T418" s="52"/>
      <c r="U418" s="82">
        <f>IF(ISNUMBER($T418),IF(ISNUMBER($S418),MAX(EDATE($T418,2),$S418),EDATE($T418,2)),"")</f>
        <v/>
      </c>
      <c r="V418" s="52"/>
      <c r="W418" s="52"/>
      <c r="X418" s="121">
        <f>IF(NOT(ISNUMBER($V418)),"",IF(ISNUMBER($W418),IF($W418-$V418&lt;=28,"Answered in time","LATE: answered after day 28"),IF(TODAY()-$V418&gt;28,"OVERDUE: no reply yet","Reply due by "&amp;TEXT($V418+28,"dd/mm/yyyy"))))</f>
        <v/>
      </c>
      <c r="Y418" s="54"/>
    </row>
    <row r="419" spans="1:25">
      <c r="A419" s="54"/>
      <c r="B419" s="54"/>
      <c r="C419" s="51"/>
      <c r="D419" s="52"/>
      <c r="E419" s="120"/>
      <c r="F419" s="120"/>
      <c r="G419" s="52"/>
      <c r="H419" s="52"/>
      <c r="I419" s="52"/>
      <c r="J419" s="121">
        <f>IF(OR($A419="",NOT(ISNUMBER($F419))),"",IF($F419&lt;=0,"No deposit",IF(NOT(ISNUMBER($G419)),"Enter date received",IF(AND(ISNUMBER($H419),ISNUMBER($I419)),IF(MAX($H419,$I419)-$G419&lt;=29,"OK","LATE: protected / info served after day 30"),IF(TODAY()-$G419&gt;29,"OVERDUE: not protected / info not served","Protect + serve info by "&amp;TEXT($G419+29,"dd/mm/yyyy"))))))</f>
        <v/>
      </c>
      <c r="K419" s="97">
        <f>IF(OR(NOT(ISNUMBER($E419)),NOT(ISNUMBER($F419))),"",IF($F419&lt;=$E419*12/52*5,"OK","Over 5 weeks"))</f>
        <v/>
      </c>
      <c r="L419" s="52"/>
      <c r="M419" s="52"/>
      <c r="N419" s="122">
        <f>IF(OR($A419="",NOT(ISNUMBER($L419))),IF($A419="","","Not recorded"),IF(NOT(ISNUMBER($M419)),"Checked (no follow-up)",IF($M419&lt;TODAY(),"OVERDUE: follow-up check",IF($M419-TODAY()&lt;=60,"Follow-up due "&amp;TEXT($M419,"dd/mm/yyyy"),"Checked"))))</f>
        <v/>
      </c>
      <c r="O419" s="52"/>
      <c r="P419" s="52"/>
      <c r="Q419" s="122">
        <f>IF($A419="","",IF(NOT(ISNUMBER($D419)),"Enter start date",IF($D419&gt;=DATE(2026,5,1),IF(ISNUMBER($O419),"Complete","Missing: written terms"),IF(OR(ISNUMBER($P419),ISNUMBER($O419)),"Complete","Missing: Information Sheet (was due 31/05/2026)"))))</f>
        <v/>
      </c>
      <c r="R419" s="52"/>
      <c r="S419" s="82">
        <f>IF(ISNUMBER($R419),$R419+364,IF(ISNUMBER($D419),$D419+364,""))</f>
        <v/>
      </c>
      <c r="T419" s="52"/>
      <c r="U419" s="82">
        <f>IF(ISNUMBER($T419),IF(ISNUMBER($S419),MAX(EDATE($T419,2),$S419),EDATE($T419,2)),"")</f>
        <v/>
      </c>
      <c r="V419" s="52"/>
      <c r="W419" s="52"/>
      <c r="X419" s="121">
        <f>IF(NOT(ISNUMBER($V419)),"",IF(ISNUMBER($W419),IF($W419-$V419&lt;=28,"Answered in time","LATE: answered after day 28"),IF(TODAY()-$V419&gt;28,"OVERDUE: no reply yet","Reply due by "&amp;TEXT($V419+28,"dd/mm/yyyy"))))</f>
        <v/>
      </c>
      <c r="Y419" s="54"/>
    </row>
    <row r="420" spans="1:25">
      <c r="A420" s="54"/>
      <c r="B420" s="54"/>
      <c r="C420" s="51"/>
      <c r="D420" s="52"/>
      <c r="E420" s="120"/>
      <c r="F420" s="120"/>
      <c r="G420" s="52"/>
      <c r="H420" s="52"/>
      <c r="I420" s="52"/>
      <c r="J420" s="121">
        <f>IF(OR($A420="",NOT(ISNUMBER($F420))),"",IF($F420&lt;=0,"No deposit",IF(NOT(ISNUMBER($G420)),"Enter date received",IF(AND(ISNUMBER($H420),ISNUMBER($I420)),IF(MAX($H420,$I420)-$G420&lt;=29,"OK","LATE: protected / info served after day 30"),IF(TODAY()-$G420&gt;29,"OVERDUE: not protected / info not served","Protect + serve info by "&amp;TEXT($G420+29,"dd/mm/yyyy"))))))</f>
        <v/>
      </c>
      <c r="K420" s="97">
        <f>IF(OR(NOT(ISNUMBER($E420)),NOT(ISNUMBER($F420))),"",IF($F420&lt;=$E420*12/52*5,"OK","Over 5 weeks"))</f>
        <v/>
      </c>
      <c r="L420" s="52"/>
      <c r="M420" s="52"/>
      <c r="N420" s="122">
        <f>IF(OR($A420="",NOT(ISNUMBER($L420))),IF($A420="","","Not recorded"),IF(NOT(ISNUMBER($M420)),"Checked (no follow-up)",IF($M420&lt;TODAY(),"OVERDUE: follow-up check",IF($M420-TODAY()&lt;=60,"Follow-up due "&amp;TEXT($M420,"dd/mm/yyyy"),"Checked"))))</f>
        <v/>
      </c>
      <c r="O420" s="52"/>
      <c r="P420" s="52"/>
      <c r="Q420" s="122">
        <f>IF($A420="","",IF(NOT(ISNUMBER($D420)),"Enter start date",IF($D420&gt;=DATE(2026,5,1),IF(ISNUMBER($O420),"Complete","Missing: written terms"),IF(OR(ISNUMBER($P420),ISNUMBER($O420)),"Complete","Missing: Information Sheet (was due 31/05/2026)"))))</f>
        <v/>
      </c>
      <c r="R420" s="52"/>
      <c r="S420" s="82">
        <f>IF(ISNUMBER($R420),$R420+364,IF(ISNUMBER($D420),$D420+364,""))</f>
        <v/>
      </c>
      <c r="T420" s="52"/>
      <c r="U420" s="82">
        <f>IF(ISNUMBER($T420),IF(ISNUMBER($S420),MAX(EDATE($T420,2),$S420),EDATE($T420,2)),"")</f>
        <v/>
      </c>
      <c r="V420" s="52"/>
      <c r="W420" s="52"/>
      <c r="X420" s="121">
        <f>IF(NOT(ISNUMBER($V420)),"",IF(ISNUMBER($W420),IF($W420-$V420&lt;=28,"Answered in time","LATE: answered after day 28"),IF(TODAY()-$V420&gt;28,"OVERDUE: no reply yet","Reply due by "&amp;TEXT($V420+28,"dd/mm/yyyy"))))</f>
        <v/>
      </c>
      <c r="Y420" s="54"/>
    </row>
    <row r="421" spans="1:25">
      <c r="A421" s="54"/>
      <c r="B421" s="54"/>
      <c r="C421" s="51"/>
      <c r="D421" s="52"/>
      <c r="E421" s="120"/>
      <c r="F421" s="120"/>
      <c r="G421" s="52"/>
      <c r="H421" s="52"/>
      <c r="I421" s="52"/>
      <c r="J421" s="121">
        <f>IF(OR($A421="",NOT(ISNUMBER($F421))),"",IF($F421&lt;=0,"No deposit",IF(NOT(ISNUMBER($G421)),"Enter date received",IF(AND(ISNUMBER($H421),ISNUMBER($I421)),IF(MAX($H421,$I421)-$G421&lt;=29,"OK","LATE: protected / info served after day 30"),IF(TODAY()-$G421&gt;29,"OVERDUE: not protected / info not served","Protect + serve info by "&amp;TEXT($G421+29,"dd/mm/yyyy"))))))</f>
        <v/>
      </c>
      <c r="K421" s="97">
        <f>IF(OR(NOT(ISNUMBER($E421)),NOT(ISNUMBER($F421))),"",IF($F421&lt;=$E421*12/52*5,"OK","Over 5 weeks"))</f>
        <v/>
      </c>
      <c r="L421" s="52"/>
      <c r="M421" s="52"/>
      <c r="N421" s="122">
        <f>IF(OR($A421="",NOT(ISNUMBER($L421))),IF($A421="","","Not recorded"),IF(NOT(ISNUMBER($M421)),"Checked (no follow-up)",IF($M421&lt;TODAY(),"OVERDUE: follow-up check",IF($M421-TODAY()&lt;=60,"Follow-up due "&amp;TEXT($M421,"dd/mm/yyyy"),"Checked"))))</f>
        <v/>
      </c>
      <c r="O421" s="52"/>
      <c r="P421" s="52"/>
      <c r="Q421" s="122">
        <f>IF($A421="","",IF(NOT(ISNUMBER($D421)),"Enter start date",IF($D421&gt;=DATE(2026,5,1),IF(ISNUMBER($O421),"Complete","Missing: written terms"),IF(OR(ISNUMBER($P421),ISNUMBER($O421)),"Complete","Missing: Information Sheet (was due 31/05/2026)"))))</f>
        <v/>
      </c>
      <c r="R421" s="52"/>
      <c r="S421" s="82">
        <f>IF(ISNUMBER($R421),$R421+364,IF(ISNUMBER($D421),$D421+364,""))</f>
        <v/>
      </c>
      <c r="T421" s="52"/>
      <c r="U421" s="82">
        <f>IF(ISNUMBER($T421),IF(ISNUMBER($S421),MAX(EDATE($T421,2),$S421),EDATE($T421,2)),"")</f>
        <v/>
      </c>
      <c r="V421" s="52"/>
      <c r="W421" s="52"/>
      <c r="X421" s="121">
        <f>IF(NOT(ISNUMBER($V421)),"",IF(ISNUMBER($W421),IF($W421-$V421&lt;=28,"Answered in time","LATE: answered after day 28"),IF(TODAY()-$V421&gt;28,"OVERDUE: no reply yet","Reply due by "&amp;TEXT($V421+28,"dd/mm/yyyy"))))</f>
        <v/>
      </c>
      <c r="Y421" s="54"/>
    </row>
    <row r="422" spans="1:25">
      <c r="A422" s="54"/>
      <c r="B422" s="54"/>
      <c r="C422" s="51"/>
      <c r="D422" s="52"/>
      <c r="E422" s="120"/>
      <c r="F422" s="120"/>
      <c r="G422" s="52"/>
      <c r="H422" s="52"/>
      <c r="I422" s="52"/>
      <c r="J422" s="121">
        <f>IF(OR($A422="",NOT(ISNUMBER($F422))),"",IF($F422&lt;=0,"No deposit",IF(NOT(ISNUMBER($G422)),"Enter date received",IF(AND(ISNUMBER($H422),ISNUMBER($I422)),IF(MAX($H422,$I422)-$G422&lt;=29,"OK","LATE: protected / info served after day 30"),IF(TODAY()-$G422&gt;29,"OVERDUE: not protected / info not served","Protect + serve info by "&amp;TEXT($G422+29,"dd/mm/yyyy"))))))</f>
        <v/>
      </c>
      <c r="K422" s="97">
        <f>IF(OR(NOT(ISNUMBER($E422)),NOT(ISNUMBER($F422))),"",IF($F422&lt;=$E422*12/52*5,"OK","Over 5 weeks"))</f>
        <v/>
      </c>
      <c r="L422" s="52"/>
      <c r="M422" s="52"/>
      <c r="N422" s="122">
        <f>IF(OR($A422="",NOT(ISNUMBER($L422))),IF($A422="","","Not recorded"),IF(NOT(ISNUMBER($M422)),"Checked (no follow-up)",IF($M422&lt;TODAY(),"OVERDUE: follow-up check",IF($M422-TODAY()&lt;=60,"Follow-up due "&amp;TEXT($M422,"dd/mm/yyyy"),"Checked"))))</f>
        <v/>
      </c>
      <c r="O422" s="52"/>
      <c r="P422" s="52"/>
      <c r="Q422" s="122">
        <f>IF($A422="","",IF(NOT(ISNUMBER($D422)),"Enter start date",IF($D422&gt;=DATE(2026,5,1),IF(ISNUMBER($O422),"Complete","Missing: written terms"),IF(OR(ISNUMBER($P422),ISNUMBER($O422)),"Complete","Missing: Information Sheet (was due 31/05/2026)"))))</f>
        <v/>
      </c>
      <c r="R422" s="52"/>
      <c r="S422" s="82">
        <f>IF(ISNUMBER($R422),$R422+364,IF(ISNUMBER($D422),$D422+364,""))</f>
        <v/>
      </c>
      <c r="T422" s="52"/>
      <c r="U422" s="82">
        <f>IF(ISNUMBER($T422),IF(ISNUMBER($S422),MAX(EDATE($T422,2),$S422),EDATE($T422,2)),"")</f>
        <v/>
      </c>
      <c r="V422" s="52"/>
      <c r="W422" s="52"/>
      <c r="X422" s="121">
        <f>IF(NOT(ISNUMBER($V422)),"",IF(ISNUMBER($W422),IF($W422-$V422&lt;=28,"Answered in time","LATE: answered after day 28"),IF(TODAY()-$V422&gt;28,"OVERDUE: no reply yet","Reply due by "&amp;TEXT($V422+28,"dd/mm/yyyy"))))</f>
        <v/>
      </c>
      <c r="Y422" s="54"/>
    </row>
    <row r="423" spans="1:25">
      <c r="A423" s="54"/>
      <c r="B423" s="54"/>
      <c r="C423" s="51"/>
      <c r="D423" s="52"/>
      <c r="E423" s="120"/>
      <c r="F423" s="120"/>
      <c r="G423" s="52"/>
      <c r="H423" s="52"/>
      <c r="I423" s="52"/>
      <c r="J423" s="121">
        <f>IF(OR($A423="",NOT(ISNUMBER($F423))),"",IF($F423&lt;=0,"No deposit",IF(NOT(ISNUMBER($G423)),"Enter date received",IF(AND(ISNUMBER($H423),ISNUMBER($I423)),IF(MAX($H423,$I423)-$G423&lt;=29,"OK","LATE: protected / info served after day 30"),IF(TODAY()-$G423&gt;29,"OVERDUE: not protected / info not served","Protect + serve info by "&amp;TEXT($G423+29,"dd/mm/yyyy"))))))</f>
        <v/>
      </c>
      <c r="K423" s="97">
        <f>IF(OR(NOT(ISNUMBER($E423)),NOT(ISNUMBER($F423))),"",IF($F423&lt;=$E423*12/52*5,"OK","Over 5 weeks"))</f>
        <v/>
      </c>
      <c r="L423" s="52"/>
      <c r="M423" s="52"/>
      <c r="N423" s="122">
        <f>IF(OR($A423="",NOT(ISNUMBER($L423))),IF($A423="","","Not recorded"),IF(NOT(ISNUMBER($M423)),"Checked (no follow-up)",IF($M423&lt;TODAY(),"OVERDUE: follow-up check",IF($M423-TODAY()&lt;=60,"Follow-up due "&amp;TEXT($M423,"dd/mm/yyyy"),"Checked"))))</f>
        <v/>
      </c>
      <c r="O423" s="52"/>
      <c r="P423" s="52"/>
      <c r="Q423" s="122">
        <f>IF($A423="","",IF(NOT(ISNUMBER($D423)),"Enter start date",IF($D423&gt;=DATE(2026,5,1),IF(ISNUMBER($O423),"Complete","Missing: written terms"),IF(OR(ISNUMBER($P423),ISNUMBER($O423)),"Complete","Missing: Information Sheet (was due 31/05/2026)"))))</f>
        <v/>
      </c>
      <c r="R423" s="52"/>
      <c r="S423" s="82">
        <f>IF(ISNUMBER($R423),$R423+364,IF(ISNUMBER($D423),$D423+364,""))</f>
        <v/>
      </c>
      <c r="T423" s="52"/>
      <c r="U423" s="82">
        <f>IF(ISNUMBER($T423),IF(ISNUMBER($S423),MAX(EDATE($T423,2),$S423),EDATE($T423,2)),"")</f>
        <v/>
      </c>
      <c r="V423" s="52"/>
      <c r="W423" s="52"/>
      <c r="X423" s="121">
        <f>IF(NOT(ISNUMBER($V423)),"",IF(ISNUMBER($W423),IF($W423-$V423&lt;=28,"Answered in time","LATE: answered after day 28"),IF(TODAY()-$V423&gt;28,"OVERDUE: no reply yet","Reply due by "&amp;TEXT($V423+28,"dd/mm/yyyy"))))</f>
        <v/>
      </c>
      <c r="Y423" s="54"/>
    </row>
    <row r="424" spans="1:25">
      <c r="A424" s="54"/>
      <c r="B424" s="54"/>
      <c r="C424" s="51"/>
      <c r="D424" s="52"/>
      <c r="E424" s="120"/>
      <c r="F424" s="120"/>
      <c r="G424" s="52"/>
      <c r="H424" s="52"/>
      <c r="I424" s="52"/>
      <c r="J424" s="121">
        <f>IF(OR($A424="",NOT(ISNUMBER($F424))),"",IF($F424&lt;=0,"No deposit",IF(NOT(ISNUMBER($G424)),"Enter date received",IF(AND(ISNUMBER($H424),ISNUMBER($I424)),IF(MAX($H424,$I424)-$G424&lt;=29,"OK","LATE: protected / info served after day 30"),IF(TODAY()-$G424&gt;29,"OVERDUE: not protected / info not served","Protect + serve info by "&amp;TEXT($G424+29,"dd/mm/yyyy"))))))</f>
        <v/>
      </c>
      <c r="K424" s="97">
        <f>IF(OR(NOT(ISNUMBER($E424)),NOT(ISNUMBER($F424))),"",IF($F424&lt;=$E424*12/52*5,"OK","Over 5 weeks"))</f>
        <v/>
      </c>
      <c r="L424" s="52"/>
      <c r="M424" s="52"/>
      <c r="N424" s="122">
        <f>IF(OR($A424="",NOT(ISNUMBER($L424))),IF($A424="","","Not recorded"),IF(NOT(ISNUMBER($M424)),"Checked (no follow-up)",IF($M424&lt;TODAY(),"OVERDUE: follow-up check",IF($M424-TODAY()&lt;=60,"Follow-up due "&amp;TEXT($M424,"dd/mm/yyyy"),"Checked"))))</f>
        <v/>
      </c>
      <c r="O424" s="52"/>
      <c r="P424" s="52"/>
      <c r="Q424" s="122">
        <f>IF($A424="","",IF(NOT(ISNUMBER($D424)),"Enter start date",IF($D424&gt;=DATE(2026,5,1),IF(ISNUMBER($O424),"Complete","Missing: written terms"),IF(OR(ISNUMBER($P424),ISNUMBER($O424)),"Complete","Missing: Information Sheet (was due 31/05/2026)"))))</f>
        <v/>
      </c>
      <c r="R424" s="52"/>
      <c r="S424" s="82">
        <f>IF(ISNUMBER($R424),$R424+364,IF(ISNUMBER($D424),$D424+364,""))</f>
        <v/>
      </c>
      <c r="T424" s="52"/>
      <c r="U424" s="82">
        <f>IF(ISNUMBER($T424),IF(ISNUMBER($S424),MAX(EDATE($T424,2),$S424),EDATE($T424,2)),"")</f>
        <v/>
      </c>
      <c r="V424" s="52"/>
      <c r="W424" s="52"/>
      <c r="X424" s="121">
        <f>IF(NOT(ISNUMBER($V424)),"",IF(ISNUMBER($W424),IF($W424-$V424&lt;=28,"Answered in time","LATE: answered after day 28"),IF(TODAY()-$V424&gt;28,"OVERDUE: no reply yet","Reply due by "&amp;TEXT($V424+28,"dd/mm/yyyy"))))</f>
        <v/>
      </c>
      <c r="Y424" s="54"/>
    </row>
    <row r="425" spans="1:25">
      <c r="A425" s="54"/>
      <c r="B425" s="54"/>
      <c r="C425" s="51"/>
      <c r="D425" s="52"/>
      <c r="E425" s="120"/>
      <c r="F425" s="120"/>
      <c r="G425" s="52"/>
      <c r="H425" s="52"/>
      <c r="I425" s="52"/>
      <c r="J425" s="121">
        <f>IF(OR($A425="",NOT(ISNUMBER($F425))),"",IF($F425&lt;=0,"No deposit",IF(NOT(ISNUMBER($G425)),"Enter date received",IF(AND(ISNUMBER($H425),ISNUMBER($I425)),IF(MAX($H425,$I425)-$G425&lt;=29,"OK","LATE: protected / info served after day 30"),IF(TODAY()-$G425&gt;29,"OVERDUE: not protected / info not served","Protect + serve info by "&amp;TEXT($G425+29,"dd/mm/yyyy"))))))</f>
        <v/>
      </c>
      <c r="K425" s="97">
        <f>IF(OR(NOT(ISNUMBER($E425)),NOT(ISNUMBER($F425))),"",IF($F425&lt;=$E425*12/52*5,"OK","Over 5 weeks"))</f>
        <v/>
      </c>
      <c r="L425" s="52"/>
      <c r="M425" s="52"/>
      <c r="N425" s="122">
        <f>IF(OR($A425="",NOT(ISNUMBER($L425))),IF($A425="","","Not recorded"),IF(NOT(ISNUMBER($M425)),"Checked (no follow-up)",IF($M425&lt;TODAY(),"OVERDUE: follow-up check",IF($M425-TODAY()&lt;=60,"Follow-up due "&amp;TEXT($M425,"dd/mm/yyyy"),"Checked"))))</f>
        <v/>
      </c>
      <c r="O425" s="52"/>
      <c r="P425" s="52"/>
      <c r="Q425" s="122">
        <f>IF($A425="","",IF(NOT(ISNUMBER($D425)),"Enter start date",IF($D425&gt;=DATE(2026,5,1),IF(ISNUMBER($O425),"Complete","Missing: written terms"),IF(OR(ISNUMBER($P425),ISNUMBER($O425)),"Complete","Missing: Information Sheet (was due 31/05/2026)"))))</f>
        <v/>
      </c>
      <c r="R425" s="52"/>
      <c r="S425" s="82">
        <f>IF(ISNUMBER($R425),$R425+364,IF(ISNUMBER($D425),$D425+364,""))</f>
        <v/>
      </c>
      <c r="T425" s="52"/>
      <c r="U425" s="82">
        <f>IF(ISNUMBER($T425),IF(ISNUMBER($S425),MAX(EDATE($T425,2),$S425),EDATE($T425,2)),"")</f>
        <v/>
      </c>
      <c r="V425" s="52"/>
      <c r="W425" s="52"/>
      <c r="X425" s="121">
        <f>IF(NOT(ISNUMBER($V425)),"",IF(ISNUMBER($W425),IF($W425-$V425&lt;=28,"Answered in time","LATE: answered after day 28"),IF(TODAY()-$V425&gt;28,"OVERDUE: no reply yet","Reply due by "&amp;TEXT($V425+28,"dd/mm/yyyy"))))</f>
        <v/>
      </c>
      <c r="Y425" s="54"/>
    </row>
    <row r="426" spans="1:25">
      <c r="A426" s="54"/>
      <c r="B426" s="54"/>
      <c r="C426" s="51"/>
      <c r="D426" s="52"/>
      <c r="E426" s="120"/>
      <c r="F426" s="120"/>
      <c r="G426" s="52"/>
      <c r="H426" s="52"/>
      <c r="I426" s="52"/>
      <c r="J426" s="121">
        <f>IF(OR($A426="",NOT(ISNUMBER($F426))),"",IF($F426&lt;=0,"No deposit",IF(NOT(ISNUMBER($G426)),"Enter date received",IF(AND(ISNUMBER($H426),ISNUMBER($I426)),IF(MAX($H426,$I426)-$G426&lt;=29,"OK","LATE: protected / info served after day 30"),IF(TODAY()-$G426&gt;29,"OVERDUE: not protected / info not served","Protect + serve info by "&amp;TEXT($G426+29,"dd/mm/yyyy"))))))</f>
        <v/>
      </c>
      <c r="K426" s="97">
        <f>IF(OR(NOT(ISNUMBER($E426)),NOT(ISNUMBER($F426))),"",IF($F426&lt;=$E426*12/52*5,"OK","Over 5 weeks"))</f>
        <v/>
      </c>
      <c r="L426" s="52"/>
      <c r="M426" s="52"/>
      <c r="N426" s="122">
        <f>IF(OR($A426="",NOT(ISNUMBER($L426))),IF($A426="","","Not recorded"),IF(NOT(ISNUMBER($M426)),"Checked (no follow-up)",IF($M426&lt;TODAY(),"OVERDUE: follow-up check",IF($M426-TODAY()&lt;=60,"Follow-up due "&amp;TEXT($M426,"dd/mm/yyyy"),"Checked"))))</f>
        <v/>
      </c>
      <c r="O426" s="52"/>
      <c r="P426" s="52"/>
      <c r="Q426" s="122">
        <f>IF($A426="","",IF(NOT(ISNUMBER($D426)),"Enter start date",IF($D426&gt;=DATE(2026,5,1),IF(ISNUMBER($O426),"Complete","Missing: written terms"),IF(OR(ISNUMBER($P426),ISNUMBER($O426)),"Complete","Missing: Information Sheet (was due 31/05/2026)"))))</f>
        <v/>
      </c>
      <c r="R426" s="52"/>
      <c r="S426" s="82">
        <f>IF(ISNUMBER($R426),$R426+364,IF(ISNUMBER($D426),$D426+364,""))</f>
        <v/>
      </c>
      <c r="T426" s="52"/>
      <c r="U426" s="82">
        <f>IF(ISNUMBER($T426),IF(ISNUMBER($S426),MAX(EDATE($T426,2),$S426),EDATE($T426,2)),"")</f>
        <v/>
      </c>
      <c r="V426" s="52"/>
      <c r="W426" s="52"/>
      <c r="X426" s="121">
        <f>IF(NOT(ISNUMBER($V426)),"",IF(ISNUMBER($W426),IF($W426-$V426&lt;=28,"Answered in time","LATE: answered after day 28"),IF(TODAY()-$V426&gt;28,"OVERDUE: no reply yet","Reply due by "&amp;TEXT($V426+28,"dd/mm/yyyy"))))</f>
        <v/>
      </c>
      <c r="Y426" s="54"/>
    </row>
    <row r="427" spans="1:25">
      <c r="A427" s="54"/>
      <c r="B427" s="54"/>
      <c r="C427" s="51"/>
      <c r="D427" s="52"/>
      <c r="E427" s="120"/>
      <c r="F427" s="120"/>
      <c r="G427" s="52"/>
      <c r="H427" s="52"/>
      <c r="I427" s="52"/>
      <c r="J427" s="121">
        <f>IF(OR($A427="",NOT(ISNUMBER($F427))),"",IF($F427&lt;=0,"No deposit",IF(NOT(ISNUMBER($G427)),"Enter date received",IF(AND(ISNUMBER($H427),ISNUMBER($I427)),IF(MAX($H427,$I427)-$G427&lt;=29,"OK","LATE: protected / info served after day 30"),IF(TODAY()-$G427&gt;29,"OVERDUE: not protected / info not served","Protect + serve info by "&amp;TEXT($G427+29,"dd/mm/yyyy"))))))</f>
        <v/>
      </c>
      <c r="K427" s="97">
        <f>IF(OR(NOT(ISNUMBER($E427)),NOT(ISNUMBER($F427))),"",IF($F427&lt;=$E427*12/52*5,"OK","Over 5 weeks"))</f>
        <v/>
      </c>
      <c r="L427" s="52"/>
      <c r="M427" s="52"/>
      <c r="N427" s="122">
        <f>IF(OR($A427="",NOT(ISNUMBER($L427))),IF($A427="","","Not recorded"),IF(NOT(ISNUMBER($M427)),"Checked (no follow-up)",IF($M427&lt;TODAY(),"OVERDUE: follow-up check",IF($M427-TODAY()&lt;=60,"Follow-up due "&amp;TEXT($M427,"dd/mm/yyyy"),"Checked"))))</f>
        <v/>
      </c>
      <c r="O427" s="52"/>
      <c r="P427" s="52"/>
      <c r="Q427" s="122">
        <f>IF($A427="","",IF(NOT(ISNUMBER($D427)),"Enter start date",IF($D427&gt;=DATE(2026,5,1),IF(ISNUMBER($O427),"Complete","Missing: written terms"),IF(OR(ISNUMBER($P427),ISNUMBER($O427)),"Complete","Missing: Information Sheet (was due 31/05/2026)"))))</f>
        <v/>
      </c>
      <c r="R427" s="52"/>
      <c r="S427" s="82">
        <f>IF(ISNUMBER($R427),$R427+364,IF(ISNUMBER($D427),$D427+364,""))</f>
        <v/>
      </c>
      <c r="T427" s="52"/>
      <c r="U427" s="82">
        <f>IF(ISNUMBER($T427),IF(ISNUMBER($S427),MAX(EDATE($T427,2),$S427),EDATE($T427,2)),"")</f>
        <v/>
      </c>
      <c r="V427" s="52"/>
      <c r="W427" s="52"/>
      <c r="X427" s="121">
        <f>IF(NOT(ISNUMBER($V427)),"",IF(ISNUMBER($W427),IF($W427-$V427&lt;=28,"Answered in time","LATE: answered after day 28"),IF(TODAY()-$V427&gt;28,"OVERDUE: no reply yet","Reply due by "&amp;TEXT($V427+28,"dd/mm/yyyy"))))</f>
        <v/>
      </c>
      <c r="Y427" s="54"/>
    </row>
    <row r="428" spans="1:25">
      <c r="A428" s="54"/>
      <c r="B428" s="54"/>
      <c r="C428" s="51"/>
      <c r="D428" s="52"/>
      <c r="E428" s="120"/>
      <c r="F428" s="120"/>
      <c r="G428" s="52"/>
      <c r="H428" s="52"/>
      <c r="I428" s="52"/>
      <c r="J428" s="121">
        <f>IF(OR($A428="",NOT(ISNUMBER($F428))),"",IF($F428&lt;=0,"No deposit",IF(NOT(ISNUMBER($G428)),"Enter date received",IF(AND(ISNUMBER($H428),ISNUMBER($I428)),IF(MAX($H428,$I428)-$G428&lt;=29,"OK","LATE: protected / info served after day 30"),IF(TODAY()-$G428&gt;29,"OVERDUE: not protected / info not served","Protect + serve info by "&amp;TEXT($G428+29,"dd/mm/yyyy"))))))</f>
        <v/>
      </c>
      <c r="K428" s="97">
        <f>IF(OR(NOT(ISNUMBER($E428)),NOT(ISNUMBER($F428))),"",IF($F428&lt;=$E428*12/52*5,"OK","Over 5 weeks"))</f>
        <v/>
      </c>
      <c r="L428" s="52"/>
      <c r="M428" s="52"/>
      <c r="N428" s="122">
        <f>IF(OR($A428="",NOT(ISNUMBER($L428))),IF($A428="","","Not recorded"),IF(NOT(ISNUMBER($M428)),"Checked (no follow-up)",IF($M428&lt;TODAY(),"OVERDUE: follow-up check",IF($M428-TODAY()&lt;=60,"Follow-up due "&amp;TEXT($M428,"dd/mm/yyyy"),"Checked"))))</f>
        <v/>
      </c>
      <c r="O428" s="52"/>
      <c r="P428" s="52"/>
      <c r="Q428" s="122">
        <f>IF($A428="","",IF(NOT(ISNUMBER($D428)),"Enter start date",IF($D428&gt;=DATE(2026,5,1),IF(ISNUMBER($O428),"Complete","Missing: written terms"),IF(OR(ISNUMBER($P428),ISNUMBER($O428)),"Complete","Missing: Information Sheet (was due 31/05/2026)"))))</f>
        <v/>
      </c>
      <c r="R428" s="52"/>
      <c r="S428" s="82">
        <f>IF(ISNUMBER($R428),$R428+364,IF(ISNUMBER($D428),$D428+364,""))</f>
        <v/>
      </c>
      <c r="T428" s="52"/>
      <c r="U428" s="82">
        <f>IF(ISNUMBER($T428),IF(ISNUMBER($S428),MAX(EDATE($T428,2),$S428),EDATE($T428,2)),"")</f>
        <v/>
      </c>
      <c r="V428" s="52"/>
      <c r="W428" s="52"/>
      <c r="X428" s="121">
        <f>IF(NOT(ISNUMBER($V428)),"",IF(ISNUMBER($W428),IF($W428-$V428&lt;=28,"Answered in time","LATE: answered after day 28"),IF(TODAY()-$V428&gt;28,"OVERDUE: no reply yet","Reply due by "&amp;TEXT($V428+28,"dd/mm/yyyy"))))</f>
        <v/>
      </c>
      <c r="Y428" s="54"/>
    </row>
    <row r="429" spans="1:25">
      <c r="A429" s="54"/>
      <c r="B429" s="54"/>
      <c r="C429" s="51"/>
      <c r="D429" s="52"/>
      <c r="E429" s="120"/>
      <c r="F429" s="120"/>
      <c r="G429" s="52"/>
      <c r="H429" s="52"/>
      <c r="I429" s="52"/>
      <c r="J429" s="121">
        <f>IF(OR($A429="",NOT(ISNUMBER($F429))),"",IF($F429&lt;=0,"No deposit",IF(NOT(ISNUMBER($G429)),"Enter date received",IF(AND(ISNUMBER($H429),ISNUMBER($I429)),IF(MAX($H429,$I429)-$G429&lt;=29,"OK","LATE: protected / info served after day 30"),IF(TODAY()-$G429&gt;29,"OVERDUE: not protected / info not served","Protect + serve info by "&amp;TEXT($G429+29,"dd/mm/yyyy"))))))</f>
        <v/>
      </c>
      <c r="K429" s="97">
        <f>IF(OR(NOT(ISNUMBER($E429)),NOT(ISNUMBER($F429))),"",IF($F429&lt;=$E429*12/52*5,"OK","Over 5 weeks"))</f>
        <v/>
      </c>
      <c r="L429" s="52"/>
      <c r="M429" s="52"/>
      <c r="N429" s="122">
        <f>IF(OR($A429="",NOT(ISNUMBER($L429))),IF($A429="","","Not recorded"),IF(NOT(ISNUMBER($M429)),"Checked (no follow-up)",IF($M429&lt;TODAY(),"OVERDUE: follow-up check",IF($M429-TODAY()&lt;=60,"Follow-up due "&amp;TEXT($M429,"dd/mm/yyyy"),"Checked"))))</f>
        <v/>
      </c>
      <c r="O429" s="52"/>
      <c r="P429" s="52"/>
      <c r="Q429" s="122">
        <f>IF($A429="","",IF(NOT(ISNUMBER($D429)),"Enter start date",IF($D429&gt;=DATE(2026,5,1),IF(ISNUMBER($O429),"Complete","Missing: written terms"),IF(OR(ISNUMBER($P429),ISNUMBER($O429)),"Complete","Missing: Information Sheet (was due 31/05/2026)"))))</f>
        <v/>
      </c>
      <c r="R429" s="52"/>
      <c r="S429" s="82">
        <f>IF(ISNUMBER($R429),$R429+364,IF(ISNUMBER($D429),$D429+364,""))</f>
        <v/>
      </c>
      <c r="T429" s="52"/>
      <c r="U429" s="82">
        <f>IF(ISNUMBER($T429),IF(ISNUMBER($S429),MAX(EDATE($T429,2),$S429),EDATE($T429,2)),"")</f>
        <v/>
      </c>
      <c r="V429" s="52"/>
      <c r="W429" s="52"/>
      <c r="X429" s="121">
        <f>IF(NOT(ISNUMBER($V429)),"",IF(ISNUMBER($W429),IF($W429-$V429&lt;=28,"Answered in time","LATE: answered after day 28"),IF(TODAY()-$V429&gt;28,"OVERDUE: no reply yet","Reply due by "&amp;TEXT($V429+28,"dd/mm/yyyy"))))</f>
        <v/>
      </c>
      <c r="Y429" s="54"/>
    </row>
    <row r="430" spans="1:25">
      <c r="A430" s="54"/>
      <c r="B430" s="54"/>
      <c r="C430" s="51"/>
      <c r="D430" s="52"/>
      <c r="E430" s="120"/>
      <c r="F430" s="120"/>
      <c r="G430" s="52"/>
      <c r="H430" s="52"/>
      <c r="I430" s="52"/>
      <c r="J430" s="121">
        <f>IF(OR($A430="",NOT(ISNUMBER($F430))),"",IF($F430&lt;=0,"No deposit",IF(NOT(ISNUMBER($G430)),"Enter date received",IF(AND(ISNUMBER($H430),ISNUMBER($I430)),IF(MAX($H430,$I430)-$G430&lt;=29,"OK","LATE: protected / info served after day 30"),IF(TODAY()-$G430&gt;29,"OVERDUE: not protected / info not served","Protect + serve info by "&amp;TEXT($G430+29,"dd/mm/yyyy"))))))</f>
        <v/>
      </c>
      <c r="K430" s="97">
        <f>IF(OR(NOT(ISNUMBER($E430)),NOT(ISNUMBER($F430))),"",IF($F430&lt;=$E430*12/52*5,"OK","Over 5 weeks"))</f>
        <v/>
      </c>
      <c r="L430" s="52"/>
      <c r="M430" s="52"/>
      <c r="N430" s="122">
        <f>IF(OR($A430="",NOT(ISNUMBER($L430))),IF($A430="","","Not recorded"),IF(NOT(ISNUMBER($M430)),"Checked (no follow-up)",IF($M430&lt;TODAY(),"OVERDUE: follow-up check",IF($M430-TODAY()&lt;=60,"Follow-up due "&amp;TEXT($M430,"dd/mm/yyyy"),"Checked"))))</f>
        <v/>
      </c>
      <c r="O430" s="52"/>
      <c r="P430" s="52"/>
      <c r="Q430" s="122">
        <f>IF($A430="","",IF(NOT(ISNUMBER($D430)),"Enter start date",IF($D430&gt;=DATE(2026,5,1),IF(ISNUMBER($O430),"Complete","Missing: written terms"),IF(OR(ISNUMBER($P430),ISNUMBER($O430)),"Complete","Missing: Information Sheet (was due 31/05/2026)"))))</f>
        <v/>
      </c>
      <c r="R430" s="52"/>
      <c r="S430" s="82">
        <f>IF(ISNUMBER($R430),$R430+364,IF(ISNUMBER($D430),$D430+364,""))</f>
        <v/>
      </c>
      <c r="T430" s="52"/>
      <c r="U430" s="82">
        <f>IF(ISNUMBER($T430),IF(ISNUMBER($S430),MAX(EDATE($T430,2),$S430),EDATE($T430,2)),"")</f>
        <v/>
      </c>
      <c r="V430" s="52"/>
      <c r="W430" s="52"/>
      <c r="X430" s="121">
        <f>IF(NOT(ISNUMBER($V430)),"",IF(ISNUMBER($W430),IF($W430-$V430&lt;=28,"Answered in time","LATE: answered after day 28"),IF(TODAY()-$V430&gt;28,"OVERDUE: no reply yet","Reply due by "&amp;TEXT($V430+28,"dd/mm/yyyy"))))</f>
        <v/>
      </c>
      <c r="Y430" s="54"/>
    </row>
    <row r="431" spans="1:25">
      <c r="A431" s="54"/>
      <c r="B431" s="54"/>
      <c r="C431" s="51"/>
      <c r="D431" s="52"/>
      <c r="E431" s="120"/>
      <c r="F431" s="120"/>
      <c r="G431" s="52"/>
      <c r="H431" s="52"/>
      <c r="I431" s="52"/>
      <c r="J431" s="121">
        <f>IF(OR($A431="",NOT(ISNUMBER($F431))),"",IF($F431&lt;=0,"No deposit",IF(NOT(ISNUMBER($G431)),"Enter date received",IF(AND(ISNUMBER($H431),ISNUMBER($I431)),IF(MAX($H431,$I431)-$G431&lt;=29,"OK","LATE: protected / info served after day 30"),IF(TODAY()-$G431&gt;29,"OVERDUE: not protected / info not served","Protect + serve info by "&amp;TEXT($G431+29,"dd/mm/yyyy"))))))</f>
        <v/>
      </c>
      <c r="K431" s="97">
        <f>IF(OR(NOT(ISNUMBER($E431)),NOT(ISNUMBER($F431))),"",IF($F431&lt;=$E431*12/52*5,"OK","Over 5 weeks"))</f>
        <v/>
      </c>
      <c r="L431" s="52"/>
      <c r="M431" s="52"/>
      <c r="N431" s="122">
        <f>IF(OR($A431="",NOT(ISNUMBER($L431))),IF($A431="","","Not recorded"),IF(NOT(ISNUMBER($M431)),"Checked (no follow-up)",IF($M431&lt;TODAY(),"OVERDUE: follow-up check",IF($M431-TODAY()&lt;=60,"Follow-up due "&amp;TEXT($M431,"dd/mm/yyyy"),"Checked"))))</f>
        <v/>
      </c>
      <c r="O431" s="52"/>
      <c r="P431" s="52"/>
      <c r="Q431" s="122">
        <f>IF($A431="","",IF(NOT(ISNUMBER($D431)),"Enter start date",IF($D431&gt;=DATE(2026,5,1),IF(ISNUMBER($O431),"Complete","Missing: written terms"),IF(OR(ISNUMBER($P431),ISNUMBER($O431)),"Complete","Missing: Information Sheet (was due 31/05/2026)"))))</f>
        <v/>
      </c>
      <c r="R431" s="52"/>
      <c r="S431" s="82">
        <f>IF(ISNUMBER($R431),$R431+364,IF(ISNUMBER($D431),$D431+364,""))</f>
        <v/>
      </c>
      <c r="T431" s="52"/>
      <c r="U431" s="82">
        <f>IF(ISNUMBER($T431),IF(ISNUMBER($S431),MAX(EDATE($T431,2),$S431),EDATE($T431,2)),"")</f>
        <v/>
      </c>
      <c r="V431" s="52"/>
      <c r="W431" s="52"/>
      <c r="X431" s="121">
        <f>IF(NOT(ISNUMBER($V431)),"",IF(ISNUMBER($W431),IF($W431-$V431&lt;=28,"Answered in time","LATE: answered after day 28"),IF(TODAY()-$V431&gt;28,"OVERDUE: no reply yet","Reply due by "&amp;TEXT($V431+28,"dd/mm/yyyy"))))</f>
        <v/>
      </c>
      <c r="Y431" s="54"/>
    </row>
    <row r="432" spans="1:25">
      <c r="A432" s="54"/>
      <c r="B432" s="54"/>
      <c r="C432" s="51"/>
      <c r="D432" s="52"/>
      <c r="E432" s="120"/>
      <c r="F432" s="120"/>
      <c r="G432" s="52"/>
      <c r="H432" s="52"/>
      <c r="I432" s="52"/>
      <c r="J432" s="121">
        <f>IF(OR($A432="",NOT(ISNUMBER($F432))),"",IF($F432&lt;=0,"No deposit",IF(NOT(ISNUMBER($G432)),"Enter date received",IF(AND(ISNUMBER($H432),ISNUMBER($I432)),IF(MAX($H432,$I432)-$G432&lt;=29,"OK","LATE: protected / info served after day 30"),IF(TODAY()-$G432&gt;29,"OVERDUE: not protected / info not served","Protect + serve info by "&amp;TEXT($G432+29,"dd/mm/yyyy"))))))</f>
        <v/>
      </c>
      <c r="K432" s="97">
        <f>IF(OR(NOT(ISNUMBER($E432)),NOT(ISNUMBER($F432))),"",IF($F432&lt;=$E432*12/52*5,"OK","Over 5 weeks"))</f>
        <v/>
      </c>
      <c r="L432" s="52"/>
      <c r="M432" s="52"/>
      <c r="N432" s="122">
        <f>IF(OR($A432="",NOT(ISNUMBER($L432))),IF($A432="","","Not recorded"),IF(NOT(ISNUMBER($M432)),"Checked (no follow-up)",IF($M432&lt;TODAY(),"OVERDUE: follow-up check",IF($M432-TODAY()&lt;=60,"Follow-up due "&amp;TEXT($M432,"dd/mm/yyyy"),"Checked"))))</f>
        <v/>
      </c>
      <c r="O432" s="52"/>
      <c r="P432" s="52"/>
      <c r="Q432" s="122">
        <f>IF($A432="","",IF(NOT(ISNUMBER($D432)),"Enter start date",IF($D432&gt;=DATE(2026,5,1),IF(ISNUMBER($O432),"Complete","Missing: written terms"),IF(OR(ISNUMBER($P432),ISNUMBER($O432)),"Complete","Missing: Information Sheet (was due 31/05/2026)"))))</f>
        <v/>
      </c>
      <c r="R432" s="52"/>
      <c r="S432" s="82">
        <f>IF(ISNUMBER($R432),$R432+364,IF(ISNUMBER($D432),$D432+364,""))</f>
        <v/>
      </c>
      <c r="T432" s="52"/>
      <c r="U432" s="82">
        <f>IF(ISNUMBER($T432),IF(ISNUMBER($S432),MAX(EDATE($T432,2),$S432),EDATE($T432,2)),"")</f>
        <v/>
      </c>
      <c r="V432" s="52"/>
      <c r="W432" s="52"/>
      <c r="X432" s="121">
        <f>IF(NOT(ISNUMBER($V432)),"",IF(ISNUMBER($W432),IF($W432-$V432&lt;=28,"Answered in time","LATE: answered after day 28"),IF(TODAY()-$V432&gt;28,"OVERDUE: no reply yet","Reply due by "&amp;TEXT($V432+28,"dd/mm/yyyy"))))</f>
        <v/>
      </c>
      <c r="Y432" s="54"/>
    </row>
    <row r="433" spans="1:25">
      <c r="A433" s="54"/>
      <c r="B433" s="54"/>
      <c r="C433" s="51"/>
      <c r="D433" s="52"/>
      <c r="E433" s="120"/>
      <c r="F433" s="120"/>
      <c r="G433" s="52"/>
      <c r="H433" s="52"/>
      <c r="I433" s="52"/>
      <c r="J433" s="121">
        <f>IF(OR($A433="",NOT(ISNUMBER($F433))),"",IF($F433&lt;=0,"No deposit",IF(NOT(ISNUMBER($G433)),"Enter date received",IF(AND(ISNUMBER($H433),ISNUMBER($I433)),IF(MAX($H433,$I433)-$G433&lt;=29,"OK","LATE: protected / info served after day 30"),IF(TODAY()-$G433&gt;29,"OVERDUE: not protected / info not served","Protect + serve info by "&amp;TEXT($G433+29,"dd/mm/yyyy"))))))</f>
        <v/>
      </c>
      <c r="K433" s="97">
        <f>IF(OR(NOT(ISNUMBER($E433)),NOT(ISNUMBER($F433))),"",IF($F433&lt;=$E433*12/52*5,"OK","Over 5 weeks"))</f>
        <v/>
      </c>
      <c r="L433" s="52"/>
      <c r="M433" s="52"/>
      <c r="N433" s="122">
        <f>IF(OR($A433="",NOT(ISNUMBER($L433))),IF($A433="","","Not recorded"),IF(NOT(ISNUMBER($M433)),"Checked (no follow-up)",IF($M433&lt;TODAY(),"OVERDUE: follow-up check",IF($M433-TODAY()&lt;=60,"Follow-up due "&amp;TEXT($M433,"dd/mm/yyyy"),"Checked"))))</f>
        <v/>
      </c>
      <c r="O433" s="52"/>
      <c r="P433" s="52"/>
      <c r="Q433" s="122">
        <f>IF($A433="","",IF(NOT(ISNUMBER($D433)),"Enter start date",IF($D433&gt;=DATE(2026,5,1),IF(ISNUMBER($O433),"Complete","Missing: written terms"),IF(OR(ISNUMBER($P433),ISNUMBER($O433)),"Complete","Missing: Information Sheet (was due 31/05/2026)"))))</f>
        <v/>
      </c>
      <c r="R433" s="52"/>
      <c r="S433" s="82">
        <f>IF(ISNUMBER($R433),$R433+364,IF(ISNUMBER($D433),$D433+364,""))</f>
        <v/>
      </c>
      <c r="T433" s="52"/>
      <c r="U433" s="82">
        <f>IF(ISNUMBER($T433),IF(ISNUMBER($S433),MAX(EDATE($T433,2),$S433),EDATE($T433,2)),"")</f>
        <v/>
      </c>
      <c r="V433" s="52"/>
      <c r="W433" s="52"/>
      <c r="X433" s="121">
        <f>IF(NOT(ISNUMBER($V433)),"",IF(ISNUMBER($W433),IF($W433-$V433&lt;=28,"Answered in time","LATE: answered after day 28"),IF(TODAY()-$V433&gt;28,"OVERDUE: no reply yet","Reply due by "&amp;TEXT($V433+28,"dd/mm/yyyy"))))</f>
        <v/>
      </c>
      <c r="Y433" s="54"/>
    </row>
    <row r="434" spans="1:25">
      <c r="A434" s="54"/>
      <c r="B434" s="54"/>
      <c r="C434" s="51"/>
      <c r="D434" s="52"/>
      <c r="E434" s="120"/>
      <c r="F434" s="120"/>
      <c r="G434" s="52"/>
      <c r="H434" s="52"/>
      <c r="I434" s="52"/>
      <c r="J434" s="121">
        <f>IF(OR($A434="",NOT(ISNUMBER($F434))),"",IF($F434&lt;=0,"No deposit",IF(NOT(ISNUMBER($G434)),"Enter date received",IF(AND(ISNUMBER($H434),ISNUMBER($I434)),IF(MAX($H434,$I434)-$G434&lt;=29,"OK","LATE: protected / info served after day 30"),IF(TODAY()-$G434&gt;29,"OVERDUE: not protected / info not served","Protect + serve info by "&amp;TEXT($G434+29,"dd/mm/yyyy"))))))</f>
        <v/>
      </c>
      <c r="K434" s="97">
        <f>IF(OR(NOT(ISNUMBER($E434)),NOT(ISNUMBER($F434))),"",IF($F434&lt;=$E434*12/52*5,"OK","Over 5 weeks"))</f>
        <v/>
      </c>
      <c r="L434" s="52"/>
      <c r="M434" s="52"/>
      <c r="N434" s="122">
        <f>IF(OR($A434="",NOT(ISNUMBER($L434))),IF($A434="","","Not recorded"),IF(NOT(ISNUMBER($M434)),"Checked (no follow-up)",IF($M434&lt;TODAY(),"OVERDUE: follow-up check",IF($M434-TODAY()&lt;=60,"Follow-up due "&amp;TEXT($M434,"dd/mm/yyyy"),"Checked"))))</f>
        <v/>
      </c>
      <c r="O434" s="52"/>
      <c r="P434" s="52"/>
      <c r="Q434" s="122">
        <f>IF($A434="","",IF(NOT(ISNUMBER($D434)),"Enter start date",IF($D434&gt;=DATE(2026,5,1),IF(ISNUMBER($O434),"Complete","Missing: written terms"),IF(OR(ISNUMBER($P434),ISNUMBER($O434)),"Complete","Missing: Information Sheet (was due 31/05/2026)"))))</f>
        <v/>
      </c>
      <c r="R434" s="52"/>
      <c r="S434" s="82">
        <f>IF(ISNUMBER($R434),$R434+364,IF(ISNUMBER($D434),$D434+364,""))</f>
        <v/>
      </c>
      <c r="T434" s="52"/>
      <c r="U434" s="82">
        <f>IF(ISNUMBER($T434),IF(ISNUMBER($S434),MAX(EDATE($T434,2),$S434),EDATE($T434,2)),"")</f>
        <v/>
      </c>
      <c r="V434" s="52"/>
      <c r="W434" s="52"/>
      <c r="X434" s="121">
        <f>IF(NOT(ISNUMBER($V434)),"",IF(ISNUMBER($W434),IF($W434-$V434&lt;=28,"Answered in time","LATE: answered after day 28"),IF(TODAY()-$V434&gt;28,"OVERDUE: no reply yet","Reply due by "&amp;TEXT($V434+28,"dd/mm/yyyy"))))</f>
        <v/>
      </c>
      <c r="Y434" s="54"/>
    </row>
    <row r="435" spans="1:25">
      <c r="A435" s="54"/>
      <c r="B435" s="54"/>
      <c r="C435" s="51"/>
      <c r="D435" s="52"/>
      <c r="E435" s="120"/>
      <c r="F435" s="120"/>
      <c r="G435" s="52"/>
      <c r="H435" s="52"/>
      <c r="I435" s="52"/>
      <c r="J435" s="121">
        <f>IF(OR($A435="",NOT(ISNUMBER($F435))),"",IF($F435&lt;=0,"No deposit",IF(NOT(ISNUMBER($G435)),"Enter date received",IF(AND(ISNUMBER($H435),ISNUMBER($I435)),IF(MAX($H435,$I435)-$G435&lt;=29,"OK","LATE: protected / info served after day 30"),IF(TODAY()-$G435&gt;29,"OVERDUE: not protected / info not served","Protect + serve info by "&amp;TEXT($G435+29,"dd/mm/yyyy"))))))</f>
        <v/>
      </c>
      <c r="K435" s="97">
        <f>IF(OR(NOT(ISNUMBER($E435)),NOT(ISNUMBER($F435))),"",IF($F435&lt;=$E435*12/52*5,"OK","Over 5 weeks"))</f>
        <v/>
      </c>
      <c r="L435" s="52"/>
      <c r="M435" s="52"/>
      <c r="N435" s="122">
        <f>IF(OR($A435="",NOT(ISNUMBER($L435))),IF($A435="","","Not recorded"),IF(NOT(ISNUMBER($M435)),"Checked (no follow-up)",IF($M435&lt;TODAY(),"OVERDUE: follow-up check",IF($M435-TODAY()&lt;=60,"Follow-up due "&amp;TEXT($M435,"dd/mm/yyyy"),"Checked"))))</f>
        <v/>
      </c>
      <c r="O435" s="52"/>
      <c r="P435" s="52"/>
      <c r="Q435" s="122">
        <f>IF($A435="","",IF(NOT(ISNUMBER($D435)),"Enter start date",IF($D435&gt;=DATE(2026,5,1),IF(ISNUMBER($O435),"Complete","Missing: written terms"),IF(OR(ISNUMBER($P435),ISNUMBER($O435)),"Complete","Missing: Information Sheet (was due 31/05/2026)"))))</f>
        <v/>
      </c>
      <c r="R435" s="52"/>
      <c r="S435" s="82">
        <f>IF(ISNUMBER($R435),$R435+364,IF(ISNUMBER($D435),$D435+364,""))</f>
        <v/>
      </c>
      <c r="T435" s="52"/>
      <c r="U435" s="82">
        <f>IF(ISNUMBER($T435),IF(ISNUMBER($S435),MAX(EDATE($T435,2),$S435),EDATE($T435,2)),"")</f>
        <v/>
      </c>
      <c r="V435" s="52"/>
      <c r="W435" s="52"/>
      <c r="X435" s="121">
        <f>IF(NOT(ISNUMBER($V435)),"",IF(ISNUMBER($W435),IF($W435-$V435&lt;=28,"Answered in time","LATE: answered after day 28"),IF(TODAY()-$V435&gt;28,"OVERDUE: no reply yet","Reply due by "&amp;TEXT($V435+28,"dd/mm/yyyy"))))</f>
        <v/>
      </c>
      <c r="Y435" s="54"/>
    </row>
    <row r="436" spans="1:25">
      <c r="A436" s="54"/>
      <c r="B436" s="54"/>
      <c r="C436" s="51"/>
      <c r="D436" s="52"/>
      <c r="E436" s="120"/>
      <c r="F436" s="120"/>
      <c r="G436" s="52"/>
      <c r="H436" s="52"/>
      <c r="I436" s="52"/>
      <c r="J436" s="121">
        <f>IF(OR($A436="",NOT(ISNUMBER($F436))),"",IF($F436&lt;=0,"No deposit",IF(NOT(ISNUMBER($G436)),"Enter date received",IF(AND(ISNUMBER($H436),ISNUMBER($I436)),IF(MAX($H436,$I436)-$G436&lt;=29,"OK","LATE: protected / info served after day 30"),IF(TODAY()-$G436&gt;29,"OVERDUE: not protected / info not served","Protect + serve info by "&amp;TEXT($G436+29,"dd/mm/yyyy"))))))</f>
        <v/>
      </c>
      <c r="K436" s="97">
        <f>IF(OR(NOT(ISNUMBER($E436)),NOT(ISNUMBER($F436))),"",IF($F436&lt;=$E436*12/52*5,"OK","Over 5 weeks"))</f>
        <v/>
      </c>
      <c r="L436" s="52"/>
      <c r="M436" s="52"/>
      <c r="N436" s="122">
        <f>IF(OR($A436="",NOT(ISNUMBER($L436))),IF($A436="","","Not recorded"),IF(NOT(ISNUMBER($M436)),"Checked (no follow-up)",IF($M436&lt;TODAY(),"OVERDUE: follow-up check",IF($M436-TODAY()&lt;=60,"Follow-up due "&amp;TEXT($M436,"dd/mm/yyyy"),"Checked"))))</f>
        <v/>
      </c>
      <c r="O436" s="52"/>
      <c r="P436" s="52"/>
      <c r="Q436" s="122">
        <f>IF($A436="","",IF(NOT(ISNUMBER($D436)),"Enter start date",IF($D436&gt;=DATE(2026,5,1),IF(ISNUMBER($O436),"Complete","Missing: written terms"),IF(OR(ISNUMBER($P436),ISNUMBER($O436)),"Complete","Missing: Information Sheet (was due 31/05/2026)"))))</f>
        <v/>
      </c>
      <c r="R436" s="52"/>
      <c r="S436" s="82">
        <f>IF(ISNUMBER($R436),$R436+364,IF(ISNUMBER($D436),$D436+364,""))</f>
        <v/>
      </c>
      <c r="T436" s="52"/>
      <c r="U436" s="82">
        <f>IF(ISNUMBER($T436),IF(ISNUMBER($S436),MAX(EDATE($T436,2),$S436),EDATE($T436,2)),"")</f>
        <v/>
      </c>
      <c r="V436" s="52"/>
      <c r="W436" s="52"/>
      <c r="X436" s="121">
        <f>IF(NOT(ISNUMBER($V436)),"",IF(ISNUMBER($W436),IF($W436-$V436&lt;=28,"Answered in time","LATE: answered after day 28"),IF(TODAY()-$V436&gt;28,"OVERDUE: no reply yet","Reply due by "&amp;TEXT($V436+28,"dd/mm/yyyy"))))</f>
        <v/>
      </c>
      <c r="Y436" s="54"/>
    </row>
    <row r="437" spans="1:25">
      <c r="A437" s="54"/>
      <c r="B437" s="54"/>
      <c r="C437" s="51"/>
      <c r="D437" s="52"/>
      <c r="E437" s="120"/>
      <c r="F437" s="120"/>
      <c r="G437" s="52"/>
      <c r="H437" s="52"/>
      <c r="I437" s="52"/>
      <c r="J437" s="121">
        <f>IF(OR($A437="",NOT(ISNUMBER($F437))),"",IF($F437&lt;=0,"No deposit",IF(NOT(ISNUMBER($G437)),"Enter date received",IF(AND(ISNUMBER($H437),ISNUMBER($I437)),IF(MAX($H437,$I437)-$G437&lt;=29,"OK","LATE: protected / info served after day 30"),IF(TODAY()-$G437&gt;29,"OVERDUE: not protected / info not served","Protect + serve info by "&amp;TEXT($G437+29,"dd/mm/yyyy"))))))</f>
        <v/>
      </c>
      <c r="K437" s="97">
        <f>IF(OR(NOT(ISNUMBER($E437)),NOT(ISNUMBER($F437))),"",IF($F437&lt;=$E437*12/52*5,"OK","Over 5 weeks"))</f>
        <v/>
      </c>
      <c r="L437" s="52"/>
      <c r="M437" s="52"/>
      <c r="N437" s="122">
        <f>IF(OR($A437="",NOT(ISNUMBER($L437))),IF($A437="","","Not recorded"),IF(NOT(ISNUMBER($M437)),"Checked (no follow-up)",IF($M437&lt;TODAY(),"OVERDUE: follow-up check",IF($M437-TODAY()&lt;=60,"Follow-up due "&amp;TEXT($M437,"dd/mm/yyyy"),"Checked"))))</f>
        <v/>
      </c>
      <c r="O437" s="52"/>
      <c r="P437" s="52"/>
      <c r="Q437" s="122">
        <f>IF($A437="","",IF(NOT(ISNUMBER($D437)),"Enter start date",IF($D437&gt;=DATE(2026,5,1),IF(ISNUMBER($O437),"Complete","Missing: written terms"),IF(OR(ISNUMBER($P437),ISNUMBER($O437)),"Complete","Missing: Information Sheet (was due 31/05/2026)"))))</f>
        <v/>
      </c>
      <c r="R437" s="52"/>
      <c r="S437" s="82">
        <f>IF(ISNUMBER($R437),$R437+364,IF(ISNUMBER($D437),$D437+364,""))</f>
        <v/>
      </c>
      <c r="T437" s="52"/>
      <c r="U437" s="82">
        <f>IF(ISNUMBER($T437),IF(ISNUMBER($S437),MAX(EDATE($T437,2),$S437),EDATE($T437,2)),"")</f>
        <v/>
      </c>
      <c r="V437" s="52"/>
      <c r="W437" s="52"/>
      <c r="X437" s="121">
        <f>IF(NOT(ISNUMBER($V437)),"",IF(ISNUMBER($W437),IF($W437-$V437&lt;=28,"Answered in time","LATE: answered after day 28"),IF(TODAY()-$V437&gt;28,"OVERDUE: no reply yet","Reply due by "&amp;TEXT($V437+28,"dd/mm/yyyy"))))</f>
        <v/>
      </c>
      <c r="Y437" s="54"/>
    </row>
    <row r="438" spans="1:25">
      <c r="A438" s="54"/>
      <c r="B438" s="54"/>
      <c r="C438" s="51"/>
      <c r="D438" s="52"/>
      <c r="E438" s="120"/>
      <c r="F438" s="120"/>
      <c r="G438" s="52"/>
      <c r="H438" s="52"/>
      <c r="I438" s="52"/>
      <c r="J438" s="121">
        <f>IF(OR($A438="",NOT(ISNUMBER($F438))),"",IF($F438&lt;=0,"No deposit",IF(NOT(ISNUMBER($G438)),"Enter date received",IF(AND(ISNUMBER($H438),ISNUMBER($I438)),IF(MAX($H438,$I438)-$G438&lt;=29,"OK","LATE: protected / info served after day 30"),IF(TODAY()-$G438&gt;29,"OVERDUE: not protected / info not served","Protect + serve info by "&amp;TEXT($G438+29,"dd/mm/yyyy"))))))</f>
        <v/>
      </c>
      <c r="K438" s="97">
        <f>IF(OR(NOT(ISNUMBER($E438)),NOT(ISNUMBER($F438))),"",IF($F438&lt;=$E438*12/52*5,"OK","Over 5 weeks"))</f>
        <v/>
      </c>
      <c r="L438" s="52"/>
      <c r="M438" s="52"/>
      <c r="N438" s="122">
        <f>IF(OR($A438="",NOT(ISNUMBER($L438))),IF($A438="","","Not recorded"),IF(NOT(ISNUMBER($M438)),"Checked (no follow-up)",IF($M438&lt;TODAY(),"OVERDUE: follow-up check",IF($M438-TODAY()&lt;=60,"Follow-up due "&amp;TEXT($M438,"dd/mm/yyyy"),"Checked"))))</f>
        <v/>
      </c>
      <c r="O438" s="52"/>
      <c r="P438" s="52"/>
      <c r="Q438" s="122">
        <f>IF($A438="","",IF(NOT(ISNUMBER($D438)),"Enter start date",IF($D438&gt;=DATE(2026,5,1),IF(ISNUMBER($O438),"Complete","Missing: written terms"),IF(OR(ISNUMBER($P438),ISNUMBER($O438)),"Complete","Missing: Information Sheet (was due 31/05/2026)"))))</f>
        <v/>
      </c>
      <c r="R438" s="52"/>
      <c r="S438" s="82">
        <f>IF(ISNUMBER($R438),$R438+364,IF(ISNUMBER($D438),$D438+364,""))</f>
        <v/>
      </c>
      <c r="T438" s="52"/>
      <c r="U438" s="82">
        <f>IF(ISNUMBER($T438),IF(ISNUMBER($S438),MAX(EDATE($T438,2),$S438),EDATE($T438,2)),"")</f>
        <v/>
      </c>
      <c r="V438" s="52"/>
      <c r="W438" s="52"/>
      <c r="X438" s="121">
        <f>IF(NOT(ISNUMBER($V438)),"",IF(ISNUMBER($W438),IF($W438-$V438&lt;=28,"Answered in time","LATE: answered after day 28"),IF(TODAY()-$V438&gt;28,"OVERDUE: no reply yet","Reply due by "&amp;TEXT($V438+28,"dd/mm/yyyy"))))</f>
        <v/>
      </c>
      <c r="Y438" s="54"/>
    </row>
    <row r="439" spans="1:25">
      <c r="A439" s="54"/>
      <c r="B439" s="54"/>
      <c r="C439" s="51"/>
      <c r="D439" s="52"/>
      <c r="E439" s="120"/>
      <c r="F439" s="120"/>
      <c r="G439" s="52"/>
      <c r="H439" s="52"/>
      <c r="I439" s="52"/>
      <c r="J439" s="121">
        <f>IF(OR($A439="",NOT(ISNUMBER($F439))),"",IF($F439&lt;=0,"No deposit",IF(NOT(ISNUMBER($G439)),"Enter date received",IF(AND(ISNUMBER($H439),ISNUMBER($I439)),IF(MAX($H439,$I439)-$G439&lt;=29,"OK","LATE: protected / info served after day 30"),IF(TODAY()-$G439&gt;29,"OVERDUE: not protected / info not served","Protect + serve info by "&amp;TEXT($G439+29,"dd/mm/yyyy"))))))</f>
        <v/>
      </c>
      <c r="K439" s="97">
        <f>IF(OR(NOT(ISNUMBER($E439)),NOT(ISNUMBER($F439))),"",IF($F439&lt;=$E439*12/52*5,"OK","Over 5 weeks"))</f>
        <v/>
      </c>
      <c r="L439" s="52"/>
      <c r="M439" s="52"/>
      <c r="N439" s="122">
        <f>IF(OR($A439="",NOT(ISNUMBER($L439))),IF($A439="","","Not recorded"),IF(NOT(ISNUMBER($M439)),"Checked (no follow-up)",IF($M439&lt;TODAY(),"OVERDUE: follow-up check",IF($M439-TODAY()&lt;=60,"Follow-up due "&amp;TEXT($M439,"dd/mm/yyyy"),"Checked"))))</f>
        <v/>
      </c>
      <c r="O439" s="52"/>
      <c r="P439" s="52"/>
      <c r="Q439" s="122">
        <f>IF($A439="","",IF(NOT(ISNUMBER($D439)),"Enter start date",IF($D439&gt;=DATE(2026,5,1),IF(ISNUMBER($O439),"Complete","Missing: written terms"),IF(OR(ISNUMBER($P439),ISNUMBER($O439)),"Complete","Missing: Information Sheet (was due 31/05/2026)"))))</f>
        <v/>
      </c>
      <c r="R439" s="52"/>
      <c r="S439" s="82">
        <f>IF(ISNUMBER($R439),$R439+364,IF(ISNUMBER($D439),$D439+364,""))</f>
        <v/>
      </c>
      <c r="T439" s="52"/>
      <c r="U439" s="82">
        <f>IF(ISNUMBER($T439),IF(ISNUMBER($S439),MAX(EDATE($T439,2),$S439),EDATE($T439,2)),"")</f>
        <v/>
      </c>
      <c r="V439" s="52"/>
      <c r="W439" s="52"/>
      <c r="X439" s="121">
        <f>IF(NOT(ISNUMBER($V439)),"",IF(ISNUMBER($W439),IF($W439-$V439&lt;=28,"Answered in time","LATE: answered after day 28"),IF(TODAY()-$V439&gt;28,"OVERDUE: no reply yet","Reply due by "&amp;TEXT($V439+28,"dd/mm/yyyy"))))</f>
        <v/>
      </c>
      <c r="Y439" s="54"/>
    </row>
    <row r="440" spans="1:25">
      <c r="A440" s="54"/>
      <c r="B440" s="54"/>
      <c r="C440" s="51"/>
      <c r="D440" s="52"/>
      <c r="E440" s="120"/>
      <c r="F440" s="120"/>
      <c r="G440" s="52"/>
      <c r="H440" s="52"/>
      <c r="I440" s="52"/>
      <c r="J440" s="121">
        <f>IF(OR($A440="",NOT(ISNUMBER($F440))),"",IF($F440&lt;=0,"No deposit",IF(NOT(ISNUMBER($G440)),"Enter date received",IF(AND(ISNUMBER($H440),ISNUMBER($I440)),IF(MAX($H440,$I440)-$G440&lt;=29,"OK","LATE: protected / info served after day 30"),IF(TODAY()-$G440&gt;29,"OVERDUE: not protected / info not served","Protect + serve info by "&amp;TEXT($G440+29,"dd/mm/yyyy"))))))</f>
        <v/>
      </c>
      <c r="K440" s="97">
        <f>IF(OR(NOT(ISNUMBER($E440)),NOT(ISNUMBER($F440))),"",IF($F440&lt;=$E440*12/52*5,"OK","Over 5 weeks"))</f>
        <v/>
      </c>
      <c r="L440" s="52"/>
      <c r="M440" s="52"/>
      <c r="N440" s="122">
        <f>IF(OR($A440="",NOT(ISNUMBER($L440))),IF($A440="","","Not recorded"),IF(NOT(ISNUMBER($M440)),"Checked (no follow-up)",IF($M440&lt;TODAY(),"OVERDUE: follow-up check",IF($M440-TODAY()&lt;=60,"Follow-up due "&amp;TEXT($M440,"dd/mm/yyyy"),"Checked"))))</f>
        <v/>
      </c>
      <c r="O440" s="52"/>
      <c r="P440" s="52"/>
      <c r="Q440" s="122">
        <f>IF($A440="","",IF(NOT(ISNUMBER($D440)),"Enter start date",IF($D440&gt;=DATE(2026,5,1),IF(ISNUMBER($O440),"Complete","Missing: written terms"),IF(OR(ISNUMBER($P440),ISNUMBER($O440)),"Complete","Missing: Information Sheet (was due 31/05/2026)"))))</f>
        <v/>
      </c>
      <c r="R440" s="52"/>
      <c r="S440" s="82">
        <f>IF(ISNUMBER($R440),$R440+364,IF(ISNUMBER($D440),$D440+364,""))</f>
        <v/>
      </c>
      <c r="T440" s="52"/>
      <c r="U440" s="82">
        <f>IF(ISNUMBER($T440),IF(ISNUMBER($S440),MAX(EDATE($T440,2),$S440),EDATE($T440,2)),"")</f>
        <v/>
      </c>
      <c r="V440" s="52"/>
      <c r="W440" s="52"/>
      <c r="X440" s="121">
        <f>IF(NOT(ISNUMBER($V440)),"",IF(ISNUMBER($W440),IF($W440-$V440&lt;=28,"Answered in time","LATE: answered after day 28"),IF(TODAY()-$V440&gt;28,"OVERDUE: no reply yet","Reply due by "&amp;TEXT($V440+28,"dd/mm/yyyy"))))</f>
        <v/>
      </c>
      <c r="Y440" s="54"/>
    </row>
    <row r="441" spans="1:25">
      <c r="A441" s="54"/>
      <c r="B441" s="54"/>
      <c r="C441" s="51"/>
      <c r="D441" s="52"/>
      <c r="E441" s="120"/>
      <c r="F441" s="120"/>
      <c r="G441" s="52"/>
      <c r="H441" s="52"/>
      <c r="I441" s="52"/>
      <c r="J441" s="121">
        <f>IF(OR($A441="",NOT(ISNUMBER($F441))),"",IF($F441&lt;=0,"No deposit",IF(NOT(ISNUMBER($G441)),"Enter date received",IF(AND(ISNUMBER($H441),ISNUMBER($I441)),IF(MAX($H441,$I441)-$G441&lt;=29,"OK","LATE: protected / info served after day 30"),IF(TODAY()-$G441&gt;29,"OVERDUE: not protected / info not served","Protect + serve info by "&amp;TEXT($G441+29,"dd/mm/yyyy"))))))</f>
        <v/>
      </c>
      <c r="K441" s="97">
        <f>IF(OR(NOT(ISNUMBER($E441)),NOT(ISNUMBER($F441))),"",IF($F441&lt;=$E441*12/52*5,"OK","Over 5 weeks"))</f>
        <v/>
      </c>
      <c r="L441" s="52"/>
      <c r="M441" s="52"/>
      <c r="N441" s="122">
        <f>IF(OR($A441="",NOT(ISNUMBER($L441))),IF($A441="","","Not recorded"),IF(NOT(ISNUMBER($M441)),"Checked (no follow-up)",IF($M441&lt;TODAY(),"OVERDUE: follow-up check",IF($M441-TODAY()&lt;=60,"Follow-up due "&amp;TEXT($M441,"dd/mm/yyyy"),"Checked"))))</f>
        <v/>
      </c>
      <c r="O441" s="52"/>
      <c r="P441" s="52"/>
      <c r="Q441" s="122">
        <f>IF($A441="","",IF(NOT(ISNUMBER($D441)),"Enter start date",IF($D441&gt;=DATE(2026,5,1),IF(ISNUMBER($O441),"Complete","Missing: written terms"),IF(OR(ISNUMBER($P441),ISNUMBER($O441)),"Complete","Missing: Information Sheet (was due 31/05/2026)"))))</f>
        <v/>
      </c>
      <c r="R441" s="52"/>
      <c r="S441" s="82">
        <f>IF(ISNUMBER($R441),$R441+364,IF(ISNUMBER($D441),$D441+364,""))</f>
        <v/>
      </c>
      <c r="T441" s="52"/>
      <c r="U441" s="82">
        <f>IF(ISNUMBER($T441),IF(ISNUMBER($S441),MAX(EDATE($T441,2),$S441),EDATE($T441,2)),"")</f>
        <v/>
      </c>
      <c r="V441" s="52"/>
      <c r="W441" s="52"/>
      <c r="X441" s="121">
        <f>IF(NOT(ISNUMBER($V441)),"",IF(ISNUMBER($W441),IF($W441-$V441&lt;=28,"Answered in time","LATE: answered after day 28"),IF(TODAY()-$V441&gt;28,"OVERDUE: no reply yet","Reply due by "&amp;TEXT($V441+28,"dd/mm/yyyy"))))</f>
        <v/>
      </c>
      <c r="Y441" s="54"/>
    </row>
    <row r="442" spans="1:25">
      <c r="A442" s="54"/>
      <c r="B442" s="54"/>
      <c r="C442" s="51"/>
      <c r="D442" s="52"/>
      <c r="E442" s="120"/>
      <c r="F442" s="120"/>
      <c r="G442" s="52"/>
      <c r="H442" s="52"/>
      <c r="I442" s="52"/>
      <c r="J442" s="121">
        <f>IF(OR($A442="",NOT(ISNUMBER($F442))),"",IF($F442&lt;=0,"No deposit",IF(NOT(ISNUMBER($G442)),"Enter date received",IF(AND(ISNUMBER($H442),ISNUMBER($I442)),IF(MAX($H442,$I442)-$G442&lt;=29,"OK","LATE: protected / info served after day 30"),IF(TODAY()-$G442&gt;29,"OVERDUE: not protected / info not served","Protect + serve info by "&amp;TEXT($G442+29,"dd/mm/yyyy"))))))</f>
        <v/>
      </c>
      <c r="K442" s="97">
        <f>IF(OR(NOT(ISNUMBER($E442)),NOT(ISNUMBER($F442))),"",IF($F442&lt;=$E442*12/52*5,"OK","Over 5 weeks"))</f>
        <v/>
      </c>
      <c r="L442" s="52"/>
      <c r="M442" s="52"/>
      <c r="N442" s="122">
        <f>IF(OR($A442="",NOT(ISNUMBER($L442))),IF($A442="","","Not recorded"),IF(NOT(ISNUMBER($M442)),"Checked (no follow-up)",IF($M442&lt;TODAY(),"OVERDUE: follow-up check",IF($M442-TODAY()&lt;=60,"Follow-up due "&amp;TEXT($M442,"dd/mm/yyyy"),"Checked"))))</f>
        <v/>
      </c>
      <c r="O442" s="52"/>
      <c r="P442" s="52"/>
      <c r="Q442" s="122">
        <f>IF($A442="","",IF(NOT(ISNUMBER($D442)),"Enter start date",IF($D442&gt;=DATE(2026,5,1),IF(ISNUMBER($O442),"Complete","Missing: written terms"),IF(OR(ISNUMBER($P442),ISNUMBER($O442)),"Complete","Missing: Information Sheet (was due 31/05/2026)"))))</f>
        <v/>
      </c>
      <c r="R442" s="52"/>
      <c r="S442" s="82">
        <f>IF(ISNUMBER($R442),$R442+364,IF(ISNUMBER($D442),$D442+364,""))</f>
        <v/>
      </c>
      <c r="T442" s="52"/>
      <c r="U442" s="82">
        <f>IF(ISNUMBER($T442),IF(ISNUMBER($S442),MAX(EDATE($T442,2),$S442),EDATE($T442,2)),"")</f>
        <v/>
      </c>
      <c r="V442" s="52"/>
      <c r="W442" s="52"/>
      <c r="X442" s="121">
        <f>IF(NOT(ISNUMBER($V442)),"",IF(ISNUMBER($W442),IF($W442-$V442&lt;=28,"Answered in time","LATE: answered after day 28"),IF(TODAY()-$V442&gt;28,"OVERDUE: no reply yet","Reply due by "&amp;TEXT($V442+28,"dd/mm/yyyy"))))</f>
        <v/>
      </c>
      <c r="Y442" s="54"/>
    </row>
    <row r="443" spans="1:25">
      <c r="A443" s="54"/>
      <c r="B443" s="54"/>
      <c r="C443" s="51"/>
      <c r="D443" s="52"/>
      <c r="E443" s="120"/>
      <c r="F443" s="120"/>
      <c r="G443" s="52"/>
      <c r="H443" s="52"/>
      <c r="I443" s="52"/>
      <c r="J443" s="121">
        <f>IF(OR($A443="",NOT(ISNUMBER($F443))),"",IF($F443&lt;=0,"No deposit",IF(NOT(ISNUMBER($G443)),"Enter date received",IF(AND(ISNUMBER($H443),ISNUMBER($I443)),IF(MAX($H443,$I443)-$G443&lt;=29,"OK","LATE: protected / info served after day 30"),IF(TODAY()-$G443&gt;29,"OVERDUE: not protected / info not served","Protect + serve info by "&amp;TEXT($G443+29,"dd/mm/yyyy"))))))</f>
        <v/>
      </c>
      <c r="K443" s="97">
        <f>IF(OR(NOT(ISNUMBER($E443)),NOT(ISNUMBER($F443))),"",IF($F443&lt;=$E443*12/52*5,"OK","Over 5 weeks"))</f>
        <v/>
      </c>
      <c r="L443" s="52"/>
      <c r="M443" s="52"/>
      <c r="N443" s="122">
        <f>IF(OR($A443="",NOT(ISNUMBER($L443))),IF($A443="","","Not recorded"),IF(NOT(ISNUMBER($M443)),"Checked (no follow-up)",IF($M443&lt;TODAY(),"OVERDUE: follow-up check",IF($M443-TODAY()&lt;=60,"Follow-up due "&amp;TEXT($M443,"dd/mm/yyyy"),"Checked"))))</f>
        <v/>
      </c>
      <c r="O443" s="52"/>
      <c r="P443" s="52"/>
      <c r="Q443" s="122">
        <f>IF($A443="","",IF(NOT(ISNUMBER($D443)),"Enter start date",IF($D443&gt;=DATE(2026,5,1),IF(ISNUMBER($O443),"Complete","Missing: written terms"),IF(OR(ISNUMBER($P443),ISNUMBER($O443)),"Complete","Missing: Information Sheet (was due 31/05/2026)"))))</f>
        <v/>
      </c>
      <c r="R443" s="52"/>
      <c r="S443" s="82">
        <f>IF(ISNUMBER($R443),$R443+364,IF(ISNUMBER($D443),$D443+364,""))</f>
        <v/>
      </c>
      <c r="T443" s="52"/>
      <c r="U443" s="82">
        <f>IF(ISNUMBER($T443),IF(ISNUMBER($S443),MAX(EDATE($T443,2),$S443),EDATE($T443,2)),"")</f>
        <v/>
      </c>
      <c r="V443" s="52"/>
      <c r="W443" s="52"/>
      <c r="X443" s="121">
        <f>IF(NOT(ISNUMBER($V443)),"",IF(ISNUMBER($W443),IF($W443-$V443&lt;=28,"Answered in time","LATE: answered after day 28"),IF(TODAY()-$V443&gt;28,"OVERDUE: no reply yet","Reply due by "&amp;TEXT($V443+28,"dd/mm/yyyy"))))</f>
        <v/>
      </c>
      <c r="Y443" s="54"/>
    </row>
    <row r="444" spans="1:25">
      <c r="A444" s="54"/>
      <c r="B444" s="54"/>
      <c r="C444" s="51"/>
      <c r="D444" s="52"/>
      <c r="E444" s="120"/>
      <c r="F444" s="120"/>
      <c r="G444" s="52"/>
      <c r="H444" s="52"/>
      <c r="I444" s="52"/>
      <c r="J444" s="121">
        <f>IF(OR($A444="",NOT(ISNUMBER($F444))),"",IF($F444&lt;=0,"No deposit",IF(NOT(ISNUMBER($G444)),"Enter date received",IF(AND(ISNUMBER($H444),ISNUMBER($I444)),IF(MAX($H444,$I444)-$G444&lt;=29,"OK","LATE: protected / info served after day 30"),IF(TODAY()-$G444&gt;29,"OVERDUE: not protected / info not served","Protect + serve info by "&amp;TEXT($G444+29,"dd/mm/yyyy"))))))</f>
        <v/>
      </c>
      <c r="K444" s="97">
        <f>IF(OR(NOT(ISNUMBER($E444)),NOT(ISNUMBER($F444))),"",IF($F444&lt;=$E444*12/52*5,"OK","Over 5 weeks"))</f>
        <v/>
      </c>
      <c r="L444" s="52"/>
      <c r="M444" s="52"/>
      <c r="N444" s="122">
        <f>IF(OR($A444="",NOT(ISNUMBER($L444))),IF($A444="","","Not recorded"),IF(NOT(ISNUMBER($M444)),"Checked (no follow-up)",IF($M444&lt;TODAY(),"OVERDUE: follow-up check",IF($M444-TODAY()&lt;=60,"Follow-up due "&amp;TEXT($M444,"dd/mm/yyyy"),"Checked"))))</f>
        <v/>
      </c>
      <c r="O444" s="52"/>
      <c r="P444" s="52"/>
      <c r="Q444" s="122">
        <f>IF($A444="","",IF(NOT(ISNUMBER($D444)),"Enter start date",IF($D444&gt;=DATE(2026,5,1),IF(ISNUMBER($O444),"Complete","Missing: written terms"),IF(OR(ISNUMBER($P444),ISNUMBER($O444)),"Complete","Missing: Information Sheet (was due 31/05/2026)"))))</f>
        <v/>
      </c>
      <c r="R444" s="52"/>
      <c r="S444" s="82">
        <f>IF(ISNUMBER($R444),$R444+364,IF(ISNUMBER($D444),$D444+364,""))</f>
        <v/>
      </c>
      <c r="T444" s="52"/>
      <c r="U444" s="82">
        <f>IF(ISNUMBER($T444),IF(ISNUMBER($S444),MAX(EDATE($T444,2),$S444),EDATE($T444,2)),"")</f>
        <v/>
      </c>
      <c r="V444" s="52"/>
      <c r="W444" s="52"/>
      <c r="X444" s="121">
        <f>IF(NOT(ISNUMBER($V444)),"",IF(ISNUMBER($W444),IF($W444-$V444&lt;=28,"Answered in time","LATE: answered after day 28"),IF(TODAY()-$V444&gt;28,"OVERDUE: no reply yet","Reply due by "&amp;TEXT($V444+28,"dd/mm/yyyy"))))</f>
        <v/>
      </c>
      <c r="Y444" s="54"/>
    </row>
    <row r="445" spans="1:25">
      <c r="A445" s="54"/>
      <c r="B445" s="54"/>
      <c r="C445" s="51"/>
      <c r="D445" s="52"/>
      <c r="E445" s="120"/>
      <c r="F445" s="120"/>
      <c r="G445" s="52"/>
      <c r="H445" s="52"/>
      <c r="I445" s="52"/>
      <c r="J445" s="121">
        <f>IF(OR($A445="",NOT(ISNUMBER($F445))),"",IF($F445&lt;=0,"No deposit",IF(NOT(ISNUMBER($G445)),"Enter date received",IF(AND(ISNUMBER($H445),ISNUMBER($I445)),IF(MAX($H445,$I445)-$G445&lt;=29,"OK","LATE: protected / info served after day 30"),IF(TODAY()-$G445&gt;29,"OVERDUE: not protected / info not served","Protect + serve info by "&amp;TEXT($G445+29,"dd/mm/yyyy"))))))</f>
        <v/>
      </c>
      <c r="K445" s="97">
        <f>IF(OR(NOT(ISNUMBER($E445)),NOT(ISNUMBER($F445))),"",IF($F445&lt;=$E445*12/52*5,"OK","Over 5 weeks"))</f>
        <v/>
      </c>
      <c r="L445" s="52"/>
      <c r="M445" s="52"/>
      <c r="N445" s="122">
        <f>IF(OR($A445="",NOT(ISNUMBER($L445))),IF($A445="","","Not recorded"),IF(NOT(ISNUMBER($M445)),"Checked (no follow-up)",IF($M445&lt;TODAY(),"OVERDUE: follow-up check",IF($M445-TODAY()&lt;=60,"Follow-up due "&amp;TEXT($M445,"dd/mm/yyyy"),"Checked"))))</f>
        <v/>
      </c>
      <c r="O445" s="52"/>
      <c r="P445" s="52"/>
      <c r="Q445" s="122">
        <f>IF($A445="","",IF(NOT(ISNUMBER($D445)),"Enter start date",IF($D445&gt;=DATE(2026,5,1),IF(ISNUMBER($O445),"Complete","Missing: written terms"),IF(OR(ISNUMBER($P445),ISNUMBER($O445)),"Complete","Missing: Information Sheet (was due 31/05/2026)"))))</f>
        <v/>
      </c>
      <c r="R445" s="52"/>
      <c r="S445" s="82">
        <f>IF(ISNUMBER($R445),$R445+364,IF(ISNUMBER($D445),$D445+364,""))</f>
        <v/>
      </c>
      <c r="T445" s="52"/>
      <c r="U445" s="82">
        <f>IF(ISNUMBER($T445),IF(ISNUMBER($S445),MAX(EDATE($T445,2),$S445),EDATE($T445,2)),"")</f>
        <v/>
      </c>
      <c r="V445" s="52"/>
      <c r="W445" s="52"/>
      <c r="X445" s="121">
        <f>IF(NOT(ISNUMBER($V445)),"",IF(ISNUMBER($W445),IF($W445-$V445&lt;=28,"Answered in time","LATE: answered after day 28"),IF(TODAY()-$V445&gt;28,"OVERDUE: no reply yet","Reply due by "&amp;TEXT($V445+28,"dd/mm/yyyy"))))</f>
        <v/>
      </c>
      <c r="Y445" s="54"/>
    </row>
    <row r="446" spans="1:25">
      <c r="A446" s="54"/>
      <c r="B446" s="54"/>
      <c r="C446" s="51"/>
      <c r="D446" s="52"/>
      <c r="E446" s="120"/>
      <c r="F446" s="120"/>
      <c r="G446" s="52"/>
      <c r="H446" s="52"/>
      <c r="I446" s="52"/>
      <c r="J446" s="121">
        <f>IF(OR($A446="",NOT(ISNUMBER($F446))),"",IF($F446&lt;=0,"No deposit",IF(NOT(ISNUMBER($G446)),"Enter date received",IF(AND(ISNUMBER($H446),ISNUMBER($I446)),IF(MAX($H446,$I446)-$G446&lt;=29,"OK","LATE: protected / info served after day 30"),IF(TODAY()-$G446&gt;29,"OVERDUE: not protected / info not served","Protect + serve info by "&amp;TEXT($G446+29,"dd/mm/yyyy"))))))</f>
        <v/>
      </c>
      <c r="K446" s="97">
        <f>IF(OR(NOT(ISNUMBER($E446)),NOT(ISNUMBER($F446))),"",IF($F446&lt;=$E446*12/52*5,"OK","Over 5 weeks"))</f>
        <v/>
      </c>
      <c r="L446" s="52"/>
      <c r="M446" s="52"/>
      <c r="N446" s="122">
        <f>IF(OR($A446="",NOT(ISNUMBER($L446))),IF($A446="","","Not recorded"),IF(NOT(ISNUMBER($M446)),"Checked (no follow-up)",IF($M446&lt;TODAY(),"OVERDUE: follow-up check",IF($M446-TODAY()&lt;=60,"Follow-up due "&amp;TEXT($M446,"dd/mm/yyyy"),"Checked"))))</f>
        <v/>
      </c>
      <c r="O446" s="52"/>
      <c r="P446" s="52"/>
      <c r="Q446" s="122">
        <f>IF($A446="","",IF(NOT(ISNUMBER($D446)),"Enter start date",IF($D446&gt;=DATE(2026,5,1),IF(ISNUMBER($O446),"Complete","Missing: written terms"),IF(OR(ISNUMBER($P446),ISNUMBER($O446)),"Complete","Missing: Information Sheet (was due 31/05/2026)"))))</f>
        <v/>
      </c>
      <c r="R446" s="52"/>
      <c r="S446" s="82">
        <f>IF(ISNUMBER($R446),$R446+364,IF(ISNUMBER($D446),$D446+364,""))</f>
        <v/>
      </c>
      <c r="T446" s="52"/>
      <c r="U446" s="82">
        <f>IF(ISNUMBER($T446),IF(ISNUMBER($S446),MAX(EDATE($T446,2),$S446),EDATE($T446,2)),"")</f>
        <v/>
      </c>
      <c r="V446" s="52"/>
      <c r="W446" s="52"/>
      <c r="X446" s="121">
        <f>IF(NOT(ISNUMBER($V446)),"",IF(ISNUMBER($W446),IF($W446-$V446&lt;=28,"Answered in time","LATE: answered after day 28"),IF(TODAY()-$V446&gt;28,"OVERDUE: no reply yet","Reply due by "&amp;TEXT($V446+28,"dd/mm/yyyy"))))</f>
        <v/>
      </c>
      <c r="Y446" s="54"/>
    </row>
    <row r="447" spans="1:25">
      <c r="A447" s="54"/>
      <c r="B447" s="54"/>
      <c r="C447" s="51"/>
      <c r="D447" s="52"/>
      <c r="E447" s="120"/>
      <c r="F447" s="120"/>
      <c r="G447" s="52"/>
      <c r="H447" s="52"/>
      <c r="I447" s="52"/>
      <c r="J447" s="121">
        <f>IF(OR($A447="",NOT(ISNUMBER($F447))),"",IF($F447&lt;=0,"No deposit",IF(NOT(ISNUMBER($G447)),"Enter date received",IF(AND(ISNUMBER($H447),ISNUMBER($I447)),IF(MAX($H447,$I447)-$G447&lt;=29,"OK","LATE: protected / info served after day 30"),IF(TODAY()-$G447&gt;29,"OVERDUE: not protected / info not served","Protect + serve info by "&amp;TEXT($G447+29,"dd/mm/yyyy"))))))</f>
        <v/>
      </c>
      <c r="K447" s="97">
        <f>IF(OR(NOT(ISNUMBER($E447)),NOT(ISNUMBER($F447))),"",IF($F447&lt;=$E447*12/52*5,"OK","Over 5 weeks"))</f>
        <v/>
      </c>
      <c r="L447" s="52"/>
      <c r="M447" s="52"/>
      <c r="N447" s="122">
        <f>IF(OR($A447="",NOT(ISNUMBER($L447))),IF($A447="","","Not recorded"),IF(NOT(ISNUMBER($M447)),"Checked (no follow-up)",IF($M447&lt;TODAY(),"OVERDUE: follow-up check",IF($M447-TODAY()&lt;=60,"Follow-up due "&amp;TEXT($M447,"dd/mm/yyyy"),"Checked"))))</f>
        <v/>
      </c>
      <c r="O447" s="52"/>
      <c r="P447" s="52"/>
      <c r="Q447" s="122">
        <f>IF($A447="","",IF(NOT(ISNUMBER($D447)),"Enter start date",IF($D447&gt;=DATE(2026,5,1),IF(ISNUMBER($O447),"Complete","Missing: written terms"),IF(OR(ISNUMBER($P447),ISNUMBER($O447)),"Complete","Missing: Information Sheet (was due 31/05/2026)"))))</f>
        <v/>
      </c>
      <c r="R447" s="52"/>
      <c r="S447" s="82">
        <f>IF(ISNUMBER($R447),$R447+364,IF(ISNUMBER($D447),$D447+364,""))</f>
        <v/>
      </c>
      <c r="T447" s="52"/>
      <c r="U447" s="82">
        <f>IF(ISNUMBER($T447),IF(ISNUMBER($S447),MAX(EDATE($T447,2),$S447),EDATE($T447,2)),"")</f>
        <v/>
      </c>
      <c r="V447" s="52"/>
      <c r="W447" s="52"/>
      <c r="X447" s="121">
        <f>IF(NOT(ISNUMBER($V447)),"",IF(ISNUMBER($W447),IF($W447-$V447&lt;=28,"Answered in time","LATE: answered after day 28"),IF(TODAY()-$V447&gt;28,"OVERDUE: no reply yet","Reply due by "&amp;TEXT($V447+28,"dd/mm/yyyy"))))</f>
        <v/>
      </c>
      <c r="Y447" s="54"/>
    </row>
    <row r="448" spans="1:25">
      <c r="A448" s="54"/>
      <c r="B448" s="54"/>
      <c r="C448" s="51"/>
      <c r="D448" s="52"/>
      <c r="E448" s="120"/>
      <c r="F448" s="120"/>
      <c r="G448" s="52"/>
      <c r="H448" s="52"/>
      <c r="I448" s="52"/>
      <c r="J448" s="121">
        <f>IF(OR($A448="",NOT(ISNUMBER($F448))),"",IF($F448&lt;=0,"No deposit",IF(NOT(ISNUMBER($G448)),"Enter date received",IF(AND(ISNUMBER($H448),ISNUMBER($I448)),IF(MAX($H448,$I448)-$G448&lt;=29,"OK","LATE: protected / info served after day 30"),IF(TODAY()-$G448&gt;29,"OVERDUE: not protected / info not served","Protect + serve info by "&amp;TEXT($G448+29,"dd/mm/yyyy"))))))</f>
        <v/>
      </c>
      <c r="K448" s="97">
        <f>IF(OR(NOT(ISNUMBER($E448)),NOT(ISNUMBER($F448))),"",IF($F448&lt;=$E448*12/52*5,"OK","Over 5 weeks"))</f>
        <v/>
      </c>
      <c r="L448" s="52"/>
      <c r="M448" s="52"/>
      <c r="N448" s="122">
        <f>IF(OR($A448="",NOT(ISNUMBER($L448))),IF($A448="","","Not recorded"),IF(NOT(ISNUMBER($M448)),"Checked (no follow-up)",IF($M448&lt;TODAY(),"OVERDUE: follow-up check",IF($M448-TODAY()&lt;=60,"Follow-up due "&amp;TEXT($M448,"dd/mm/yyyy"),"Checked"))))</f>
        <v/>
      </c>
      <c r="O448" s="52"/>
      <c r="P448" s="52"/>
      <c r="Q448" s="122">
        <f>IF($A448="","",IF(NOT(ISNUMBER($D448)),"Enter start date",IF($D448&gt;=DATE(2026,5,1),IF(ISNUMBER($O448),"Complete","Missing: written terms"),IF(OR(ISNUMBER($P448),ISNUMBER($O448)),"Complete","Missing: Information Sheet (was due 31/05/2026)"))))</f>
        <v/>
      </c>
      <c r="R448" s="52"/>
      <c r="S448" s="82">
        <f>IF(ISNUMBER($R448),$R448+364,IF(ISNUMBER($D448),$D448+364,""))</f>
        <v/>
      </c>
      <c r="T448" s="52"/>
      <c r="U448" s="82">
        <f>IF(ISNUMBER($T448),IF(ISNUMBER($S448),MAX(EDATE($T448,2),$S448),EDATE($T448,2)),"")</f>
        <v/>
      </c>
      <c r="V448" s="52"/>
      <c r="W448" s="52"/>
      <c r="X448" s="121">
        <f>IF(NOT(ISNUMBER($V448)),"",IF(ISNUMBER($W448),IF($W448-$V448&lt;=28,"Answered in time","LATE: answered after day 28"),IF(TODAY()-$V448&gt;28,"OVERDUE: no reply yet","Reply due by "&amp;TEXT($V448+28,"dd/mm/yyyy"))))</f>
        <v/>
      </c>
      <c r="Y448" s="54"/>
    </row>
    <row r="449" spans="1:25">
      <c r="A449" s="54"/>
      <c r="B449" s="54"/>
      <c r="C449" s="51"/>
      <c r="D449" s="52"/>
      <c r="E449" s="120"/>
      <c r="F449" s="120"/>
      <c r="G449" s="52"/>
      <c r="H449" s="52"/>
      <c r="I449" s="52"/>
      <c r="J449" s="121">
        <f>IF(OR($A449="",NOT(ISNUMBER($F449))),"",IF($F449&lt;=0,"No deposit",IF(NOT(ISNUMBER($G449)),"Enter date received",IF(AND(ISNUMBER($H449),ISNUMBER($I449)),IF(MAX($H449,$I449)-$G449&lt;=29,"OK","LATE: protected / info served after day 30"),IF(TODAY()-$G449&gt;29,"OVERDUE: not protected / info not served","Protect + serve info by "&amp;TEXT($G449+29,"dd/mm/yyyy"))))))</f>
        <v/>
      </c>
      <c r="K449" s="97">
        <f>IF(OR(NOT(ISNUMBER($E449)),NOT(ISNUMBER($F449))),"",IF($F449&lt;=$E449*12/52*5,"OK","Over 5 weeks"))</f>
        <v/>
      </c>
      <c r="L449" s="52"/>
      <c r="M449" s="52"/>
      <c r="N449" s="122">
        <f>IF(OR($A449="",NOT(ISNUMBER($L449))),IF($A449="","","Not recorded"),IF(NOT(ISNUMBER($M449)),"Checked (no follow-up)",IF($M449&lt;TODAY(),"OVERDUE: follow-up check",IF($M449-TODAY()&lt;=60,"Follow-up due "&amp;TEXT($M449,"dd/mm/yyyy"),"Checked"))))</f>
        <v/>
      </c>
      <c r="O449" s="52"/>
      <c r="P449" s="52"/>
      <c r="Q449" s="122">
        <f>IF($A449="","",IF(NOT(ISNUMBER($D449)),"Enter start date",IF($D449&gt;=DATE(2026,5,1),IF(ISNUMBER($O449),"Complete","Missing: written terms"),IF(OR(ISNUMBER($P449),ISNUMBER($O449)),"Complete","Missing: Information Sheet (was due 31/05/2026)"))))</f>
        <v/>
      </c>
      <c r="R449" s="52"/>
      <c r="S449" s="82">
        <f>IF(ISNUMBER($R449),$R449+364,IF(ISNUMBER($D449),$D449+364,""))</f>
        <v/>
      </c>
      <c r="T449" s="52"/>
      <c r="U449" s="82">
        <f>IF(ISNUMBER($T449),IF(ISNUMBER($S449),MAX(EDATE($T449,2),$S449),EDATE($T449,2)),"")</f>
        <v/>
      </c>
      <c r="V449" s="52"/>
      <c r="W449" s="52"/>
      <c r="X449" s="121">
        <f>IF(NOT(ISNUMBER($V449)),"",IF(ISNUMBER($W449),IF($W449-$V449&lt;=28,"Answered in time","LATE: answered after day 28"),IF(TODAY()-$V449&gt;28,"OVERDUE: no reply yet","Reply due by "&amp;TEXT($V449+28,"dd/mm/yyyy"))))</f>
        <v/>
      </c>
      <c r="Y449" s="54"/>
    </row>
    <row r="450" spans="1:25">
      <c r="A450" s="54"/>
      <c r="B450" s="54"/>
      <c r="C450" s="51"/>
      <c r="D450" s="52"/>
      <c r="E450" s="120"/>
      <c r="F450" s="120"/>
      <c r="G450" s="52"/>
      <c r="H450" s="52"/>
      <c r="I450" s="52"/>
      <c r="J450" s="121">
        <f>IF(OR($A450="",NOT(ISNUMBER($F450))),"",IF($F450&lt;=0,"No deposit",IF(NOT(ISNUMBER($G450)),"Enter date received",IF(AND(ISNUMBER($H450),ISNUMBER($I450)),IF(MAX($H450,$I450)-$G450&lt;=29,"OK","LATE: protected / info served after day 30"),IF(TODAY()-$G450&gt;29,"OVERDUE: not protected / info not served","Protect + serve info by "&amp;TEXT($G450+29,"dd/mm/yyyy"))))))</f>
        <v/>
      </c>
      <c r="K450" s="97">
        <f>IF(OR(NOT(ISNUMBER($E450)),NOT(ISNUMBER($F450))),"",IF($F450&lt;=$E450*12/52*5,"OK","Over 5 weeks"))</f>
        <v/>
      </c>
      <c r="L450" s="52"/>
      <c r="M450" s="52"/>
      <c r="N450" s="122">
        <f>IF(OR($A450="",NOT(ISNUMBER($L450))),IF($A450="","","Not recorded"),IF(NOT(ISNUMBER($M450)),"Checked (no follow-up)",IF($M450&lt;TODAY(),"OVERDUE: follow-up check",IF($M450-TODAY()&lt;=60,"Follow-up due "&amp;TEXT($M450,"dd/mm/yyyy"),"Checked"))))</f>
        <v/>
      </c>
      <c r="O450" s="52"/>
      <c r="P450" s="52"/>
      <c r="Q450" s="122">
        <f>IF($A450="","",IF(NOT(ISNUMBER($D450)),"Enter start date",IF($D450&gt;=DATE(2026,5,1),IF(ISNUMBER($O450),"Complete","Missing: written terms"),IF(OR(ISNUMBER($P450),ISNUMBER($O450)),"Complete","Missing: Information Sheet (was due 31/05/2026)"))))</f>
        <v/>
      </c>
      <c r="R450" s="52"/>
      <c r="S450" s="82">
        <f>IF(ISNUMBER($R450),$R450+364,IF(ISNUMBER($D450),$D450+364,""))</f>
        <v/>
      </c>
      <c r="T450" s="52"/>
      <c r="U450" s="82">
        <f>IF(ISNUMBER($T450),IF(ISNUMBER($S450),MAX(EDATE($T450,2),$S450),EDATE($T450,2)),"")</f>
        <v/>
      </c>
      <c r="V450" s="52"/>
      <c r="W450" s="52"/>
      <c r="X450" s="121">
        <f>IF(NOT(ISNUMBER($V450)),"",IF(ISNUMBER($W450),IF($W450-$V450&lt;=28,"Answered in time","LATE: answered after day 28"),IF(TODAY()-$V450&gt;28,"OVERDUE: no reply yet","Reply due by "&amp;TEXT($V450+28,"dd/mm/yyyy"))))</f>
        <v/>
      </c>
      <c r="Y450" s="54"/>
    </row>
    <row r="451" spans="1:25">
      <c r="A451" s="54"/>
      <c r="B451" s="54"/>
      <c r="C451" s="51"/>
      <c r="D451" s="52"/>
      <c r="E451" s="120"/>
      <c r="F451" s="120"/>
      <c r="G451" s="52"/>
      <c r="H451" s="52"/>
      <c r="I451" s="52"/>
      <c r="J451" s="121">
        <f>IF(OR($A451="",NOT(ISNUMBER($F451))),"",IF($F451&lt;=0,"No deposit",IF(NOT(ISNUMBER($G451)),"Enter date received",IF(AND(ISNUMBER($H451),ISNUMBER($I451)),IF(MAX($H451,$I451)-$G451&lt;=29,"OK","LATE: protected / info served after day 30"),IF(TODAY()-$G451&gt;29,"OVERDUE: not protected / info not served","Protect + serve info by "&amp;TEXT($G451+29,"dd/mm/yyyy"))))))</f>
        <v/>
      </c>
      <c r="K451" s="97">
        <f>IF(OR(NOT(ISNUMBER($E451)),NOT(ISNUMBER($F451))),"",IF($F451&lt;=$E451*12/52*5,"OK","Over 5 weeks"))</f>
        <v/>
      </c>
      <c r="L451" s="52"/>
      <c r="M451" s="52"/>
      <c r="N451" s="122">
        <f>IF(OR($A451="",NOT(ISNUMBER($L451))),IF($A451="","","Not recorded"),IF(NOT(ISNUMBER($M451)),"Checked (no follow-up)",IF($M451&lt;TODAY(),"OVERDUE: follow-up check",IF($M451-TODAY()&lt;=60,"Follow-up due "&amp;TEXT($M451,"dd/mm/yyyy"),"Checked"))))</f>
        <v/>
      </c>
      <c r="O451" s="52"/>
      <c r="P451" s="52"/>
      <c r="Q451" s="122">
        <f>IF($A451="","",IF(NOT(ISNUMBER($D451)),"Enter start date",IF($D451&gt;=DATE(2026,5,1),IF(ISNUMBER($O451),"Complete","Missing: written terms"),IF(OR(ISNUMBER($P451),ISNUMBER($O451)),"Complete","Missing: Information Sheet (was due 31/05/2026)"))))</f>
        <v/>
      </c>
      <c r="R451" s="52"/>
      <c r="S451" s="82">
        <f>IF(ISNUMBER($R451),$R451+364,IF(ISNUMBER($D451),$D451+364,""))</f>
        <v/>
      </c>
      <c r="T451" s="52"/>
      <c r="U451" s="82">
        <f>IF(ISNUMBER($T451),IF(ISNUMBER($S451),MAX(EDATE($T451,2),$S451),EDATE($T451,2)),"")</f>
        <v/>
      </c>
      <c r="V451" s="52"/>
      <c r="W451" s="52"/>
      <c r="X451" s="121">
        <f>IF(NOT(ISNUMBER($V451)),"",IF(ISNUMBER($W451),IF($W451-$V451&lt;=28,"Answered in time","LATE: answered after day 28"),IF(TODAY()-$V451&gt;28,"OVERDUE: no reply yet","Reply due by "&amp;TEXT($V451+28,"dd/mm/yyyy"))))</f>
        <v/>
      </c>
      <c r="Y451" s="54"/>
    </row>
    <row r="452" spans="1:25">
      <c r="A452" s="54"/>
      <c r="B452" s="54"/>
      <c r="C452" s="51"/>
      <c r="D452" s="52"/>
      <c r="E452" s="120"/>
      <c r="F452" s="120"/>
      <c r="G452" s="52"/>
      <c r="H452" s="52"/>
      <c r="I452" s="52"/>
      <c r="J452" s="121">
        <f>IF(OR($A452="",NOT(ISNUMBER($F452))),"",IF($F452&lt;=0,"No deposit",IF(NOT(ISNUMBER($G452)),"Enter date received",IF(AND(ISNUMBER($H452),ISNUMBER($I452)),IF(MAX($H452,$I452)-$G452&lt;=29,"OK","LATE: protected / info served after day 30"),IF(TODAY()-$G452&gt;29,"OVERDUE: not protected / info not served","Protect + serve info by "&amp;TEXT($G452+29,"dd/mm/yyyy"))))))</f>
        <v/>
      </c>
      <c r="K452" s="97">
        <f>IF(OR(NOT(ISNUMBER($E452)),NOT(ISNUMBER($F452))),"",IF($F452&lt;=$E452*12/52*5,"OK","Over 5 weeks"))</f>
        <v/>
      </c>
      <c r="L452" s="52"/>
      <c r="M452" s="52"/>
      <c r="N452" s="122">
        <f>IF(OR($A452="",NOT(ISNUMBER($L452))),IF($A452="","","Not recorded"),IF(NOT(ISNUMBER($M452)),"Checked (no follow-up)",IF($M452&lt;TODAY(),"OVERDUE: follow-up check",IF($M452-TODAY()&lt;=60,"Follow-up due "&amp;TEXT($M452,"dd/mm/yyyy"),"Checked"))))</f>
        <v/>
      </c>
      <c r="O452" s="52"/>
      <c r="P452" s="52"/>
      <c r="Q452" s="122">
        <f>IF($A452="","",IF(NOT(ISNUMBER($D452)),"Enter start date",IF($D452&gt;=DATE(2026,5,1),IF(ISNUMBER($O452),"Complete","Missing: written terms"),IF(OR(ISNUMBER($P452),ISNUMBER($O452)),"Complete","Missing: Information Sheet (was due 31/05/2026)"))))</f>
        <v/>
      </c>
      <c r="R452" s="52"/>
      <c r="S452" s="82">
        <f>IF(ISNUMBER($R452),$R452+364,IF(ISNUMBER($D452),$D452+364,""))</f>
        <v/>
      </c>
      <c r="T452" s="52"/>
      <c r="U452" s="82">
        <f>IF(ISNUMBER($T452),IF(ISNUMBER($S452),MAX(EDATE($T452,2),$S452),EDATE($T452,2)),"")</f>
        <v/>
      </c>
      <c r="V452" s="52"/>
      <c r="W452" s="52"/>
      <c r="X452" s="121">
        <f>IF(NOT(ISNUMBER($V452)),"",IF(ISNUMBER($W452),IF($W452-$V452&lt;=28,"Answered in time","LATE: answered after day 28"),IF(TODAY()-$V452&gt;28,"OVERDUE: no reply yet","Reply due by "&amp;TEXT($V452+28,"dd/mm/yyyy"))))</f>
        <v/>
      </c>
      <c r="Y452" s="54"/>
    </row>
    <row r="453" spans="1:25">
      <c r="A453" s="54"/>
      <c r="B453" s="54"/>
      <c r="C453" s="51"/>
      <c r="D453" s="52"/>
      <c r="E453" s="120"/>
      <c r="F453" s="120"/>
      <c r="G453" s="52"/>
      <c r="H453" s="52"/>
      <c r="I453" s="52"/>
      <c r="J453" s="121">
        <f>IF(OR($A453="",NOT(ISNUMBER($F453))),"",IF($F453&lt;=0,"No deposit",IF(NOT(ISNUMBER($G453)),"Enter date received",IF(AND(ISNUMBER($H453),ISNUMBER($I453)),IF(MAX($H453,$I453)-$G453&lt;=29,"OK","LATE: protected / info served after day 30"),IF(TODAY()-$G453&gt;29,"OVERDUE: not protected / info not served","Protect + serve info by "&amp;TEXT($G453+29,"dd/mm/yyyy"))))))</f>
        <v/>
      </c>
      <c r="K453" s="97">
        <f>IF(OR(NOT(ISNUMBER($E453)),NOT(ISNUMBER($F453))),"",IF($F453&lt;=$E453*12/52*5,"OK","Over 5 weeks"))</f>
        <v/>
      </c>
      <c r="L453" s="52"/>
      <c r="M453" s="52"/>
      <c r="N453" s="122">
        <f>IF(OR($A453="",NOT(ISNUMBER($L453))),IF($A453="","","Not recorded"),IF(NOT(ISNUMBER($M453)),"Checked (no follow-up)",IF($M453&lt;TODAY(),"OVERDUE: follow-up check",IF($M453-TODAY()&lt;=60,"Follow-up due "&amp;TEXT($M453,"dd/mm/yyyy"),"Checked"))))</f>
        <v/>
      </c>
      <c r="O453" s="52"/>
      <c r="P453" s="52"/>
      <c r="Q453" s="122">
        <f>IF($A453="","",IF(NOT(ISNUMBER($D453)),"Enter start date",IF($D453&gt;=DATE(2026,5,1),IF(ISNUMBER($O453),"Complete","Missing: written terms"),IF(OR(ISNUMBER($P453),ISNUMBER($O453)),"Complete","Missing: Information Sheet (was due 31/05/2026)"))))</f>
        <v/>
      </c>
      <c r="R453" s="52"/>
      <c r="S453" s="82">
        <f>IF(ISNUMBER($R453),$R453+364,IF(ISNUMBER($D453),$D453+364,""))</f>
        <v/>
      </c>
      <c r="T453" s="52"/>
      <c r="U453" s="82">
        <f>IF(ISNUMBER($T453),IF(ISNUMBER($S453),MAX(EDATE($T453,2),$S453),EDATE($T453,2)),"")</f>
        <v/>
      </c>
      <c r="V453" s="52"/>
      <c r="W453" s="52"/>
      <c r="X453" s="121">
        <f>IF(NOT(ISNUMBER($V453)),"",IF(ISNUMBER($W453),IF($W453-$V453&lt;=28,"Answered in time","LATE: answered after day 28"),IF(TODAY()-$V453&gt;28,"OVERDUE: no reply yet","Reply due by "&amp;TEXT($V453+28,"dd/mm/yyyy"))))</f>
        <v/>
      </c>
      <c r="Y453" s="54"/>
    </row>
    <row r="454" spans="1:25">
      <c r="A454" s="54"/>
      <c r="B454" s="54"/>
      <c r="C454" s="51"/>
      <c r="D454" s="52"/>
      <c r="E454" s="120"/>
      <c r="F454" s="120"/>
      <c r="G454" s="52"/>
      <c r="H454" s="52"/>
      <c r="I454" s="52"/>
      <c r="J454" s="121">
        <f>IF(OR($A454="",NOT(ISNUMBER($F454))),"",IF($F454&lt;=0,"No deposit",IF(NOT(ISNUMBER($G454)),"Enter date received",IF(AND(ISNUMBER($H454),ISNUMBER($I454)),IF(MAX($H454,$I454)-$G454&lt;=29,"OK","LATE: protected / info served after day 30"),IF(TODAY()-$G454&gt;29,"OVERDUE: not protected / info not served","Protect + serve info by "&amp;TEXT($G454+29,"dd/mm/yyyy"))))))</f>
        <v/>
      </c>
      <c r="K454" s="97">
        <f>IF(OR(NOT(ISNUMBER($E454)),NOT(ISNUMBER($F454))),"",IF($F454&lt;=$E454*12/52*5,"OK","Over 5 weeks"))</f>
        <v/>
      </c>
      <c r="L454" s="52"/>
      <c r="M454" s="52"/>
      <c r="N454" s="122">
        <f>IF(OR($A454="",NOT(ISNUMBER($L454))),IF($A454="","","Not recorded"),IF(NOT(ISNUMBER($M454)),"Checked (no follow-up)",IF($M454&lt;TODAY(),"OVERDUE: follow-up check",IF($M454-TODAY()&lt;=60,"Follow-up due "&amp;TEXT($M454,"dd/mm/yyyy"),"Checked"))))</f>
        <v/>
      </c>
      <c r="O454" s="52"/>
      <c r="P454" s="52"/>
      <c r="Q454" s="122">
        <f>IF($A454="","",IF(NOT(ISNUMBER($D454)),"Enter start date",IF($D454&gt;=DATE(2026,5,1),IF(ISNUMBER($O454),"Complete","Missing: written terms"),IF(OR(ISNUMBER($P454),ISNUMBER($O454)),"Complete","Missing: Information Sheet (was due 31/05/2026)"))))</f>
        <v/>
      </c>
      <c r="R454" s="52"/>
      <c r="S454" s="82">
        <f>IF(ISNUMBER($R454),$R454+364,IF(ISNUMBER($D454),$D454+364,""))</f>
        <v/>
      </c>
      <c r="T454" s="52"/>
      <c r="U454" s="82">
        <f>IF(ISNUMBER($T454),IF(ISNUMBER($S454),MAX(EDATE($T454,2),$S454),EDATE($T454,2)),"")</f>
        <v/>
      </c>
      <c r="V454" s="52"/>
      <c r="W454" s="52"/>
      <c r="X454" s="121">
        <f>IF(NOT(ISNUMBER($V454)),"",IF(ISNUMBER($W454),IF($W454-$V454&lt;=28,"Answered in time","LATE: answered after day 28"),IF(TODAY()-$V454&gt;28,"OVERDUE: no reply yet","Reply due by "&amp;TEXT($V454+28,"dd/mm/yyyy"))))</f>
        <v/>
      </c>
      <c r="Y454" s="54"/>
    </row>
    <row r="455" spans="1:25">
      <c r="A455" s="54"/>
      <c r="B455" s="54"/>
      <c r="C455" s="51"/>
      <c r="D455" s="52"/>
      <c r="E455" s="120"/>
      <c r="F455" s="120"/>
      <c r="G455" s="52"/>
      <c r="H455" s="52"/>
      <c r="I455" s="52"/>
      <c r="J455" s="121">
        <f>IF(OR($A455="",NOT(ISNUMBER($F455))),"",IF($F455&lt;=0,"No deposit",IF(NOT(ISNUMBER($G455)),"Enter date received",IF(AND(ISNUMBER($H455),ISNUMBER($I455)),IF(MAX($H455,$I455)-$G455&lt;=29,"OK","LATE: protected / info served after day 30"),IF(TODAY()-$G455&gt;29,"OVERDUE: not protected / info not served","Protect + serve info by "&amp;TEXT($G455+29,"dd/mm/yyyy"))))))</f>
        <v/>
      </c>
      <c r="K455" s="97">
        <f>IF(OR(NOT(ISNUMBER($E455)),NOT(ISNUMBER($F455))),"",IF($F455&lt;=$E455*12/52*5,"OK","Over 5 weeks"))</f>
        <v/>
      </c>
      <c r="L455" s="52"/>
      <c r="M455" s="52"/>
      <c r="N455" s="122">
        <f>IF(OR($A455="",NOT(ISNUMBER($L455))),IF($A455="","","Not recorded"),IF(NOT(ISNUMBER($M455)),"Checked (no follow-up)",IF($M455&lt;TODAY(),"OVERDUE: follow-up check",IF($M455-TODAY()&lt;=60,"Follow-up due "&amp;TEXT($M455,"dd/mm/yyyy"),"Checked"))))</f>
        <v/>
      </c>
      <c r="O455" s="52"/>
      <c r="P455" s="52"/>
      <c r="Q455" s="122">
        <f>IF($A455="","",IF(NOT(ISNUMBER($D455)),"Enter start date",IF($D455&gt;=DATE(2026,5,1),IF(ISNUMBER($O455),"Complete","Missing: written terms"),IF(OR(ISNUMBER($P455),ISNUMBER($O455)),"Complete","Missing: Information Sheet (was due 31/05/2026)"))))</f>
        <v/>
      </c>
      <c r="R455" s="52"/>
      <c r="S455" s="82">
        <f>IF(ISNUMBER($R455),$R455+364,IF(ISNUMBER($D455),$D455+364,""))</f>
        <v/>
      </c>
      <c r="T455" s="52"/>
      <c r="U455" s="82">
        <f>IF(ISNUMBER($T455),IF(ISNUMBER($S455),MAX(EDATE($T455,2),$S455),EDATE($T455,2)),"")</f>
        <v/>
      </c>
      <c r="V455" s="52"/>
      <c r="W455" s="52"/>
      <c r="X455" s="121">
        <f>IF(NOT(ISNUMBER($V455)),"",IF(ISNUMBER($W455),IF($W455-$V455&lt;=28,"Answered in time","LATE: answered after day 28"),IF(TODAY()-$V455&gt;28,"OVERDUE: no reply yet","Reply due by "&amp;TEXT($V455+28,"dd/mm/yyyy"))))</f>
        <v/>
      </c>
      <c r="Y455" s="54"/>
    </row>
    <row r="456" spans="1:25">
      <c r="A456" s="54"/>
      <c r="B456" s="54"/>
      <c r="C456" s="51"/>
      <c r="D456" s="52"/>
      <c r="E456" s="120"/>
      <c r="F456" s="120"/>
      <c r="G456" s="52"/>
      <c r="H456" s="52"/>
      <c r="I456" s="52"/>
      <c r="J456" s="121">
        <f>IF(OR($A456="",NOT(ISNUMBER($F456))),"",IF($F456&lt;=0,"No deposit",IF(NOT(ISNUMBER($G456)),"Enter date received",IF(AND(ISNUMBER($H456),ISNUMBER($I456)),IF(MAX($H456,$I456)-$G456&lt;=29,"OK","LATE: protected / info served after day 30"),IF(TODAY()-$G456&gt;29,"OVERDUE: not protected / info not served","Protect + serve info by "&amp;TEXT($G456+29,"dd/mm/yyyy"))))))</f>
        <v/>
      </c>
      <c r="K456" s="97">
        <f>IF(OR(NOT(ISNUMBER($E456)),NOT(ISNUMBER($F456))),"",IF($F456&lt;=$E456*12/52*5,"OK","Over 5 weeks"))</f>
        <v/>
      </c>
      <c r="L456" s="52"/>
      <c r="M456" s="52"/>
      <c r="N456" s="122">
        <f>IF(OR($A456="",NOT(ISNUMBER($L456))),IF($A456="","","Not recorded"),IF(NOT(ISNUMBER($M456)),"Checked (no follow-up)",IF($M456&lt;TODAY(),"OVERDUE: follow-up check",IF($M456-TODAY()&lt;=60,"Follow-up due "&amp;TEXT($M456,"dd/mm/yyyy"),"Checked"))))</f>
        <v/>
      </c>
      <c r="O456" s="52"/>
      <c r="P456" s="52"/>
      <c r="Q456" s="122">
        <f>IF($A456="","",IF(NOT(ISNUMBER($D456)),"Enter start date",IF($D456&gt;=DATE(2026,5,1),IF(ISNUMBER($O456),"Complete","Missing: written terms"),IF(OR(ISNUMBER($P456),ISNUMBER($O456)),"Complete","Missing: Information Sheet (was due 31/05/2026)"))))</f>
        <v/>
      </c>
      <c r="R456" s="52"/>
      <c r="S456" s="82">
        <f>IF(ISNUMBER($R456),$R456+364,IF(ISNUMBER($D456),$D456+364,""))</f>
        <v/>
      </c>
      <c r="T456" s="52"/>
      <c r="U456" s="82">
        <f>IF(ISNUMBER($T456),IF(ISNUMBER($S456),MAX(EDATE($T456,2),$S456),EDATE($T456,2)),"")</f>
        <v/>
      </c>
      <c r="V456" s="52"/>
      <c r="W456" s="52"/>
      <c r="X456" s="121">
        <f>IF(NOT(ISNUMBER($V456)),"",IF(ISNUMBER($W456),IF($W456-$V456&lt;=28,"Answered in time","LATE: answered after day 28"),IF(TODAY()-$V456&gt;28,"OVERDUE: no reply yet","Reply due by "&amp;TEXT($V456+28,"dd/mm/yyyy"))))</f>
        <v/>
      </c>
      <c r="Y456" s="54"/>
    </row>
    <row r="457" spans="1:25">
      <c r="A457" s="54"/>
      <c r="B457" s="54"/>
      <c r="C457" s="51"/>
      <c r="D457" s="52"/>
      <c r="E457" s="120"/>
      <c r="F457" s="120"/>
      <c r="G457" s="52"/>
      <c r="H457" s="52"/>
      <c r="I457" s="52"/>
      <c r="J457" s="121">
        <f>IF(OR($A457="",NOT(ISNUMBER($F457))),"",IF($F457&lt;=0,"No deposit",IF(NOT(ISNUMBER($G457)),"Enter date received",IF(AND(ISNUMBER($H457),ISNUMBER($I457)),IF(MAX($H457,$I457)-$G457&lt;=29,"OK","LATE: protected / info served after day 30"),IF(TODAY()-$G457&gt;29,"OVERDUE: not protected / info not served","Protect + serve info by "&amp;TEXT($G457+29,"dd/mm/yyyy"))))))</f>
        <v/>
      </c>
      <c r="K457" s="97">
        <f>IF(OR(NOT(ISNUMBER($E457)),NOT(ISNUMBER($F457))),"",IF($F457&lt;=$E457*12/52*5,"OK","Over 5 weeks"))</f>
        <v/>
      </c>
      <c r="L457" s="52"/>
      <c r="M457" s="52"/>
      <c r="N457" s="122">
        <f>IF(OR($A457="",NOT(ISNUMBER($L457))),IF($A457="","","Not recorded"),IF(NOT(ISNUMBER($M457)),"Checked (no follow-up)",IF($M457&lt;TODAY(),"OVERDUE: follow-up check",IF($M457-TODAY()&lt;=60,"Follow-up due "&amp;TEXT($M457,"dd/mm/yyyy"),"Checked"))))</f>
        <v/>
      </c>
      <c r="O457" s="52"/>
      <c r="P457" s="52"/>
      <c r="Q457" s="122">
        <f>IF($A457="","",IF(NOT(ISNUMBER($D457)),"Enter start date",IF($D457&gt;=DATE(2026,5,1),IF(ISNUMBER($O457),"Complete","Missing: written terms"),IF(OR(ISNUMBER($P457),ISNUMBER($O457)),"Complete","Missing: Information Sheet (was due 31/05/2026)"))))</f>
        <v/>
      </c>
      <c r="R457" s="52"/>
      <c r="S457" s="82">
        <f>IF(ISNUMBER($R457),$R457+364,IF(ISNUMBER($D457),$D457+364,""))</f>
        <v/>
      </c>
      <c r="T457" s="52"/>
      <c r="U457" s="82">
        <f>IF(ISNUMBER($T457),IF(ISNUMBER($S457),MAX(EDATE($T457,2),$S457),EDATE($T457,2)),"")</f>
        <v/>
      </c>
      <c r="V457" s="52"/>
      <c r="W457" s="52"/>
      <c r="X457" s="121">
        <f>IF(NOT(ISNUMBER($V457)),"",IF(ISNUMBER($W457),IF($W457-$V457&lt;=28,"Answered in time","LATE: answered after day 28"),IF(TODAY()-$V457&gt;28,"OVERDUE: no reply yet","Reply due by "&amp;TEXT($V457+28,"dd/mm/yyyy"))))</f>
        <v/>
      </c>
      <c r="Y457" s="54"/>
    </row>
    <row r="458" spans="1:25">
      <c r="A458" s="54"/>
      <c r="B458" s="54"/>
      <c r="C458" s="51"/>
      <c r="D458" s="52"/>
      <c r="E458" s="120"/>
      <c r="F458" s="120"/>
      <c r="G458" s="52"/>
      <c r="H458" s="52"/>
      <c r="I458" s="52"/>
      <c r="J458" s="121">
        <f>IF(OR($A458="",NOT(ISNUMBER($F458))),"",IF($F458&lt;=0,"No deposit",IF(NOT(ISNUMBER($G458)),"Enter date received",IF(AND(ISNUMBER($H458),ISNUMBER($I458)),IF(MAX($H458,$I458)-$G458&lt;=29,"OK","LATE: protected / info served after day 30"),IF(TODAY()-$G458&gt;29,"OVERDUE: not protected / info not served","Protect + serve info by "&amp;TEXT($G458+29,"dd/mm/yyyy"))))))</f>
        <v/>
      </c>
      <c r="K458" s="97">
        <f>IF(OR(NOT(ISNUMBER($E458)),NOT(ISNUMBER($F458))),"",IF($F458&lt;=$E458*12/52*5,"OK","Over 5 weeks"))</f>
        <v/>
      </c>
      <c r="L458" s="52"/>
      <c r="M458" s="52"/>
      <c r="N458" s="122">
        <f>IF(OR($A458="",NOT(ISNUMBER($L458))),IF($A458="","","Not recorded"),IF(NOT(ISNUMBER($M458)),"Checked (no follow-up)",IF($M458&lt;TODAY(),"OVERDUE: follow-up check",IF($M458-TODAY()&lt;=60,"Follow-up due "&amp;TEXT($M458,"dd/mm/yyyy"),"Checked"))))</f>
        <v/>
      </c>
      <c r="O458" s="52"/>
      <c r="P458" s="52"/>
      <c r="Q458" s="122">
        <f>IF($A458="","",IF(NOT(ISNUMBER($D458)),"Enter start date",IF($D458&gt;=DATE(2026,5,1),IF(ISNUMBER($O458),"Complete","Missing: written terms"),IF(OR(ISNUMBER($P458),ISNUMBER($O458)),"Complete","Missing: Information Sheet (was due 31/05/2026)"))))</f>
        <v/>
      </c>
      <c r="R458" s="52"/>
      <c r="S458" s="82">
        <f>IF(ISNUMBER($R458),$R458+364,IF(ISNUMBER($D458),$D458+364,""))</f>
        <v/>
      </c>
      <c r="T458" s="52"/>
      <c r="U458" s="82">
        <f>IF(ISNUMBER($T458),IF(ISNUMBER($S458),MAX(EDATE($T458,2),$S458),EDATE($T458,2)),"")</f>
        <v/>
      </c>
      <c r="V458" s="52"/>
      <c r="W458" s="52"/>
      <c r="X458" s="121">
        <f>IF(NOT(ISNUMBER($V458)),"",IF(ISNUMBER($W458),IF($W458-$V458&lt;=28,"Answered in time","LATE: answered after day 28"),IF(TODAY()-$V458&gt;28,"OVERDUE: no reply yet","Reply due by "&amp;TEXT($V458+28,"dd/mm/yyyy"))))</f>
        <v/>
      </c>
      <c r="Y458" s="54"/>
    </row>
    <row r="459" spans="1:25">
      <c r="A459" s="54"/>
      <c r="B459" s="54"/>
      <c r="C459" s="51"/>
      <c r="D459" s="52"/>
      <c r="E459" s="120"/>
      <c r="F459" s="120"/>
      <c r="G459" s="52"/>
      <c r="H459" s="52"/>
      <c r="I459" s="52"/>
      <c r="J459" s="121">
        <f>IF(OR($A459="",NOT(ISNUMBER($F459))),"",IF($F459&lt;=0,"No deposit",IF(NOT(ISNUMBER($G459)),"Enter date received",IF(AND(ISNUMBER($H459),ISNUMBER($I459)),IF(MAX($H459,$I459)-$G459&lt;=29,"OK","LATE: protected / info served after day 30"),IF(TODAY()-$G459&gt;29,"OVERDUE: not protected / info not served","Protect + serve info by "&amp;TEXT($G459+29,"dd/mm/yyyy"))))))</f>
        <v/>
      </c>
      <c r="K459" s="97">
        <f>IF(OR(NOT(ISNUMBER($E459)),NOT(ISNUMBER($F459))),"",IF($F459&lt;=$E459*12/52*5,"OK","Over 5 weeks"))</f>
        <v/>
      </c>
      <c r="L459" s="52"/>
      <c r="M459" s="52"/>
      <c r="N459" s="122">
        <f>IF(OR($A459="",NOT(ISNUMBER($L459))),IF($A459="","","Not recorded"),IF(NOT(ISNUMBER($M459)),"Checked (no follow-up)",IF($M459&lt;TODAY(),"OVERDUE: follow-up check",IF($M459-TODAY()&lt;=60,"Follow-up due "&amp;TEXT($M459,"dd/mm/yyyy"),"Checked"))))</f>
        <v/>
      </c>
      <c r="O459" s="52"/>
      <c r="P459" s="52"/>
      <c r="Q459" s="122">
        <f>IF($A459="","",IF(NOT(ISNUMBER($D459)),"Enter start date",IF($D459&gt;=DATE(2026,5,1),IF(ISNUMBER($O459),"Complete","Missing: written terms"),IF(OR(ISNUMBER($P459),ISNUMBER($O459)),"Complete","Missing: Information Sheet (was due 31/05/2026)"))))</f>
        <v/>
      </c>
      <c r="R459" s="52"/>
      <c r="S459" s="82">
        <f>IF(ISNUMBER($R459),$R459+364,IF(ISNUMBER($D459),$D459+364,""))</f>
        <v/>
      </c>
      <c r="T459" s="52"/>
      <c r="U459" s="82">
        <f>IF(ISNUMBER($T459),IF(ISNUMBER($S459),MAX(EDATE($T459,2),$S459),EDATE($T459,2)),"")</f>
        <v/>
      </c>
      <c r="V459" s="52"/>
      <c r="W459" s="52"/>
      <c r="X459" s="121">
        <f>IF(NOT(ISNUMBER($V459)),"",IF(ISNUMBER($W459),IF($W459-$V459&lt;=28,"Answered in time","LATE: answered after day 28"),IF(TODAY()-$V459&gt;28,"OVERDUE: no reply yet","Reply due by "&amp;TEXT($V459+28,"dd/mm/yyyy"))))</f>
        <v/>
      </c>
      <c r="Y459" s="54"/>
    </row>
    <row r="460" spans="1:25">
      <c r="A460" s="54"/>
      <c r="B460" s="54"/>
      <c r="C460" s="51"/>
      <c r="D460" s="52"/>
      <c r="E460" s="120"/>
      <c r="F460" s="120"/>
      <c r="G460" s="52"/>
      <c r="H460" s="52"/>
      <c r="I460" s="52"/>
      <c r="J460" s="121">
        <f>IF(OR($A460="",NOT(ISNUMBER($F460))),"",IF($F460&lt;=0,"No deposit",IF(NOT(ISNUMBER($G460)),"Enter date received",IF(AND(ISNUMBER($H460),ISNUMBER($I460)),IF(MAX($H460,$I460)-$G460&lt;=29,"OK","LATE: protected / info served after day 30"),IF(TODAY()-$G460&gt;29,"OVERDUE: not protected / info not served","Protect + serve info by "&amp;TEXT($G460+29,"dd/mm/yyyy"))))))</f>
        <v/>
      </c>
      <c r="K460" s="97">
        <f>IF(OR(NOT(ISNUMBER($E460)),NOT(ISNUMBER($F460))),"",IF($F460&lt;=$E460*12/52*5,"OK","Over 5 weeks"))</f>
        <v/>
      </c>
      <c r="L460" s="52"/>
      <c r="M460" s="52"/>
      <c r="N460" s="122">
        <f>IF(OR($A460="",NOT(ISNUMBER($L460))),IF($A460="","","Not recorded"),IF(NOT(ISNUMBER($M460)),"Checked (no follow-up)",IF($M460&lt;TODAY(),"OVERDUE: follow-up check",IF($M460-TODAY()&lt;=60,"Follow-up due "&amp;TEXT($M460,"dd/mm/yyyy"),"Checked"))))</f>
        <v/>
      </c>
      <c r="O460" s="52"/>
      <c r="P460" s="52"/>
      <c r="Q460" s="122">
        <f>IF($A460="","",IF(NOT(ISNUMBER($D460)),"Enter start date",IF($D460&gt;=DATE(2026,5,1),IF(ISNUMBER($O460),"Complete","Missing: written terms"),IF(OR(ISNUMBER($P460),ISNUMBER($O460)),"Complete","Missing: Information Sheet (was due 31/05/2026)"))))</f>
        <v/>
      </c>
      <c r="R460" s="52"/>
      <c r="S460" s="82">
        <f>IF(ISNUMBER($R460),$R460+364,IF(ISNUMBER($D460),$D460+364,""))</f>
        <v/>
      </c>
      <c r="T460" s="52"/>
      <c r="U460" s="82">
        <f>IF(ISNUMBER($T460),IF(ISNUMBER($S460),MAX(EDATE($T460,2),$S460),EDATE($T460,2)),"")</f>
        <v/>
      </c>
      <c r="V460" s="52"/>
      <c r="W460" s="52"/>
      <c r="X460" s="121">
        <f>IF(NOT(ISNUMBER($V460)),"",IF(ISNUMBER($W460),IF($W460-$V460&lt;=28,"Answered in time","LATE: answered after day 28"),IF(TODAY()-$V460&gt;28,"OVERDUE: no reply yet","Reply due by "&amp;TEXT($V460+28,"dd/mm/yyyy"))))</f>
        <v/>
      </c>
      <c r="Y460" s="54"/>
    </row>
    <row r="461" spans="1:25">
      <c r="A461" s="54"/>
      <c r="B461" s="54"/>
      <c r="C461" s="51"/>
      <c r="D461" s="52"/>
      <c r="E461" s="120"/>
      <c r="F461" s="120"/>
      <c r="G461" s="52"/>
      <c r="H461" s="52"/>
      <c r="I461" s="52"/>
      <c r="J461" s="121">
        <f>IF(OR($A461="",NOT(ISNUMBER($F461))),"",IF($F461&lt;=0,"No deposit",IF(NOT(ISNUMBER($G461)),"Enter date received",IF(AND(ISNUMBER($H461),ISNUMBER($I461)),IF(MAX($H461,$I461)-$G461&lt;=29,"OK","LATE: protected / info served after day 30"),IF(TODAY()-$G461&gt;29,"OVERDUE: not protected / info not served","Protect + serve info by "&amp;TEXT($G461+29,"dd/mm/yyyy"))))))</f>
        <v/>
      </c>
      <c r="K461" s="97">
        <f>IF(OR(NOT(ISNUMBER($E461)),NOT(ISNUMBER($F461))),"",IF($F461&lt;=$E461*12/52*5,"OK","Over 5 weeks"))</f>
        <v/>
      </c>
      <c r="L461" s="52"/>
      <c r="M461" s="52"/>
      <c r="N461" s="122">
        <f>IF(OR($A461="",NOT(ISNUMBER($L461))),IF($A461="","","Not recorded"),IF(NOT(ISNUMBER($M461)),"Checked (no follow-up)",IF($M461&lt;TODAY(),"OVERDUE: follow-up check",IF($M461-TODAY()&lt;=60,"Follow-up due "&amp;TEXT($M461,"dd/mm/yyyy"),"Checked"))))</f>
        <v/>
      </c>
      <c r="O461" s="52"/>
      <c r="P461" s="52"/>
      <c r="Q461" s="122">
        <f>IF($A461="","",IF(NOT(ISNUMBER($D461)),"Enter start date",IF($D461&gt;=DATE(2026,5,1),IF(ISNUMBER($O461),"Complete","Missing: written terms"),IF(OR(ISNUMBER($P461),ISNUMBER($O461)),"Complete","Missing: Information Sheet (was due 31/05/2026)"))))</f>
        <v/>
      </c>
      <c r="R461" s="52"/>
      <c r="S461" s="82">
        <f>IF(ISNUMBER($R461),$R461+364,IF(ISNUMBER($D461),$D461+364,""))</f>
        <v/>
      </c>
      <c r="T461" s="52"/>
      <c r="U461" s="82">
        <f>IF(ISNUMBER($T461),IF(ISNUMBER($S461),MAX(EDATE($T461,2),$S461),EDATE($T461,2)),"")</f>
        <v/>
      </c>
      <c r="V461" s="52"/>
      <c r="W461" s="52"/>
      <c r="X461" s="121">
        <f>IF(NOT(ISNUMBER($V461)),"",IF(ISNUMBER($W461),IF($W461-$V461&lt;=28,"Answered in time","LATE: answered after day 28"),IF(TODAY()-$V461&gt;28,"OVERDUE: no reply yet","Reply due by "&amp;TEXT($V461+28,"dd/mm/yyyy"))))</f>
        <v/>
      </c>
      <c r="Y461" s="54"/>
    </row>
    <row r="462" spans="1:25">
      <c r="A462" s="54"/>
      <c r="B462" s="54"/>
      <c r="C462" s="51"/>
      <c r="D462" s="52"/>
      <c r="E462" s="120"/>
      <c r="F462" s="120"/>
      <c r="G462" s="52"/>
      <c r="H462" s="52"/>
      <c r="I462" s="52"/>
      <c r="J462" s="121">
        <f>IF(OR($A462="",NOT(ISNUMBER($F462))),"",IF($F462&lt;=0,"No deposit",IF(NOT(ISNUMBER($G462)),"Enter date received",IF(AND(ISNUMBER($H462),ISNUMBER($I462)),IF(MAX($H462,$I462)-$G462&lt;=29,"OK","LATE: protected / info served after day 30"),IF(TODAY()-$G462&gt;29,"OVERDUE: not protected / info not served","Protect + serve info by "&amp;TEXT($G462+29,"dd/mm/yyyy"))))))</f>
        <v/>
      </c>
      <c r="K462" s="97">
        <f>IF(OR(NOT(ISNUMBER($E462)),NOT(ISNUMBER($F462))),"",IF($F462&lt;=$E462*12/52*5,"OK","Over 5 weeks"))</f>
        <v/>
      </c>
      <c r="L462" s="52"/>
      <c r="M462" s="52"/>
      <c r="N462" s="122">
        <f>IF(OR($A462="",NOT(ISNUMBER($L462))),IF($A462="","","Not recorded"),IF(NOT(ISNUMBER($M462)),"Checked (no follow-up)",IF($M462&lt;TODAY(),"OVERDUE: follow-up check",IF($M462-TODAY()&lt;=60,"Follow-up due "&amp;TEXT($M462,"dd/mm/yyyy"),"Checked"))))</f>
        <v/>
      </c>
      <c r="O462" s="52"/>
      <c r="P462" s="52"/>
      <c r="Q462" s="122">
        <f>IF($A462="","",IF(NOT(ISNUMBER($D462)),"Enter start date",IF($D462&gt;=DATE(2026,5,1),IF(ISNUMBER($O462),"Complete","Missing: written terms"),IF(OR(ISNUMBER($P462),ISNUMBER($O462)),"Complete","Missing: Information Sheet (was due 31/05/2026)"))))</f>
        <v/>
      </c>
      <c r="R462" s="52"/>
      <c r="S462" s="82">
        <f>IF(ISNUMBER($R462),$R462+364,IF(ISNUMBER($D462),$D462+364,""))</f>
        <v/>
      </c>
      <c r="T462" s="52"/>
      <c r="U462" s="82">
        <f>IF(ISNUMBER($T462),IF(ISNUMBER($S462),MAX(EDATE($T462,2),$S462),EDATE($T462,2)),"")</f>
        <v/>
      </c>
      <c r="V462" s="52"/>
      <c r="W462" s="52"/>
      <c r="X462" s="121">
        <f>IF(NOT(ISNUMBER($V462)),"",IF(ISNUMBER($W462),IF($W462-$V462&lt;=28,"Answered in time","LATE: answered after day 28"),IF(TODAY()-$V462&gt;28,"OVERDUE: no reply yet","Reply due by "&amp;TEXT($V462+28,"dd/mm/yyyy"))))</f>
        <v/>
      </c>
      <c r="Y462" s="54"/>
    </row>
    <row r="463" spans="1:25">
      <c r="A463" s="54"/>
      <c r="B463" s="54"/>
      <c r="C463" s="51"/>
      <c r="D463" s="52"/>
      <c r="E463" s="120"/>
      <c r="F463" s="120"/>
      <c r="G463" s="52"/>
      <c r="H463" s="52"/>
      <c r="I463" s="52"/>
      <c r="J463" s="121">
        <f>IF(OR($A463="",NOT(ISNUMBER($F463))),"",IF($F463&lt;=0,"No deposit",IF(NOT(ISNUMBER($G463)),"Enter date received",IF(AND(ISNUMBER($H463),ISNUMBER($I463)),IF(MAX($H463,$I463)-$G463&lt;=29,"OK","LATE: protected / info served after day 30"),IF(TODAY()-$G463&gt;29,"OVERDUE: not protected / info not served","Protect + serve info by "&amp;TEXT($G463+29,"dd/mm/yyyy"))))))</f>
        <v/>
      </c>
      <c r="K463" s="97">
        <f>IF(OR(NOT(ISNUMBER($E463)),NOT(ISNUMBER($F463))),"",IF($F463&lt;=$E463*12/52*5,"OK","Over 5 weeks"))</f>
        <v/>
      </c>
      <c r="L463" s="52"/>
      <c r="M463" s="52"/>
      <c r="N463" s="122">
        <f>IF(OR($A463="",NOT(ISNUMBER($L463))),IF($A463="","","Not recorded"),IF(NOT(ISNUMBER($M463)),"Checked (no follow-up)",IF($M463&lt;TODAY(),"OVERDUE: follow-up check",IF($M463-TODAY()&lt;=60,"Follow-up due "&amp;TEXT($M463,"dd/mm/yyyy"),"Checked"))))</f>
        <v/>
      </c>
      <c r="O463" s="52"/>
      <c r="P463" s="52"/>
      <c r="Q463" s="122">
        <f>IF($A463="","",IF(NOT(ISNUMBER($D463)),"Enter start date",IF($D463&gt;=DATE(2026,5,1),IF(ISNUMBER($O463),"Complete","Missing: written terms"),IF(OR(ISNUMBER($P463),ISNUMBER($O463)),"Complete","Missing: Information Sheet (was due 31/05/2026)"))))</f>
        <v/>
      </c>
      <c r="R463" s="52"/>
      <c r="S463" s="82">
        <f>IF(ISNUMBER($R463),$R463+364,IF(ISNUMBER($D463),$D463+364,""))</f>
        <v/>
      </c>
      <c r="T463" s="52"/>
      <c r="U463" s="82">
        <f>IF(ISNUMBER($T463),IF(ISNUMBER($S463),MAX(EDATE($T463,2),$S463),EDATE($T463,2)),"")</f>
        <v/>
      </c>
      <c r="V463" s="52"/>
      <c r="W463" s="52"/>
      <c r="X463" s="121">
        <f>IF(NOT(ISNUMBER($V463)),"",IF(ISNUMBER($W463),IF($W463-$V463&lt;=28,"Answered in time","LATE: answered after day 28"),IF(TODAY()-$V463&gt;28,"OVERDUE: no reply yet","Reply due by "&amp;TEXT($V463+28,"dd/mm/yyyy"))))</f>
        <v/>
      </c>
      <c r="Y463" s="54"/>
    </row>
    <row r="464" spans="1:25">
      <c r="A464" s="54"/>
      <c r="B464" s="54"/>
      <c r="C464" s="51"/>
      <c r="D464" s="52"/>
      <c r="E464" s="120"/>
      <c r="F464" s="120"/>
      <c r="G464" s="52"/>
      <c r="H464" s="52"/>
      <c r="I464" s="52"/>
      <c r="J464" s="121">
        <f>IF(OR($A464="",NOT(ISNUMBER($F464))),"",IF($F464&lt;=0,"No deposit",IF(NOT(ISNUMBER($G464)),"Enter date received",IF(AND(ISNUMBER($H464),ISNUMBER($I464)),IF(MAX($H464,$I464)-$G464&lt;=29,"OK","LATE: protected / info served after day 30"),IF(TODAY()-$G464&gt;29,"OVERDUE: not protected / info not served","Protect + serve info by "&amp;TEXT($G464+29,"dd/mm/yyyy"))))))</f>
        <v/>
      </c>
      <c r="K464" s="97">
        <f>IF(OR(NOT(ISNUMBER($E464)),NOT(ISNUMBER($F464))),"",IF($F464&lt;=$E464*12/52*5,"OK","Over 5 weeks"))</f>
        <v/>
      </c>
      <c r="L464" s="52"/>
      <c r="M464" s="52"/>
      <c r="N464" s="122">
        <f>IF(OR($A464="",NOT(ISNUMBER($L464))),IF($A464="","","Not recorded"),IF(NOT(ISNUMBER($M464)),"Checked (no follow-up)",IF($M464&lt;TODAY(),"OVERDUE: follow-up check",IF($M464-TODAY()&lt;=60,"Follow-up due "&amp;TEXT($M464,"dd/mm/yyyy"),"Checked"))))</f>
        <v/>
      </c>
      <c r="O464" s="52"/>
      <c r="P464" s="52"/>
      <c r="Q464" s="122">
        <f>IF($A464="","",IF(NOT(ISNUMBER($D464)),"Enter start date",IF($D464&gt;=DATE(2026,5,1),IF(ISNUMBER($O464),"Complete","Missing: written terms"),IF(OR(ISNUMBER($P464),ISNUMBER($O464)),"Complete","Missing: Information Sheet (was due 31/05/2026)"))))</f>
        <v/>
      </c>
      <c r="R464" s="52"/>
      <c r="S464" s="82">
        <f>IF(ISNUMBER($R464),$R464+364,IF(ISNUMBER($D464),$D464+364,""))</f>
        <v/>
      </c>
      <c r="T464" s="52"/>
      <c r="U464" s="82">
        <f>IF(ISNUMBER($T464),IF(ISNUMBER($S464),MAX(EDATE($T464,2),$S464),EDATE($T464,2)),"")</f>
        <v/>
      </c>
      <c r="V464" s="52"/>
      <c r="W464" s="52"/>
      <c r="X464" s="121">
        <f>IF(NOT(ISNUMBER($V464)),"",IF(ISNUMBER($W464),IF($W464-$V464&lt;=28,"Answered in time","LATE: answered after day 28"),IF(TODAY()-$V464&gt;28,"OVERDUE: no reply yet","Reply due by "&amp;TEXT($V464+28,"dd/mm/yyyy"))))</f>
        <v/>
      </c>
      <c r="Y464" s="54"/>
    </row>
    <row r="465" spans="1:25">
      <c r="A465" s="54"/>
      <c r="B465" s="54"/>
      <c r="C465" s="51"/>
      <c r="D465" s="52"/>
      <c r="E465" s="120"/>
      <c r="F465" s="120"/>
      <c r="G465" s="52"/>
      <c r="H465" s="52"/>
      <c r="I465" s="52"/>
      <c r="J465" s="121">
        <f>IF(OR($A465="",NOT(ISNUMBER($F465))),"",IF($F465&lt;=0,"No deposit",IF(NOT(ISNUMBER($G465)),"Enter date received",IF(AND(ISNUMBER($H465),ISNUMBER($I465)),IF(MAX($H465,$I465)-$G465&lt;=29,"OK","LATE: protected / info served after day 30"),IF(TODAY()-$G465&gt;29,"OVERDUE: not protected / info not served","Protect + serve info by "&amp;TEXT($G465+29,"dd/mm/yyyy"))))))</f>
        <v/>
      </c>
      <c r="K465" s="97">
        <f>IF(OR(NOT(ISNUMBER($E465)),NOT(ISNUMBER($F465))),"",IF($F465&lt;=$E465*12/52*5,"OK","Over 5 weeks"))</f>
        <v/>
      </c>
      <c r="L465" s="52"/>
      <c r="M465" s="52"/>
      <c r="N465" s="122">
        <f>IF(OR($A465="",NOT(ISNUMBER($L465))),IF($A465="","","Not recorded"),IF(NOT(ISNUMBER($M465)),"Checked (no follow-up)",IF($M465&lt;TODAY(),"OVERDUE: follow-up check",IF($M465-TODAY()&lt;=60,"Follow-up due "&amp;TEXT($M465,"dd/mm/yyyy"),"Checked"))))</f>
        <v/>
      </c>
      <c r="O465" s="52"/>
      <c r="P465" s="52"/>
      <c r="Q465" s="122">
        <f>IF($A465="","",IF(NOT(ISNUMBER($D465)),"Enter start date",IF($D465&gt;=DATE(2026,5,1),IF(ISNUMBER($O465),"Complete","Missing: written terms"),IF(OR(ISNUMBER($P465),ISNUMBER($O465)),"Complete","Missing: Information Sheet (was due 31/05/2026)"))))</f>
        <v/>
      </c>
      <c r="R465" s="52"/>
      <c r="S465" s="82">
        <f>IF(ISNUMBER($R465),$R465+364,IF(ISNUMBER($D465),$D465+364,""))</f>
        <v/>
      </c>
      <c r="T465" s="52"/>
      <c r="U465" s="82">
        <f>IF(ISNUMBER($T465),IF(ISNUMBER($S465),MAX(EDATE($T465,2),$S465),EDATE($T465,2)),"")</f>
        <v/>
      </c>
      <c r="V465" s="52"/>
      <c r="W465" s="52"/>
      <c r="X465" s="121">
        <f>IF(NOT(ISNUMBER($V465)),"",IF(ISNUMBER($W465),IF($W465-$V465&lt;=28,"Answered in time","LATE: answered after day 28"),IF(TODAY()-$V465&gt;28,"OVERDUE: no reply yet","Reply due by "&amp;TEXT($V465+28,"dd/mm/yyyy"))))</f>
        <v/>
      </c>
      <c r="Y465" s="54"/>
    </row>
    <row r="466" spans="1:25">
      <c r="A466" s="54"/>
      <c r="B466" s="54"/>
      <c r="C466" s="51"/>
      <c r="D466" s="52"/>
      <c r="E466" s="120"/>
      <c r="F466" s="120"/>
      <c r="G466" s="52"/>
      <c r="H466" s="52"/>
      <c r="I466" s="52"/>
      <c r="J466" s="121">
        <f>IF(OR($A466="",NOT(ISNUMBER($F466))),"",IF($F466&lt;=0,"No deposit",IF(NOT(ISNUMBER($G466)),"Enter date received",IF(AND(ISNUMBER($H466),ISNUMBER($I466)),IF(MAX($H466,$I466)-$G466&lt;=29,"OK","LATE: protected / info served after day 30"),IF(TODAY()-$G466&gt;29,"OVERDUE: not protected / info not served","Protect + serve info by "&amp;TEXT($G466+29,"dd/mm/yyyy"))))))</f>
        <v/>
      </c>
      <c r="K466" s="97">
        <f>IF(OR(NOT(ISNUMBER($E466)),NOT(ISNUMBER($F466))),"",IF($F466&lt;=$E466*12/52*5,"OK","Over 5 weeks"))</f>
        <v/>
      </c>
      <c r="L466" s="52"/>
      <c r="M466" s="52"/>
      <c r="N466" s="122">
        <f>IF(OR($A466="",NOT(ISNUMBER($L466))),IF($A466="","","Not recorded"),IF(NOT(ISNUMBER($M466)),"Checked (no follow-up)",IF($M466&lt;TODAY(),"OVERDUE: follow-up check",IF($M466-TODAY()&lt;=60,"Follow-up due "&amp;TEXT($M466,"dd/mm/yyyy"),"Checked"))))</f>
        <v/>
      </c>
      <c r="O466" s="52"/>
      <c r="P466" s="52"/>
      <c r="Q466" s="122">
        <f>IF($A466="","",IF(NOT(ISNUMBER($D466)),"Enter start date",IF($D466&gt;=DATE(2026,5,1),IF(ISNUMBER($O466),"Complete","Missing: written terms"),IF(OR(ISNUMBER($P466),ISNUMBER($O466)),"Complete","Missing: Information Sheet (was due 31/05/2026)"))))</f>
        <v/>
      </c>
      <c r="R466" s="52"/>
      <c r="S466" s="82">
        <f>IF(ISNUMBER($R466),$R466+364,IF(ISNUMBER($D466),$D466+364,""))</f>
        <v/>
      </c>
      <c r="T466" s="52"/>
      <c r="U466" s="82">
        <f>IF(ISNUMBER($T466),IF(ISNUMBER($S466),MAX(EDATE($T466,2),$S466),EDATE($T466,2)),"")</f>
        <v/>
      </c>
      <c r="V466" s="52"/>
      <c r="W466" s="52"/>
      <c r="X466" s="121">
        <f>IF(NOT(ISNUMBER($V466)),"",IF(ISNUMBER($W466),IF($W466-$V466&lt;=28,"Answered in time","LATE: answered after day 28"),IF(TODAY()-$V466&gt;28,"OVERDUE: no reply yet","Reply due by "&amp;TEXT($V466+28,"dd/mm/yyyy"))))</f>
        <v/>
      </c>
      <c r="Y466" s="54"/>
    </row>
    <row r="467" spans="1:25">
      <c r="A467" s="54"/>
      <c r="B467" s="54"/>
      <c r="C467" s="51"/>
      <c r="D467" s="52"/>
      <c r="E467" s="120"/>
      <c r="F467" s="120"/>
      <c r="G467" s="52"/>
      <c r="H467" s="52"/>
      <c r="I467" s="52"/>
      <c r="J467" s="121">
        <f>IF(OR($A467="",NOT(ISNUMBER($F467))),"",IF($F467&lt;=0,"No deposit",IF(NOT(ISNUMBER($G467)),"Enter date received",IF(AND(ISNUMBER($H467),ISNUMBER($I467)),IF(MAX($H467,$I467)-$G467&lt;=29,"OK","LATE: protected / info served after day 30"),IF(TODAY()-$G467&gt;29,"OVERDUE: not protected / info not served","Protect + serve info by "&amp;TEXT($G467+29,"dd/mm/yyyy"))))))</f>
        <v/>
      </c>
      <c r="K467" s="97">
        <f>IF(OR(NOT(ISNUMBER($E467)),NOT(ISNUMBER($F467))),"",IF($F467&lt;=$E467*12/52*5,"OK","Over 5 weeks"))</f>
        <v/>
      </c>
      <c r="L467" s="52"/>
      <c r="M467" s="52"/>
      <c r="N467" s="122">
        <f>IF(OR($A467="",NOT(ISNUMBER($L467))),IF($A467="","","Not recorded"),IF(NOT(ISNUMBER($M467)),"Checked (no follow-up)",IF($M467&lt;TODAY(),"OVERDUE: follow-up check",IF($M467-TODAY()&lt;=60,"Follow-up due "&amp;TEXT($M467,"dd/mm/yyyy"),"Checked"))))</f>
        <v/>
      </c>
      <c r="O467" s="52"/>
      <c r="P467" s="52"/>
      <c r="Q467" s="122">
        <f>IF($A467="","",IF(NOT(ISNUMBER($D467)),"Enter start date",IF($D467&gt;=DATE(2026,5,1),IF(ISNUMBER($O467),"Complete","Missing: written terms"),IF(OR(ISNUMBER($P467),ISNUMBER($O467)),"Complete","Missing: Information Sheet (was due 31/05/2026)"))))</f>
        <v/>
      </c>
      <c r="R467" s="52"/>
      <c r="S467" s="82">
        <f>IF(ISNUMBER($R467),$R467+364,IF(ISNUMBER($D467),$D467+364,""))</f>
        <v/>
      </c>
      <c r="T467" s="52"/>
      <c r="U467" s="82">
        <f>IF(ISNUMBER($T467),IF(ISNUMBER($S467),MAX(EDATE($T467,2),$S467),EDATE($T467,2)),"")</f>
        <v/>
      </c>
      <c r="V467" s="52"/>
      <c r="W467" s="52"/>
      <c r="X467" s="121">
        <f>IF(NOT(ISNUMBER($V467)),"",IF(ISNUMBER($W467),IF($W467-$V467&lt;=28,"Answered in time","LATE: answered after day 28"),IF(TODAY()-$V467&gt;28,"OVERDUE: no reply yet","Reply due by "&amp;TEXT($V467+28,"dd/mm/yyyy"))))</f>
        <v/>
      </c>
      <c r="Y467" s="54"/>
    </row>
    <row r="468" spans="1:25">
      <c r="A468" s="54"/>
      <c r="B468" s="54"/>
      <c r="C468" s="51"/>
      <c r="D468" s="52"/>
      <c r="E468" s="120"/>
      <c r="F468" s="120"/>
      <c r="G468" s="52"/>
      <c r="H468" s="52"/>
      <c r="I468" s="52"/>
      <c r="J468" s="121">
        <f>IF(OR($A468="",NOT(ISNUMBER($F468))),"",IF($F468&lt;=0,"No deposit",IF(NOT(ISNUMBER($G468)),"Enter date received",IF(AND(ISNUMBER($H468),ISNUMBER($I468)),IF(MAX($H468,$I468)-$G468&lt;=29,"OK","LATE: protected / info served after day 30"),IF(TODAY()-$G468&gt;29,"OVERDUE: not protected / info not served","Protect + serve info by "&amp;TEXT($G468+29,"dd/mm/yyyy"))))))</f>
        <v/>
      </c>
      <c r="K468" s="97">
        <f>IF(OR(NOT(ISNUMBER($E468)),NOT(ISNUMBER($F468))),"",IF($F468&lt;=$E468*12/52*5,"OK","Over 5 weeks"))</f>
        <v/>
      </c>
      <c r="L468" s="52"/>
      <c r="M468" s="52"/>
      <c r="N468" s="122">
        <f>IF(OR($A468="",NOT(ISNUMBER($L468))),IF($A468="","","Not recorded"),IF(NOT(ISNUMBER($M468)),"Checked (no follow-up)",IF($M468&lt;TODAY(),"OVERDUE: follow-up check",IF($M468-TODAY()&lt;=60,"Follow-up due "&amp;TEXT($M468,"dd/mm/yyyy"),"Checked"))))</f>
        <v/>
      </c>
      <c r="O468" s="52"/>
      <c r="P468" s="52"/>
      <c r="Q468" s="122">
        <f>IF($A468="","",IF(NOT(ISNUMBER($D468)),"Enter start date",IF($D468&gt;=DATE(2026,5,1),IF(ISNUMBER($O468),"Complete","Missing: written terms"),IF(OR(ISNUMBER($P468),ISNUMBER($O468)),"Complete","Missing: Information Sheet (was due 31/05/2026)"))))</f>
        <v/>
      </c>
      <c r="R468" s="52"/>
      <c r="S468" s="82">
        <f>IF(ISNUMBER($R468),$R468+364,IF(ISNUMBER($D468),$D468+364,""))</f>
        <v/>
      </c>
      <c r="T468" s="52"/>
      <c r="U468" s="82">
        <f>IF(ISNUMBER($T468),IF(ISNUMBER($S468),MAX(EDATE($T468,2),$S468),EDATE($T468,2)),"")</f>
        <v/>
      </c>
      <c r="V468" s="52"/>
      <c r="W468" s="52"/>
      <c r="X468" s="121">
        <f>IF(NOT(ISNUMBER($V468)),"",IF(ISNUMBER($W468),IF($W468-$V468&lt;=28,"Answered in time","LATE: answered after day 28"),IF(TODAY()-$V468&gt;28,"OVERDUE: no reply yet","Reply due by "&amp;TEXT($V468+28,"dd/mm/yyyy"))))</f>
        <v/>
      </c>
      <c r="Y468" s="54"/>
    </row>
    <row r="469" spans="1:25">
      <c r="A469" s="54"/>
      <c r="B469" s="54"/>
      <c r="C469" s="51"/>
      <c r="D469" s="52"/>
      <c r="E469" s="120"/>
      <c r="F469" s="120"/>
      <c r="G469" s="52"/>
      <c r="H469" s="52"/>
      <c r="I469" s="52"/>
      <c r="J469" s="121">
        <f>IF(OR($A469="",NOT(ISNUMBER($F469))),"",IF($F469&lt;=0,"No deposit",IF(NOT(ISNUMBER($G469)),"Enter date received",IF(AND(ISNUMBER($H469),ISNUMBER($I469)),IF(MAX($H469,$I469)-$G469&lt;=29,"OK","LATE: protected / info served after day 30"),IF(TODAY()-$G469&gt;29,"OVERDUE: not protected / info not served","Protect + serve info by "&amp;TEXT($G469+29,"dd/mm/yyyy"))))))</f>
        <v/>
      </c>
      <c r="K469" s="97">
        <f>IF(OR(NOT(ISNUMBER($E469)),NOT(ISNUMBER($F469))),"",IF($F469&lt;=$E469*12/52*5,"OK","Over 5 weeks"))</f>
        <v/>
      </c>
      <c r="L469" s="52"/>
      <c r="M469" s="52"/>
      <c r="N469" s="122">
        <f>IF(OR($A469="",NOT(ISNUMBER($L469))),IF($A469="","","Not recorded"),IF(NOT(ISNUMBER($M469)),"Checked (no follow-up)",IF($M469&lt;TODAY(),"OVERDUE: follow-up check",IF($M469-TODAY()&lt;=60,"Follow-up due "&amp;TEXT($M469,"dd/mm/yyyy"),"Checked"))))</f>
        <v/>
      </c>
      <c r="O469" s="52"/>
      <c r="P469" s="52"/>
      <c r="Q469" s="122">
        <f>IF($A469="","",IF(NOT(ISNUMBER($D469)),"Enter start date",IF($D469&gt;=DATE(2026,5,1),IF(ISNUMBER($O469),"Complete","Missing: written terms"),IF(OR(ISNUMBER($P469),ISNUMBER($O469)),"Complete","Missing: Information Sheet (was due 31/05/2026)"))))</f>
        <v/>
      </c>
      <c r="R469" s="52"/>
      <c r="S469" s="82">
        <f>IF(ISNUMBER($R469),$R469+364,IF(ISNUMBER($D469),$D469+364,""))</f>
        <v/>
      </c>
      <c r="T469" s="52"/>
      <c r="U469" s="82">
        <f>IF(ISNUMBER($T469),IF(ISNUMBER($S469),MAX(EDATE($T469,2),$S469),EDATE($T469,2)),"")</f>
        <v/>
      </c>
      <c r="V469" s="52"/>
      <c r="W469" s="52"/>
      <c r="X469" s="121">
        <f>IF(NOT(ISNUMBER($V469)),"",IF(ISNUMBER($W469),IF($W469-$V469&lt;=28,"Answered in time","LATE: answered after day 28"),IF(TODAY()-$V469&gt;28,"OVERDUE: no reply yet","Reply due by "&amp;TEXT($V469+28,"dd/mm/yyyy"))))</f>
        <v/>
      </c>
      <c r="Y469" s="54"/>
    </row>
    <row r="470" spans="1:25">
      <c r="A470" s="54"/>
      <c r="B470" s="54"/>
      <c r="C470" s="51"/>
      <c r="D470" s="52"/>
      <c r="E470" s="120"/>
      <c r="F470" s="120"/>
      <c r="G470" s="52"/>
      <c r="H470" s="52"/>
      <c r="I470" s="52"/>
      <c r="J470" s="121">
        <f>IF(OR($A470="",NOT(ISNUMBER($F470))),"",IF($F470&lt;=0,"No deposit",IF(NOT(ISNUMBER($G470)),"Enter date received",IF(AND(ISNUMBER($H470),ISNUMBER($I470)),IF(MAX($H470,$I470)-$G470&lt;=29,"OK","LATE: protected / info served after day 30"),IF(TODAY()-$G470&gt;29,"OVERDUE: not protected / info not served","Protect + serve info by "&amp;TEXT($G470+29,"dd/mm/yyyy"))))))</f>
        <v/>
      </c>
      <c r="K470" s="97">
        <f>IF(OR(NOT(ISNUMBER($E470)),NOT(ISNUMBER($F470))),"",IF($F470&lt;=$E470*12/52*5,"OK","Over 5 weeks"))</f>
        <v/>
      </c>
      <c r="L470" s="52"/>
      <c r="M470" s="52"/>
      <c r="N470" s="122">
        <f>IF(OR($A470="",NOT(ISNUMBER($L470))),IF($A470="","","Not recorded"),IF(NOT(ISNUMBER($M470)),"Checked (no follow-up)",IF($M470&lt;TODAY(),"OVERDUE: follow-up check",IF($M470-TODAY()&lt;=60,"Follow-up due "&amp;TEXT($M470,"dd/mm/yyyy"),"Checked"))))</f>
        <v/>
      </c>
      <c r="O470" s="52"/>
      <c r="P470" s="52"/>
      <c r="Q470" s="122">
        <f>IF($A470="","",IF(NOT(ISNUMBER($D470)),"Enter start date",IF($D470&gt;=DATE(2026,5,1),IF(ISNUMBER($O470),"Complete","Missing: written terms"),IF(OR(ISNUMBER($P470),ISNUMBER($O470)),"Complete","Missing: Information Sheet (was due 31/05/2026)"))))</f>
        <v/>
      </c>
      <c r="R470" s="52"/>
      <c r="S470" s="82">
        <f>IF(ISNUMBER($R470),$R470+364,IF(ISNUMBER($D470),$D470+364,""))</f>
        <v/>
      </c>
      <c r="T470" s="52"/>
      <c r="U470" s="82">
        <f>IF(ISNUMBER($T470),IF(ISNUMBER($S470),MAX(EDATE($T470,2),$S470),EDATE($T470,2)),"")</f>
        <v/>
      </c>
      <c r="V470" s="52"/>
      <c r="W470" s="52"/>
      <c r="X470" s="121">
        <f>IF(NOT(ISNUMBER($V470)),"",IF(ISNUMBER($W470),IF($W470-$V470&lt;=28,"Answered in time","LATE: answered after day 28"),IF(TODAY()-$V470&gt;28,"OVERDUE: no reply yet","Reply due by "&amp;TEXT($V470+28,"dd/mm/yyyy"))))</f>
        <v/>
      </c>
      <c r="Y470" s="54"/>
    </row>
    <row r="471" spans="1:25">
      <c r="A471" s="54"/>
      <c r="B471" s="54"/>
      <c r="C471" s="51"/>
      <c r="D471" s="52"/>
      <c r="E471" s="120"/>
      <c r="F471" s="120"/>
      <c r="G471" s="52"/>
      <c r="H471" s="52"/>
      <c r="I471" s="52"/>
      <c r="J471" s="121">
        <f>IF(OR($A471="",NOT(ISNUMBER($F471))),"",IF($F471&lt;=0,"No deposit",IF(NOT(ISNUMBER($G471)),"Enter date received",IF(AND(ISNUMBER($H471),ISNUMBER($I471)),IF(MAX($H471,$I471)-$G471&lt;=29,"OK","LATE: protected / info served after day 30"),IF(TODAY()-$G471&gt;29,"OVERDUE: not protected / info not served","Protect + serve info by "&amp;TEXT($G471+29,"dd/mm/yyyy"))))))</f>
        <v/>
      </c>
      <c r="K471" s="97">
        <f>IF(OR(NOT(ISNUMBER($E471)),NOT(ISNUMBER($F471))),"",IF($F471&lt;=$E471*12/52*5,"OK","Over 5 weeks"))</f>
        <v/>
      </c>
      <c r="L471" s="52"/>
      <c r="M471" s="52"/>
      <c r="N471" s="122">
        <f>IF(OR($A471="",NOT(ISNUMBER($L471))),IF($A471="","","Not recorded"),IF(NOT(ISNUMBER($M471)),"Checked (no follow-up)",IF($M471&lt;TODAY(),"OVERDUE: follow-up check",IF($M471-TODAY()&lt;=60,"Follow-up due "&amp;TEXT($M471,"dd/mm/yyyy"),"Checked"))))</f>
        <v/>
      </c>
      <c r="O471" s="52"/>
      <c r="P471" s="52"/>
      <c r="Q471" s="122">
        <f>IF($A471="","",IF(NOT(ISNUMBER($D471)),"Enter start date",IF($D471&gt;=DATE(2026,5,1),IF(ISNUMBER($O471),"Complete","Missing: written terms"),IF(OR(ISNUMBER($P471),ISNUMBER($O471)),"Complete","Missing: Information Sheet (was due 31/05/2026)"))))</f>
        <v/>
      </c>
      <c r="R471" s="52"/>
      <c r="S471" s="82">
        <f>IF(ISNUMBER($R471),$R471+364,IF(ISNUMBER($D471),$D471+364,""))</f>
        <v/>
      </c>
      <c r="T471" s="52"/>
      <c r="U471" s="82">
        <f>IF(ISNUMBER($T471),IF(ISNUMBER($S471),MAX(EDATE($T471,2),$S471),EDATE($T471,2)),"")</f>
        <v/>
      </c>
      <c r="V471" s="52"/>
      <c r="W471" s="52"/>
      <c r="X471" s="121">
        <f>IF(NOT(ISNUMBER($V471)),"",IF(ISNUMBER($W471),IF($W471-$V471&lt;=28,"Answered in time","LATE: answered after day 28"),IF(TODAY()-$V471&gt;28,"OVERDUE: no reply yet","Reply due by "&amp;TEXT($V471+28,"dd/mm/yyyy"))))</f>
        <v/>
      </c>
      <c r="Y471" s="54"/>
    </row>
    <row r="472" spans="1:25">
      <c r="A472" s="54"/>
      <c r="B472" s="54"/>
      <c r="C472" s="51"/>
      <c r="D472" s="52"/>
      <c r="E472" s="120"/>
      <c r="F472" s="120"/>
      <c r="G472" s="52"/>
      <c r="H472" s="52"/>
      <c r="I472" s="52"/>
      <c r="J472" s="121">
        <f>IF(OR($A472="",NOT(ISNUMBER($F472))),"",IF($F472&lt;=0,"No deposit",IF(NOT(ISNUMBER($G472)),"Enter date received",IF(AND(ISNUMBER($H472),ISNUMBER($I472)),IF(MAX($H472,$I472)-$G472&lt;=29,"OK","LATE: protected / info served after day 30"),IF(TODAY()-$G472&gt;29,"OVERDUE: not protected / info not served","Protect + serve info by "&amp;TEXT($G472+29,"dd/mm/yyyy"))))))</f>
        <v/>
      </c>
      <c r="K472" s="97">
        <f>IF(OR(NOT(ISNUMBER($E472)),NOT(ISNUMBER($F472))),"",IF($F472&lt;=$E472*12/52*5,"OK","Over 5 weeks"))</f>
        <v/>
      </c>
      <c r="L472" s="52"/>
      <c r="M472" s="52"/>
      <c r="N472" s="122">
        <f>IF(OR($A472="",NOT(ISNUMBER($L472))),IF($A472="","","Not recorded"),IF(NOT(ISNUMBER($M472)),"Checked (no follow-up)",IF($M472&lt;TODAY(),"OVERDUE: follow-up check",IF($M472-TODAY()&lt;=60,"Follow-up due "&amp;TEXT($M472,"dd/mm/yyyy"),"Checked"))))</f>
        <v/>
      </c>
      <c r="O472" s="52"/>
      <c r="P472" s="52"/>
      <c r="Q472" s="122">
        <f>IF($A472="","",IF(NOT(ISNUMBER($D472)),"Enter start date",IF($D472&gt;=DATE(2026,5,1),IF(ISNUMBER($O472),"Complete","Missing: written terms"),IF(OR(ISNUMBER($P472),ISNUMBER($O472)),"Complete","Missing: Information Sheet (was due 31/05/2026)"))))</f>
        <v/>
      </c>
      <c r="R472" s="52"/>
      <c r="S472" s="82">
        <f>IF(ISNUMBER($R472),$R472+364,IF(ISNUMBER($D472),$D472+364,""))</f>
        <v/>
      </c>
      <c r="T472" s="52"/>
      <c r="U472" s="82">
        <f>IF(ISNUMBER($T472),IF(ISNUMBER($S472),MAX(EDATE($T472,2),$S472),EDATE($T472,2)),"")</f>
        <v/>
      </c>
      <c r="V472" s="52"/>
      <c r="W472" s="52"/>
      <c r="X472" s="121">
        <f>IF(NOT(ISNUMBER($V472)),"",IF(ISNUMBER($W472),IF($W472-$V472&lt;=28,"Answered in time","LATE: answered after day 28"),IF(TODAY()-$V472&gt;28,"OVERDUE: no reply yet","Reply due by "&amp;TEXT($V472+28,"dd/mm/yyyy"))))</f>
        <v/>
      </c>
      <c r="Y472" s="54"/>
    </row>
    <row r="473" spans="1:25">
      <c r="A473" s="54"/>
      <c r="B473" s="54"/>
      <c r="C473" s="51"/>
      <c r="D473" s="52"/>
      <c r="E473" s="120"/>
      <c r="F473" s="120"/>
      <c r="G473" s="52"/>
      <c r="H473" s="52"/>
      <c r="I473" s="52"/>
      <c r="J473" s="121">
        <f>IF(OR($A473="",NOT(ISNUMBER($F473))),"",IF($F473&lt;=0,"No deposit",IF(NOT(ISNUMBER($G473)),"Enter date received",IF(AND(ISNUMBER($H473),ISNUMBER($I473)),IF(MAX($H473,$I473)-$G473&lt;=29,"OK","LATE: protected / info served after day 30"),IF(TODAY()-$G473&gt;29,"OVERDUE: not protected / info not served","Protect + serve info by "&amp;TEXT($G473+29,"dd/mm/yyyy"))))))</f>
        <v/>
      </c>
      <c r="K473" s="97">
        <f>IF(OR(NOT(ISNUMBER($E473)),NOT(ISNUMBER($F473))),"",IF($F473&lt;=$E473*12/52*5,"OK","Over 5 weeks"))</f>
        <v/>
      </c>
      <c r="L473" s="52"/>
      <c r="M473" s="52"/>
      <c r="N473" s="122">
        <f>IF(OR($A473="",NOT(ISNUMBER($L473))),IF($A473="","","Not recorded"),IF(NOT(ISNUMBER($M473)),"Checked (no follow-up)",IF($M473&lt;TODAY(),"OVERDUE: follow-up check",IF($M473-TODAY()&lt;=60,"Follow-up due "&amp;TEXT($M473,"dd/mm/yyyy"),"Checked"))))</f>
        <v/>
      </c>
      <c r="O473" s="52"/>
      <c r="P473" s="52"/>
      <c r="Q473" s="122">
        <f>IF($A473="","",IF(NOT(ISNUMBER($D473)),"Enter start date",IF($D473&gt;=DATE(2026,5,1),IF(ISNUMBER($O473),"Complete","Missing: written terms"),IF(OR(ISNUMBER($P473),ISNUMBER($O473)),"Complete","Missing: Information Sheet (was due 31/05/2026)"))))</f>
        <v/>
      </c>
      <c r="R473" s="52"/>
      <c r="S473" s="82">
        <f>IF(ISNUMBER($R473),$R473+364,IF(ISNUMBER($D473),$D473+364,""))</f>
        <v/>
      </c>
      <c r="T473" s="52"/>
      <c r="U473" s="82">
        <f>IF(ISNUMBER($T473),IF(ISNUMBER($S473),MAX(EDATE($T473,2),$S473),EDATE($T473,2)),"")</f>
        <v/>
      </c>
      <c r="V473" s="52"/>
      <c r="W473" s="52"/>
      <c r="X473" s="121">
        <f>IF(NOT(ISNUMBER($V473)),"",IF(ISNUMBER($W473),IF($W473-$V473&lt;=28,"Answered in time","LATE: answered after day 28"),IF(TODAY()-$V473&gt;28,"OVERDUE: no reply yet","Reply due by "&amp;TEXT($V473+28,"dd/mm/yyyy"))))</f>
        <v/>
      </c>
      <c r="Y473" s="54"/>
    </row>
    <row r="474" spans="1:25">
      <c r="A474" s="54"/>
      <c r="B474" s="54"/>
      <c r="C474" s="51"/>
      <c r="D474" s="52"/>
      <c r="E474" s="120"/>
      <c r="F474" s="120"/>
      <c r="G474" s="52"/>
      <c r="H474" s="52"/>
      <c r="I474" s="52"/>
      <c r="J474" s="121">
        <f>IF(OR($A474="",NOT(ISNUMBER($F474))),"",IF($F474&lt;=0,"No deposit",IF(NOT(ISNUMBER($G474)),"Enter date received",IF(AND(ISNUMBER($H474),ISNUMBER($I474)),IF(MAX($H474,$I474)-$G474&lt;=29,"OK","LATE: protected / info served after day 30"),IF(TODAY()-$G474&gt;29,"OVERDUE: not protected / info not served","Protect + serve info by "&amp;TEXT($G474+29,"dd/mm/yyyy"))))))</f>
        <v/>
      </c>
      <c r="K474" s="97">
        <f>IF(OR(NOT(ISNUMBER($E474)),NOT(ISNUMBER($F474))),"",IF($F474&lt;=$E474*12/52*5,"OK","Over 5 weeks"))</f>
        <v/>
      </c>
      <c r="L474" s="52"/>
      <c r="M474" s="52"/>
      <c r="N474" s="122">
        <f>IF(OR($A474="",NOT(ISNUMBER($L474))),IF($A474="","","Not recorded"),IF(NOT(ISNUMBER($M474)),"Checked (no follow-up)",IF($M474&lt;TODAY(),"OVERDUE: follow-up check",IF($M474-TODAY()&lt;=60,"Follow-up due "&amp;TEXT($M474,"dd/mm/yyyy"),"Checked"))))</f>
        <v/>
      </c>
      <c r="O474" s="52"/>
      <c r="P474" s="52"/>
      <c r="Q474" s="122">
        <f>IF($A474="","",IF(NOT(ISNUMBER($D474)),"Enter start date",IF($D474&gt;=DATE(2026,5,1),IF(ISNUMBER($O474),"Complete","Missing: written terms"),IF(OR(ISNUMBER($P474),ISNUMBER($O474)),"Complete","Missing: Information Sheet (was due 31/05/2026)"))))</f>
        <v/>
      </c>
      <c r="R474" s="52"/>
      <c r="S474" s="82">
        <f>IF(ISNUMBER($R474),$R474+364,IF(ISNUMBER($D474),$D474+364,""))</f>
        <v/>
      </c>
      <c r="T474" s="52"/>
      <c r="U474" s="82">
        <f>IF(ISNUMBER($T474),IF(ISNUMBER($S474),MAX(EDATE($T474,2),$S474),EDATE($T474,2)),"")</f>
        <v/>
      </c>
      <c r="V474" s="52"/>
      <c r="W474" s="52"/>
      <c r="X474" s="121">
        <f>IF(NOT(ISNUMBER($V474)),"",IF(ISNUMBER($W474),IF($W474-$V474&lt;=28,"Answered in time","LATE: answered after day 28"),IF(TODAY()-$V474&gt;28,"OVERDUE: no reply yet","Reply due by "&amp;TEXT($V474+28,"dd/mm/yyyy"))))</f>
        <v/>
      </c>
      <c r="Y474" s="54"/>
    </row>
    <row r="475" spans="1:25">
      <c r="A475" s="54"/>
      <c r="B475" s="54"/>
      <c r="C475" s="51"/>
      <c r="D475" s="52"/>
      <c r="E475" s="120"/>
      <c r="F475" s="120"/>
      <c r="G475" s="52"/>
      <c r="H475" s="52"/>
      <c r="I475" s="52"/>
      <c r="J475" s="121">
        <f>IF(OR($A475="",NOT(ISNUMBER($F475))),"",IF($F475&lt;=0,"No deposit",IF(NOT(ISNUMBER($G475)),"Enter date received",IF(AND(ISNUMBER($H475),ISNUMBER($I475)),IF(MAX($H475,$I475)-$G475&lt;=29,"OK","LATE: protected / info served after day 30"),IF(TODAY()-$G475&gt;29,"OVERDUE: not protected / info not served","Protect + serve info by "&amp;TEXT($G475+29,"dd/mm/yyyy"))))))</f>
        <v/>
      </c>
      <c r="K475" s="97">
        <f>IF(OR(NOT(ISNUMBER($E475)),NOT(ISNUMBER($F475))),"",IF($F475&lt;=$E475*12/52*5,"OK","Over 5 weeks"))</f>
        <v/>
      </c>
      <c r="L475" s="52"/>
      <c r="M475" s="52"/>
      <c r="N475" s="122">
        <f>IF(OR($A475="",NOT(ISNUMBER($L475))),IF($A475="","","Not recorded"),IF(NOT(ISNUMBER($M475)),"Checked (no follow-up)",IF($M475&lt;TODAY(),"OVERDUE: follow-up check",IF($M475-TODAY()&lt;=60,"Follow-up due "&amp;TEXT($M475,"dd/mm/yyyy"),"Checked"))))</f>
        <v/>
      </c>
      <c r="O475" s="52"/>
      <c r="P475" s="52"/>
      <c r="Q475" s="122">
        <f>IF($A475="","",IF(NOT(ISNUMBER($D475)),"Enter start date",IF($D475&gt;=DATE(2026,5,1),IF(ISNUMBER($O475),"Complete","Missing: written terms"),IF(OR(ISNUMBER($P475),ISNUMBER($O475)),"Complete","Missing: Information Sheet (was due 31/05/2026)"))))</f>
        <v/>
      </c>
      <c r="R475" s="52"/>
      <c r="S475" s="82">
        <f>IF(ISNUMBER($R475),$R475+364,IF(ISNUMBER($D475),$D475+364,""))</f>
        <v/>
      </c>
      <c r="T475" s="52"/>
      <c r="U475" s="82">
        <f>IF(ISNUMBER($T475),IF(ISNUMBER($S475),MAX(EDATE($T475,2),$S475),EDATE($T475,2)),"")</f>
        <v/>
      </c>
      <c r="V475" s="52"/>
      <c r="W475" s="52"/>
      <c r="X475" s="121">
        <f>IF(NOT(ISNUMBER($V475)),"",IF(ISNUMBER($W475),IF($W475-$V475&lt;=28,"Answered in time","LATE: answered after day 28"),IF(TODAY()-$V475&gt;28,"OVERDUE: no reply yet","Reply due by "&amp;TEXT($V475+28,"dd/mm/yyyy"))))</f>
        <v/>
      </c>
      <c r="Y475" s="54"/>
    </row>
    <row r="476" spans="1:25">
      <c r="A476" s="54"/>
      <c r="B476" s="54"/>
      <c r="C476" s="51"/>
      <c r="D476" s="52"/>
      <c r="E476" s="120"/>
      <c r="F476" s="120"/>
      <c r="G476" s="52"/>
      <c r="H476" s="52"/>
      <c r="I476" s="52"/>
      <c r="J476" s="121">
        <f>IF(OR($A476="",NOT(ISNUMBER($F476))),"",IF($F476&lt;=0,"No deposit",IF(NOT(ISNUMBER($G476)),"Enter date received",IF(AND(ISNUMBER($H476),ISNUMBER($I476)),IF(MAX($H476,$I476)-$G476&lt;=29,"OK","LATE: protected / info served after day 30"),IF(TODAY()-$G476&gt;29,"OVERDUE: not protected / info not served","Protect + serve info by "&amp;TEXT($G476+29,"dd/mm/yyyy"))))))</f>
        <v/>
      </c>
      <c r="K476" s="97">
        <f>IF(OR(NOT(ISNUMBER($E476)),NOT(ISNUMBER($F476))),"",IF($F476&lt;=$E476*12/52*5,"OK","Over 5 weeks"))</f>
        <v/>
      </c>
      <c r="L476" s="52"/>
      <c r="M476" s="52"/>
      <c r="N476" s="122">
        <f>IF(OR($A476="",NOT(ISNUMBER($L476))),IF($A476="","","Not recorded"),IF(NOT(ISNUMBER($M476)),"Checked (no follow-up)",IF($M476&lt;TODAY(),"OVERDUE: follow-up check",IF($M476-TODAY()&lt;=60,"Follow-up due "&amp;TEXT($M476,"dd/mm/yyyy"),"Checked"))))</f>
        <v/>
      </c>
      <c r="O476" s="52"/>
      <c r="P476" s="52"/>
      <c r="Q476" s="122">
        <f>IF($A476="","",IF(NOT(ISNUMBER($D476)),"Enter start date",IF($D476&gt;=DATE(2026,5,1),IF(ISNUMBER($O476),"Complete","Missing: written terms"),IF(OR(ISNUMBER($P476),ISNUMBER($O476)),"Complete","Missing: Information Sheet (was due 31/05/2026)"))))</f>
        <v/>
      </c>
      <c r="R476" s="52"/>
      <c r="S476" s="82">
        <f>IF(ISNUMBER($R476),$R476+364,IF(ISNUMBER($D476),$D476+364,""))</f>
        <v/>
      </c>
      <c r="T476" s="52"/>
      <c r="U476" s="82">
        <f>IF(ISNUMBER($T476),IF(ISNUMBER($S476),MAX(EDATE($T476,2),$S476),EDATE($T476,2)),"")</f>
        <v/>
      </c>
      <c r="V476" s="52"/>
      <c r="W476" s="52"/>
      <c r="X476" s="121">
        <f>IF(NOT(ISNUMBER($V476)),"",IF(ISNUMBER($W476),IF($W476-$V476&lt;=28,"Answered in time","LATE: answered after day 28"),IF(TODAY()-$V476&gt;28,"OVERDUE: no reply yet","Reply due by "&amp;TEXT($V476+28,"dd/mm/yyyy"))))</f>
        <v/>
      </c>
      <c r="Y476" s="54"/>
    </row>
    <row r="477" spans="1:25">
      <c r="A477" s="54"/>
      <c r="B477" s="54"/>
      <c r="C477" s="51"/>
      <c r="D477" s="52"/>
      <c r="E477" s="120"/>
      <c r="F477" s="120"/>
      <c r="G477" s="52"/>
      <c r="H477" s="52"/>
      <c r="I477" s="52"/>
      <c r="J477" s="121">
        <f>IF(OR($A477="",NOT(ISNUMBER($F477))),"",IF($F477&lt;=0,"No deposit",IF(NOT(ISNUMBER($G477)),"Enter date received",IF(AND(ISNUMBER($H477),ISNUMBER($I477)),IF(MAX($H477,$I477)-$G477&lt;=29,"OK","LATE: protected / info served after day 30"),IF(TODAY()-$G477&gt;29,"OVERDUE: not protected / info not served","Protect + serve info by "&amp;TEXT($G477+29,"dd/mm/yyyy"))))))</f>
        <v/>
      </c>
      <c r="K477" s="97">
        <f>IF(OR(NOT(ISNUMBER($E477)),NOT(ISNUMBER($F477))),"",IF($F477&lt;=$E477*12/52*5,"OK","Over 5 weeks"))</f>
        <v/>
      </c>
      <c r="L477" s="52"/>
      <c r="M477" s="52"/>
      <c r="N477" s="122">
        <f>IF(OR($A477="",NOT(ISNUMBER($L477))),IF($A477="","","Not recorded"),IF(NOT(ISNUMBER($M477)),"Checked (no follow-up)",IF($M477&lt;TODAY(),"OVERDUE: follow-up check",IF($M477-TODAY()&lt;=60,"Follow-up due "&amp;TEXT($M477,"dd/mm/yyyy"),"Checked"))))</f>
        <v/>
      </c>
      <c r="O477" s="52"/>
      <c r="P477" s="52"/>
      <c r="Q477" s="122">
        <f>IF($A477="","",IF(NOT(ISNUMBER($D477)),"Enter start date",IF($D477&gt;=DATE(2026,5,1),IF(ISNUMBER($O477),"Complete","Missing: written terms"),IF(OR(ISNUMBER($P477),ISNUMBER($O477)),"Complete","Missing: Information Sheet (was due 31/05/2026)"))))</f>
        <v/>
      </c>
      <c r="R477" s="52"/>
      <c r="S477" s="82">
        <f>IF(ISNUMBER($R477),$R477+364,IF(ISNUMBER($D477),$D477+364,""))</f>
        <v/>
      </c>
      <c r="T477" s="52"/>
      <c r="U477" s="82">
        <f>IF(ISNUMBER($T477),IF(ISNUMBER($S477),MAX(EDATE($T477,2),$S477),EDATE($T477,2)),"")</f>
        <v/>
      </c>
      <c r="V477" s="52"/>
      <c r="W477" s="52"/>
      <c r="X477" s="121">
        <f>IF(NOT(ISNUMBER($V477)),"",IF(ISNUMBER($W477),IF($W477-$V477&lt;=28,"Answered in time","LATE: answered after day 28"),IF(TODAY()-$V477&gt;28,"OVERDUE: no reply yet","Reply due by "&amp;TEXT($V477+28,"dd/mm/yyyy"))))</f>
        <v/>
      </c>
      <c r="Y477" s="54"/>
    </row>
    <row r="478" spans="1:25">
      <c r="A478" s="54"/>
      <c r="B478" s="54"/>
      <c r="C478" s="51"/>
      <c r="D478" s="52"/>
      <c r="E478" s="120"/>
      <c r="F478" s="120"/>
      <c r="G478" s="52"/>
      <c r="H478" s="52"/>
      <c r="I478" s="52"/>
      <c r="J478" s="121">
        <f>IF(OR($A478="",NOT(ISNUMBER($F478))),"",IF($F478&lt;=0,"No deposit",IF(NOT(ISNUMBER($G478)),"Enter date received",IF(AND(ISNUMBER($H478),ISNUMBER($I478)),IF(MAX($H478,$I478)-$G478&lt;=29,"OK","LATE: protected / info served after day 30"),IF(TODAY()-$G478&gt;29,"OVERDUE: not protected / info not served","Protect + serve info by "&amp;TEXT($G478+29,"dd/mm/yyyy"))))))</f>
        <v/>
      </c>
      <c r="K478" s="97">
        <f>IF(OR(NOT(ISNUMBER($E478)),NOT(ISNUMBER($F478))),"",IF($F478&lt;=$E478*12/52*5,"OK","Over 5 weeks"))</f>
        <v/>
      </c>
      <c r="L478" s="52"/>
      <c r="M478" s="52"/>
      <c r="N478" s="122">
        <f>IF(OR($A478="",NOT(ISNUMBER($L478))),IF($A478="","","Not recorded"),IF(NOT(ISNUMBER($M478)),"Checked (no follow-up)",IF($M478&lt;TODAY(),"OVERDUE: follow-up check",IF($M478-TODAY()&lt;=60,"Follow-up due "&amp;TEXT($M478,"dd/mm/yyyy"),"Checked"))))</f>
        <v/>
      </c>
      <c r="O478" s="52"/>
      <c r="P478" s="52"/>
      <c r="Q478" s="122">
        <f>IF($A478="","",IF(NOT(ISNUMBER($D478)),"Enter start date",IF($D478&gt;=DATE(2026,5,1),IF(ISNUMBER($O478),"Complete","Missing: written terms"),IF(OR(ISNUMBER($P478),ISNUMBER($O478)),"Complete","Missing: Information Sheet (was due 31/05/2026)"))))</f>
        <v/>
      </c>
      <c r="R478" s="52"/>
      <c r="S478" s="82">
        <f>IF(ISNUMBER($R478),$R478+364,IF(ISNUMBER($D478),$D478+364,""))</f>
        <v/>
      </c>
      <c r="T478" s="52"/>
      <c r="U478" s="82">
        <f>IF(ISNUMBER($T478),IF(ISNUMBER($S478),MAX(EDATE($T478,2),$S478),EDATE($T478,2)),"")</f>
        <v/>
      </c>
      <c r="V478" s="52"/>
      <c r="W478" s="52"/>
      <c r="X478" s="121">
        <f>IF(NOT(ISNUMBER($V478)),"",IF(ISNUMBER($W478),IF($W478-$V478&lt;=28,"Answered in time","LATE: answered after day 28"),IF(TODAY()-$V478&gt;28,"OVERDUE: no reply yet","Reply due by "&amp;TEXT($V478+28,"dd/mm/yyyy"))))</f>
        <v/>
      </c>
      <c r="Y478" s="54"/>
    </row>
    <row r="479" spans="1:25">
      <c r="A479" s="54"/>
      <c r="B479" s="54"/>
      <c r="C479" s="51"/>
      <c r="D479" s="52"/>
      <c r="E479" s="120"/>
      <c r="F479" s="120"/>
      <c r="G479" s="52"/>
      <c r="H479" s="52"/>
      <c r="I479" s="52"/>
      <c r="J479" s="121">
        <f>IF(OR($A479="",NOT(ISNUMBER($F479))),"",IF($F479&lt;=0,"No deposit",IF(NOT(ISNUMBER($G479)),"Enter date received",IF(AND(ISNUMBER($H479),ISNUMBER($I479)),IF(MAX($H479,$I479)-$G479&lt;=29,"OK","LATE: protected / info served after day 30"),IF(TODAY()-$G479&gt;29,"OVERDUE: not protected / info not served","Protect + serve info by "&amp;TEXT($G479+29,"dd/mm/yyyy"))))))</f>
        <v/>
      </c>
      <c r="K479" s="97">
        <f>IF(OR(NOT(ISNUMBER($E479)),NOT(ISNUMBER($F479))),"",IF($F479&lt;=$E479*12/52*5,"OK","Over 5 weeks"))</f>
        <v/>
      </c>
      <c r="L479" s="52"/>
      <c r="M479" s="52"/>
      <c r="N479" s="122">
        <f>IF(OR($A479="",NOT(ISNUMBER($L479))),IF($A479="","","Not recorded"),IF(NOT(ISNUMBER($M479)),"Checked (no follow-up)",IF($M479&lt;TODAY(),"OVERDUE: follow-up check",IF($M479-TODAY()&lt;=60,"Follow-up due "&amp;TEXT($M479,"dd/mm/yyyy"),"Checked"))))</f>
        <v/>
      </c>
      <c r="O479" s="52"/>
      <c r="P479" s="52"/>
      <c r="Q479" s="122">
        <f>IF($A479="","",IF(NOT(ISNUMBER($D479)),"Enter start date",IF($D479&gt;=DATE(2026,5,1),IF(ISNUMBER($O479),"Complete","Missing: written terms"),IF(OR(ISNUMBER($P479),ISNUMBER($O479)),"Complete","Missing: Information Sheet (was due 31/05/2026)"))))</f>
        <v/>
      </c>
      <c r="R479" s="52"/>
      <c r="S479" s="82">
        <f>IF(ISNUMBER($R479),$R479+364,IF(ISNUMBER($D479),$D479+364,""))</f>
        <v/>
      </c>
      <c r="T479" s="52"/>
      <c r="U479" s="82">
        <f>IF(ISNUMBER($T479),IF(ISNUMBER($S479),MAX(EDATE($T479,2),$S479),EDATE($T479,2)),"")</f>
        <v/>
      </c>
      <c r="V479" s="52"/>
      <c r="W479" s="52"/>
      <c r="X479" s="121">
        <f>IF(NOT(ISNUMBER($V479)),"",IF(ISNUMBER($W479),IF($W479-$V479&lt;=28,"Answered in time","LATE: answered after day 28"),IF(TODAY()-$V479&gt;28,"OVERDUE: no reply yet","Reply due by "&amp;TEXT($V479+28,"dd/mm/yyyy"))))</f>
        <v/>
      </c>
      <c r="Y479" s="54"/>
    </row>
    <row r="480" spans="1:25">
      <c r="A480" s="54"/>
      <c r="B480" s="54"/>
      <c r="C480" s="51"/>
      <c r="D480" s="52"/>
      <c r="E480" s="120"/>
      <c r="F480" s="120"/>
      <c r="G480" s="52"/>
      <c r="H480" s="52"/>
      <c r="I480" s="52"/>
      <c r="J480" s="121">
        <f>IF(OR($A480="",NOT(ISNUMBER($F480))),"",IF($F480&lt;=0,"No deposit",IF(NOT(ISNUMBER($G480)),"Enter date received",IF(AND(ISNUMBER($H480),ISNUMBER($I480)),IF(MAX($H480,$I480)-$G480&lt;=29,"OK","LATE: protected / info served after day 30"),IF(TODAY()-$G480&gt;29,"OVERDUE: not protected / info not served","Protect + serve info by "&amp;TEXT($G480+29,"dd/mm/yyyy"))))))</f>
        <v/>
      </c>
      <c r="K480" s="97">
        <f>IF(OR(NOT(ISNUMBER($E480)),NOT(ISNUMBER($F480))),"",IF($F480&lt;=$E480*12/52*5,"OK","Over 5 weeks"))</f>
        <v/>
      </c>
      <c r="L480" s="52"/>
      <c r="M480" s="52"/>
      <c r="N480" s="122">
        <f>IF(OR($A480="",NOT(ISNUMBER($L480))),IF($A480="","","Not recorded"),IF(NOT(ISNUMBER($M480)),"Checked (no follow-up)",IF($M480&lt;TODAY(),"OVERDUE: follow-up check",IF($M480-TODAY()&lt;=60,"Follow-up due "&amp;TEXT($M480,"dd/mm/yyyy"),"Checked"))))</f>
        <v/>
      </c>
      <c r="O480" s="52"/>
      <c r="P480" s="52"/>
      <c r="Q480" s="122">
        <f>IF($A480="","",IF(NOT(ISNUMBER($D480)),"Enter start date",IF($D480&gt;=DATE(2026,5,1),IF(ISNUMBER($O480),"Complete","Missing: written terms"),IF(OR(ISNUMBER($P480),ISNUMBER($O480)),"Complete","Missing: Information Sheet (was due 31/05/2026)"))))</f>
        <v/>
      </c>
      <c r="R480" s="52"/>
      <c r="S480" s="82">
        <f>IF(ISNUMBER($R480),$R480+364,IF(ISNUMBER($D480),$D480+364,""))</f>
        <v/>
      </c>
      <c r="T480" s="52"/>
      <c r="U480" s="82">
        <f>IF(ISNUMBER($T480),IF(ISNUMBER($S480),MAX(EDATE($T480,2),$S480),EDATE($T480,2)),"")</f>
        <v/>
      </c>
      <c r="V480" s="52"/>
      <c r="W480" s="52"/>
      <c r="X480" s="121">
        <f>IF(NOT(ISNUMBER($V480)),"",IF(ISNUMBER($W480),IF($W480-$V480&lt;=28,"Answered in time","LATE: answered after day 28"),IF(TODAY()-$V480&gt;28,"OVERDUE: no reply yet","Reply due by "&amp;TEXT($V480+28,"dd/mm/yyyy"))))</f>
        <v/>
      </c>
      <c r="Y480" s="54"/>
    </row>
    <row r="481" spans="1:25">
      <c r="A481" s="54"/>
      <c r="B481" s="54"/>
      <c r="C481" s="51"/>
      <c r="D481" s="52"/>
      <c r="E481" s="120"/>
      <c r="F481" s="120"/>
      <c r="G481" s="52"/>
      <c r="H481" s="52"/>
      <c r="I481" s="52"/>
      <c r="J481" s="121">
        <f>IF(OR($A481="",NOT(ISNUMBER($F481))),"",IF($F481&lt;=0,"No deposit",IF(NOT(ISNUMBER($G481)),"Enter date received",IF(AND(ISNUMBER($H481),ISNUMBER($I481)),IF(MAX($H481,$I481)-$G481&lt;=29,"OK","LATE: protected / info served after day 30"),IF(TODAY()-$G481&gt;29,"OVERDUE: not protected / info not served","Protect + serve info by "&amp;TEXT($G481+29,"dd/mm/yyyy"))))))</f>
        <v/>
      </c>
      <c r="K481" s="97">
        <f>IF(OR(NOT(ISNUMBER($E481)),NOT(ISNUMBER($F481))),"",IF($F481&lt;=$E481*12/52*5,"OK","Over 5 weeks"))</f>
        <v/>
      </c>
      <c r="L481" s="52"/>
      <c r="M481" s="52"/>
      <c r="N481" s="122">
        <f>IF(OR($A481="",NOT(ISNUMBER($L481))),IF($A481="","","Not recorded"),IF(NOT(ISNUMBER($M481)),"Checked (no follow-up)",IF($M481&lt;TODAY(),"OVERDUE: follow-up check",IF($M481-TODAY()&lt;=60,"Follow-up due "&amp;TEXT($M481,"dd/mm/yyyy"),"Checked"))))</f>
        <v/>
      </c>
      <c r="O481" s="52"/>
      <c r="P481" s="52"/>
      <c r="Q481" s="122">
        <f>IF($A481="","",IF(NOT(ISNUMBER($D481)),"Enter start date",IF($D481&gt;=DATE(2026,5,1),IF(ISNUMBER($O481),"Complete","Missing: written terms"),IF(OR(ISNUMBER($P481),ISNUMBER($O481)),"Complete","Missing: Information Sheet (was due 31/05/2026)"))))</f>
        <v/>
      </c>
      <c r="R481" s="52"/>
      <c r="S481" s="82">
        <f>IF(ISNUMBER($R481),$R481+364,IF(ISNUMBER($D481),$D481+364,""))</f>
        <v/>
      </c>
      <c r="T481" s="52"/>
      <c r="U481" s="82">
        <f>IF(ISNUMBER($T481),IF(ISNUMBER($S481),MAX(EDATE($T481,2),$S481),EDATE($T481,2)),"")</f>
        <v/>
      </c>
      <c r="V481" s="52"/>
      <c r="W481" s="52"/>
      <c r="X481" s="121">
        <f>IF(NOT(ISNUMBER($V481)),"",IF(ISNUMBER($W481),IF($W481-$V481&lt;=28,"Answered in time","LATE: answered after day 28"),IF(TODAY()-$V481&gt;28,"OVERDUE: no reply yet","Reply due by "&amp;TEXT($V481+28,"dd/mm/yyyy"))))</f>
        <v/>
      </c>
      <c r="Y481" s="54"/>
    </row>
    <row r="482" spans="1:25">
      <c r="A482" s="54"/>
      <c r="B482" s="54"/>
      <c r="C482" s="51"/>
      <c r="D482" s="52"/>
      <c r="E482" s="120"/>
      <c r="F482" s="120"/>
      <c r="G482" s="52"/>
      <c r="H482" s="52"/>
      <c r="I482" s="52"/>
      <c r="J482" s="121">
        <f>IF(OR($A482="",NOT(ISNUMBER($F482))),"",IF($F482&lt;=0,"No deposit",IF(NOT(ISNUMBER($G482)),"Enter date received",IF(AND(ISNUMBER($H482),ISNUMBER($I482)),IF(MAX($H482,$I482)-$G482&lt;=29,"OK","LATE: protected / info served after day 30"),IF(TODAY()-$G482&gt;29,"OVERDUE: not protected / info not served","Protect + serve info by "&amp;TEXT($G482+29,"dd/mm/yyyy"))))))</f>
        <v/>
      </c>
      <c r="K482" s="97">
        <f>IF(OR(NOT(ISNUMBER($E482)),NOT(ISNUMBER($F482))),"",IF($F482&lt;=$E482*12/52*5,"OK","Over 5 weeks"))</f>
        <v/>
      </c>
      <c r="L482" s="52"/>
      <c r="M482" s="52"/>
      <c r="N482" s="122">
        <f>IF(OR($A482="",NOT(ISNUMBER($L482))),IF($A482="","","Not recorded"),IF(NOT(ISNUMBER($M482)),"Checked (no follow-up)",IF($M482&lt;TODAY(),"OVERDUE: follow-up check",IF($M482-TODAY()&lt;=60,"Follow-up due "&amp;TEXT($M482,"dd/mm/yyyy"),"Checked"))))</f>
        <v/>
      </c>
      <c r="O482" s="52"/>
      <c r="P482" s="52"/>
      <c r="Q482" s="122">
        <f>IF($A482="","",IF(NOT(ISNUMBER($D482)),"Enter start date",IF($D482&gt;=DATE(2026,5,1),IF(ISNUMBER($O482),"Complete","Missing: written terms"),IF(OR(ISNUMBER($P482),ISNUMBER($O482)),"Complete","Missing: Information Sheet (was due 31/05/2026)"))))</f>
        <v/>
      </c>
      <c r="R482" s="52"/>
      <c r="S482" s="82">
        <f>IF(ISNUMBER($R482),$R482+364,IF(ISNUMBER($D482),$D482+364,""))</f>
        <v/>
      </c>
      <c r="T482" s="52"/>
      <c r="U482" s="82">
        <f>IF(ISNUMBER($T482),IF(ISNUMBER($S482),MAX(EDATE($T482,2),$S482),EDATE($T482,2)),"")</f>
        <v/>
      </c>
      <c r="V482" s="52"/>
      <c r="W482" s="52"/>
      <c r="X482" s="121">
        <f>IF(NOT(ISNUMBER($V482)),"",IF(ISNUMBER($W482),IF($W482-$V482&lt;=28,"Answered in time","LATE: answered after day 28"),IF(TODAY()-$V482&gt;28,"OVERDUE: no reply yet","Reply due by "&amp;TEXT($V482+28,"dd/mm/yyyy"))))</f>
        <v/>
      </c>
      <c r="Y482" s="54"/>
    </row>
    <row r="483" spans="1:25">
      <c r="A483" s="54"/>
      <c r="B483" s="54"/>
      <c r="C483" s="51"/>
      <c r="D483" s="52"/>
      <c r="E483" s="120"/>
      <c r="F483" s="120"/>
      <c r="G483" s="52"/>
      <c r="H483" s="52"/>
      <c r="I483" s="52"/>
      <c r="J483" s="121">
        <f>IF(OR($A483="",NOT(ISNUMBER($F483))),"",IF($F483&lt;=0,"No deposit",IF(NOT(ISNUMBER($G483)),"Enter date received",IF(AND(ISNUMBER($H483),ISNUMBER($I483)),IF(MAX($H483,$I483)-$G483&lt;=29,"OK","LATE: protected / info served after day 30"),IF(TODAY()-$G483&gt;29,"OVERDUE: not protected / info not served","Protect + serve info by "&amp;TEXT($G483+29,"dd/mm/yyyy"))))))</f>
        <v/>
      </c>
      <c r="K483" s="97">
        <f>IF(OR(NOT(ISNUMBER($E483)),NOT(ISNUMBER($F483))),"",IF($F483&lt;=$E483*12/52*5,"OK","Over 5 weeks"))</f>
        <v/>
      </c>
      <c r="L483" s="52"/>
      <c r="M483" s="52"/>
      <c r="N483" s="122">
        <f>IF(OR($A483="",NOT(ISNUMBER($L483))),IF($A483="","","Not recorded"),IF(NOT(ISNUMBER($M483)),"Checked (no follow-up)",IF($M483&lt;TODAY(),"OVERDUE: follow-up check",IF($M483-TODAY()&lt;=60,"Follow-up due "&amp;TEXT($M483,"dd/mm/yyyy"),"Checked"))))</f>
        <v/>
      </c>
      <c r="O483" s="52"/>
      <c r="P483" s="52"/>
      <c r="Q483" s="122">
        <f>IF($A483="","",IF(NOT(ISNUMBER($D483)),"Enter start date",IF($D483&gt;=DATE(2026,5,1),IF(ISNUMBER($O483),"Complete","Missing: written terms"),IF(OR(ISNUMBER($P483),ISNUMBER($O483)),"Complete","Missing: Information Sheet (was due 31/05/2026)"))))</f>
        <v/>
      </c>
      <c r="R483" s="52"/>
      <c r="S483" s="82">
        <f>IF(ISNUMBER($R483),$R483+364,IF(ISNUMBER($D483),$D483+364,""))</f>
        <v/>
      </c>
      <c r="T483" s="52"/>
      <c r="U483" s="82">
        <f>IF(ISNUMBER($T483),IF(ISNUMBER($S483),MAX(EDATE($T483,2),$S483),EDATE($T483,2)),"")</f>
        <v/>
      </c>
      <c r="V483" s="52"/>
      <c r="W483" s="52"/>
      <c r="X483" s="121">
        <f>IF(NOT(ISNUMBER($V483)),"",IF(ISNUMBER($W483),IF($W483-$V483&lt;=28,"Answered in time","LATE: answered after day 28"),IF(TODAY()-$V483&gt;28,"OVERDUE: no reply yet","Reply due by "&amp;TEXT($V483+28,"dd/mm/yyyy"))))</f>
        <v/>
      </c>
      <c r="Y483" s="54"/>
    </row>
    <row r="484" spans="1:25">
      <c r="A484" s="54"/>
      <c r="B484" s="54"/>
      <c r="C484" s="51"/>
      <c r="D484" s="52"/>
      <c r="E484" s="120"/>
      <c r="F484" s="120"/>
      <c r="G484" s="52"/>
      <c r="H484" s="52"/>
      <c r="I484" s="52"/>
      <c r="J484" s="121">
        <f>IF(OR($A484="",NOT(ISNUMBER($F484))),"",IF($F484&lt;=0,"No deposit",IF(NOT(ISNUMBER($G484)),"Enter date received",IF(AND(ISNUMBER($H484),ISNUMBER($I484)),IF(MAX($H484,$I484)-$G484&lt;=29,"OK","LATE: protected / info served after day 30"),IF(TODAY()-$G484&gt;29,"OVERDUE: not protected / info not served","Protect + serve info by "&amp;TEXT($G484+29,"dd/mm/yyyy"))))))</f>
        <v/>
      </c>
      <c r="K484" s="97">
        <f>IF(OR(NOT(ISNUMBER($E484)),NOT(ISNUMBER($F484))),"",IF($F484&lt;=$E484*12/52*5,"OK","Over 5 weeks"))</f>
        <v/>
      </c>
      <c r="L484" s="52"/>
      <c r="M484" s="52"/>
      <c r="N484" s="122">
        <f>IF(OR($A484="",NOT(ISNUMBER($L484))),IF($A484="","","Not recorded"),IF(NOT(ISNUMBER($M484)),"Checked (no follow-up)",IF($M484&lt;TODAY(),"OVERDUE: follow-up check",IF($M484-TODAY()&lt;=60,"Follow-up due "&amp;TEXT($M484,"dd/mm/yyyy"),"Checked"))))</f>
        <v/>
      </c>
      <c r="O484" s="52"/>
      <c r="P484" s="52"/>
      <c r="Q484" s="122">
        <f>IF($A484="","",IF(NOT(ISNUMBER($D484)),"Enter start date",IF($D484&gt;=DATE(2026,5,1),IF(ISNUMBER($O484),"Complete","Missing: written terms"),IF(OR(ISNUMBER($P484),ISNUMBER($O484)),"Complete","Missing: Information Sheet (was due 31/05/2026)"))))</f>
        <v/>
      </c>
      <c r="R484" s="52"/>
      <c r="S484" s="82">
        <f>IF(ISNUMBER($R484),$R484+364,IF(ISNUMBER($D484),$D484+364,""))</f>
        <v/>
      </c>
      <c r="T484" s="52"/>
      <c r="U484" s="82">
        <f>IF(ISNUMBER($T484),IF(ISNUMBER($S484),MAX(EDATE($T484,2),$S484),EDATE($T484,2)),"")</f>
        <v/>
      </c>
      <c r="V484" s="52"/>
      <c r="W484" s="52"/>
      <c r="X484" s="121">
        <f>IF(NOT(ISNUMBER($V484)),"",IF(ISNUMBER($W484),IF($W484-$V484&lt;=28,"Answered in time","LATE: answered after day 28"),IF(TODAY()-$V484&gt;28,"OVERDUE: no reply yet","Reply due by "&amp;TEXT($V484+28,"dd/mm/yyyy"))))</f>
        <v/>
      </c>
      <c r="Y484" s="54"/>
    </row>
    <row r="485" spans="1:25">
      <c r="A485" s="54"/>
      <c r="B485" s="54"/>
      <c r="C485" s="51"/>
      <c r="D485" s="52"/>
      <c r="E485" s="120"/>
      <c r="F485" s="120"/>
      <c r="G485" s="52"/>
      <c r="H485" s="52"/>
      <c r="I485" s="52"/>
      <c r="J485" s="121">
        <f>IF(OR($A485="",NOT(ISNUMBER($F485))),"",IF($F485&lt;=0,"No deposit",IF(NOT(ISNUMBER($G485)),"Enter date received",IF(AND(ISNUMBER($H485),ISNUMBER($I485)),IF(MAX($H485,$I485)-$G485&lt;=29,"OK","LATE: protected / info served after day 30"),IF(TODAY()-$G485&gt;29,"OVERDUE: not protected / info not served","Protect + serve info by "&amp;TEXT($G485+29,"dd/mm/yyyy"))))))</f>
        <v/>
      </c>
      <c r="K485" s="97">
        <f>IF(OR(NOT(ISNUMBER($E485)),NOT(ISNUMBER($F485))),"",IF($F485&lt;=$E485*12/52*5,"OK","Over 5 weeks"))</f>
        <v/>
      </c>
      <c r="L485" s="52"/>
      <c r="M485" s="52"/>
      <c r="N485" s="122">
        <f>IF(OR($A485="",NOT(ISNUMBER($L485))),IF($A485="","","Not recorded"),IF(NOT(ISNUMBER($M485)),"Checked (no follow-up)",IF($M485&lt;TODAY(),"OVERDUE: follow-up check",IF($M485-TODAY()&lt;=60,"Follow-up due "&amp;TEXT($M485,"dd/mm/yyyy"),"Checked"))))</f>
        <v/>
      </c>
      <c r="O485" s="52"/>
      <c r="P485" s="52"/>
      <c r="Q485" s="122">
        <f>IF($A485="","",IF(NOT(ISNUMBER($D485)),"Enter start date",IF($D485&gt;=DATE(2026,5,1),IF(ISNUMBER($O485),"Complete","Missing: written terms"),IF(OR(ISNUMBER($P485),ISNUMBER($O485)),"Complete","Missing: Information Sheet (was due 31/05/2026)"))))</f>
        <v/>
      </c>
      <c r="R485" s="52"/>
      <c r="S485" s="82">
        <f>IF(ISNUMBER($R485),$R485+364,IF(ISNUMBER($D485),$D485+364,""))</f>
        <v/>
      </c>
      <c r="T485" s="52"/>
      <c r="U485" s="82">
        <f>IF(ISNUMBER($T485),IF(ISNUMBER($S485),MAX(EDATE($T485,2),$S485),EDATE($T485,2)),"")</f>
        <v/>
      </c>
      <c r="V485" s="52"/>
      <c r="W485" s="52"/>
      <c r="X485" s="121">
        <f>IF(NOT(ISNUMBER($V485)),"",IF(ISNUMBER($W485),IF($W485-$V485&lt;=28,"Answered in time","LATE: answered after day 28"),IF(TODAY()-$V485&gt;28,"OVERDUE: no reply yet","Reply due by "&amp;TEXT($V485+28,"dd/mm/yyyy"))))</f>
        <v/>
      </c>
      <c r="Y485" s="54"/>
    </row>
    <row r="486" spans="1:25">
      <c r="A486" s="54"/>
      <c r="B486" s="54"/>
      <c r="C486" s="51"/>
      <c r="D486" s="52"/>
      <c r="E486" s="120"/>
      <c r="F486" s="120"/>
      <c r="G486" s="52"/>
      <c r="H486" s="52"/>
      <c r="I486" s="52"/>
      <c r="J486" s="121">
        <f>IF(OR($A486="",NOT(ISNUMBER($F486))),"",IF($F486&lt;=0,"No deposit",IF(NOT(ISNUMBER($G486)),"Enter date received",IF(AND(ISNUMBER($H486),ISNUMBER($I486)),IF(MAX($H486,$I486)-$G486&lt;=29,"OK","LATE: protected / info served after day 30"),IF(TODAY()-$G486&gt;29,"OVERDUE: not protected / info not served","Protect + serve info by "&amp;TEXT($G486+29,"dd/mm/yyyy"))))))</f>
        <v/>
      </c>
      <c r="K486" s="97">
        <f>IF(OR(NOT(ISNUMBER($E486)),NOT(ISNUMBER($F486))),"",IF($F486&lt;=$E486*12/52*5,"OK","Over 5 weeks"))</f>
        <v/>
      </c>
      <c r="L486" s="52"/>
      <c r="M486" s="52"/>
      <c r="N486" s="122">
        <f>IF(OR($A486="",NOT(ISNUMBER($L486))),IF($A486="","","Not recorded"),IF(NOT(ISNUMBER($M486)),"Checked (no follow-up)",IF($M486&lt;TODAY(),"OVERDUE: follow-up check",IF($M486-TODAY()&lt;=60,"Follow-up due "&amp;TEXT($M486,"dd/mm/yyyy"),"Checked"))))</f>
        <v/>
      </c>
      <c r="O486" s="52"/>
      <c r="P486" s="52"/>
      <c r="Q486" s="122">
        <f>IF($A486="","",IF(NOT(ISNUMBER($D486)),"Enter start date",IF($D486&gt;=DATE(2026,5,1),IF(ISNUMBER($O486),"Complete","Missing: written terms"),IF(OR(ISNUMBER($P486),ISNUMBER($O486)),"Complete","Missing: Information Sheet (was due 31/05/2026)"))))</f>
        <v/>
      </c>
      <c r="R486" s="52"/>
      <c r="S486" s="82">
        <f>IF(ISNUMBER($R486),$R486+364,IF(ISNUMBER($D486),$D486+364,""))</f>
        <v/>
      </c>
      <c r="T486" s="52"/>
      <c r="U486" s="82">
        <f>IF(ISNUMBER($T486),IF(ISNUMBER($S486),MAX(EDATE($T486,2),$S486),EDATE($T486,2)),"")</f>
        <v/>
      </c>
      <c r="V486" s="52"/>
      <c r="W486" s="52"/>
      <c r="X486" s="121">
        <f>IF(NOT(ISNUMBER($V486)),"",IF(ISNUMBER($W486),IF($W486-$V486&lt;=28,"Answered in time","LATE: answered after day 28"),IF(TODAY()-$V486&gt;28,"OVERDUE: no reply yet","Reply due by "&amp;TEXT($V486+28,"dd/mm/yyyy"))))</f>
        <v/>
      </c>
      <c r="Y486" s="54"/>
    </row>
    <row r="487" spans="1:25">
      <c r="A487" s="54"/>
      <c r="B487" s="54"/>
      <c r="C487" s="51"/>
      <c r="D487" s="52"/>
      <c r="E487" s="120"/>
      <c r="F487" s="120"/>
      <c r="G487" s="52"/>
      <c r="H487" s="52"/>
      <c r="I487" s="52"/>
      <c r="J487" s="121">
        <f>IF(OR($A487="",NOT(ISNUMBER($F487))),"",IF($F487&lt;=0,"No deposit",IF(NOT(ISNUMBER($G487)),"Enter date received",IF(AND(ISNUMBER($H487),ISNUMBER($I487)),IF(MAX($H487,$I487)-$G487&lt;=29,"OK","LATE: protected / info served after day 30"),IF(TODAY()-$G487&gt;29,"OVERDUE: not protected / info not served","Protect + serve info by "&amp;TEXT($G487+29,"dd/mm/yyyy"))))))</f>
        <v/>
      </c>
      <c r="K487" s="97">
        <f>IF(OR(NOT(ISNUMBER($E487)),NOT(ISNUMBER($F487))),"",IF($F487&lt;=$E487*12/52*5,"OK","Over 5 weeks"))</f>
        <v/>
      </c>
      <c r="L487" s="52"/>
      <c r="M487" s="52"/>
      <c r="N487" s="122">
        <f>IF(OR($A487="",NOT(ISNUMBER($L487))),IF($A487="","","Not recorded"),IF(NOT(ISNUMBER($M487)),"Checked (no follow-up)",IF($M487&lt;TODAY(),"OVERDUE: follow-up check",IF($M487-TODAY()&lt;=60,"Follow-up due "&amp;TEXT($M487,"dd/mm/yyyy"),"Checked"))))</f>
        <v/>
      </c>
      <c r="O487" s="52"/>
      <c r="P487" s="52"/>
      <c r="Q487" s="122">
        <f>IF($A487="","",IF(NOT(ISNUMBER($D487)),"Enter start date",IF($D487&gt;=DATE(2026,5,1),IF(ISNUMBER($O487),"Complete","Missing: written terms"),IF(OR(ISNUMBER($P487),ISNUMBER($O487)),"Complete","Missing: Information Sheet (was due 31/05/2026)"))))</f>
        <v/>
      </c>
      <c r="R487" s="52"/>
      <c r="S487" s="82">
        <f>IF(ISNUMBER($R487),$R487+364,IF(ISNUMBER($D487),$D487+364,""))</f>
        <v/>
      </c>
      <c r="T487" s="52"/>
      <c r="U487" s="82">
        <f>IF(ISNUMBER($T487),IF(ISNUMBER($S487),MAX(EDATE($T487,2),$S487),EDATE($T487,2)),"")</f>
        <v/>
      </c>
      <c r="V487" s="52"/>
      <c r="W487" s="52"/>
      <c r="X487" s="121">
        <f>IF(NOT(ISNUMBER($V487)),"",IF(ISNUMBER($W487),IF($W487-$V487&lt;=28,"Answered in time","LATE: answered after day 28"),IF(TODAY()-$V487&gt;28,"OVERDUE: no reply yet","Reply due by "&amp;TEXT($V487+28,"dd/mm/yyyy"))))</f>
        <v/>
      </c>
      <c r="Y487" s="54"/>
    </row>
    <row r="488" spans="1:25">
      <c r="A488" s="54"/>
      <c r="B488" s="54"/>
      <c r="C488" s="51"/>
      <c r="D488" s="52"/>
      <c r="E488" s="120"/>
      <c r="F488" s="120"/>
      <c r="G488" s="52"/>
      <c r="H488" s="52"/>
      <c r="I488" s="52"/>
      <c r="J488" s="121">
        <f>IF(OR($A488="",NOT(ISNUMBER($F488))),"",IF($F488&lt;=0,"No deposit",IF(NOT(ISNUMBER($G488)),"Enter date received",IF(AND(ISNUMBER($H488),ISNUMBER($I488)),IF(MAX($H488,$I488)-$G488&lt;=29,"OK","LATE: protected / info served after day 30"),IF(TODAY()-$G488&gt;29,"OVERDUE: not protected / info not served","Protect + serve info by "&amp;TEXT($G488+29,"dd/mm/yyyy"))))))</f>
        <v/>
      </c>
      <c r="K488" s="97">
        <f>IF(OR(NOT(ISNUMBER($E488)),NOT(ISNUMBER($F488))),"",IF($F488&lt;=$E488*12/52*5,"OK","Over 5 weeks"))</f>
        <v/>
      </c>
      <c r="L488" s="52"/>
      <c r="M488" s="52"/>
      <c r="N488" s="122">
        <f>IF(OR($A488="",NOT(ISNUMBER($L488))),IF($A488="","","Not recorded"),IF(NOT(ISNUMBER($M488)),"Checked (no follow-up)",IF($M488&lt;TODAY(),"OVERDUE: follow-up check",IF($M488-TODAY()&lt;=60,"Follow-up due "&amp;TEXT($M488,"dd/mm/yyyy"),"Checked"))))</f>
        <v/>
      </c>
      <c r="O488" s="52"/>
      <c r="P488" s="52"/>
      <c r="Q488" s="122">
        <f>IF($A488="","",IF(NOT(ISNUMBER($D488)),"Enter start date",IF($D488&gt;=DATE(2026,5,1),IF(ISNUMBER($O488),"Complete","Missing: written terms"),IF(OR(ISNUMBER($P488),ISNUMBER($O488)),"Complete","Missing: Information Sheet (was due 31/05/2026)"))))</f>
        <v/>
      </c>
      <c r="R488" s="52"/>
      <c r="S488" s="82">
        <f>IF(ISNUMBER($R488),$R488+364,IF(ISNUMBER($D488),$D488+364,""))</f>
        <v/>
      </c>
      <c r="T488" s="52"/>
      <c r="U488" s="82">
        <f>IF(ISNUMBER($T488),IF(ISNUMBER($S488),MAX(EDATE($T488,2),$S488),EDATE($T488,2)),"")</f>
        <v/>
      </c>
      <c r="V488" s="52"/>
      <c r="W488" s="52"/>
      <c r="X488" s="121">
        <f>IF(NOT(ISNUMBER($V488)),"",IF(ISNUMBER($W488),IF($W488-$V488&lt;=28,"Answered in time","LATE: answered after day 28"),IF(TODAY()-$V488&gt;28,"OVERDUE: no reply yet","Reply due by "&amp;TEXT($V488+28,"dd/mm/yyyy"))))</f>
        <v/>
      </c>
      <c r="Y488" s="54"/>
    </row>
    <row r="489" spans="1:25">
      <c r="A489" s="54"/>
      <c r="B489" s="54"/>
      <c r="C489" s="51"/>
      <c r="D489" s="52"/>
      <c r="E489" s="120"/>
      <c r="F489" s="120"/>
      <c r="G489" s="52"/>
      <c r="H489" s="52"/>
      <c r="I489" s="52"/>
      <c r="J489" s="121">
        <f>IF(OR($A489="",NOT(ISNUMBER($F489))),"",IF($F489&lt;=0,"No deposit",IF(NOT(ISNUMBER($G489)),"Enter date received",IF(AND(ISNUMBER($H489),ISNUMBER($I489)),IF(MAX($H489,$I489)-$G489&lt;=29,"OK","LATE: protected / info served after day 30"),IF(TODAY()-$G489&gt;29,"OVERDUE: not protected / info not served","Protect + serve info by "&amp;TEXT($G489+29,"dd/mm/yyyy"))))))</f>
        <v/>
      </c>
      <c r="K489" s="97">
        <f>IF(OR(NOT(ISNUMBER($E489)),NOT(ISNUMBER($F489))),"",IF($F489&lt;=$E489*12/52*5,"OK","Over 5 weeks"))</f>
        <v/>
      </c>
      <c r="L489" s="52"/>
      <c r="M489" s="52"/>
      <c r="N489" s="122">
        <f>IF(OR($A489="",NOT(ISNUMBER($L489))),IF($A489="","","Not recorded"),IF(NOT(ISNUMBER($M489)),"Checked (no follow-up)",IF($M489&lt;TODAY(),"OVERDUE: follow-up check",IF($M489-TODAY()&lt;=60,"Follow-up due "&amp;TEXT($M489,"dd/mm/yyyy"),"Checked"))))</f>
        <v/>
      </c>
      <c r="O489" s="52"/>
      <c r="P489" s="52"/>
      <c r="Q489" s="122">
        <f>IF($A489="","",IF(NOT(ISNUMBER($D489)),"Enter start date",IF($D489&gt;=DATE(2026,5,1),IF(ISNUMBER($O489),"Complete","Missing: written terms"),IF(OR(ISNUMBER($P489),ISNUMBER($O489)),"Complete","Missing: Information Sheet (was due 31/05/2026)"))))</f>
        <v/>
      </c>
      <c r="R489" s="52"/>
      <c r="S489" s="82">
        <f>IF(ISNUMBER($R489),$R489+364,IF(ISNUMBER($D489),$D489+364,""))</f>
        <v/>
      </c>
      <c r="T489" s="52"/>
      <c r="U489" s="82">
        <f>IF(ISNUMBER($T489),IF(ISNUMBER($S489),MAX(EDATE($T489,2),$S489),EDATE($T489,2)),"")</f>
        <v/>
      </c>
      <c r="V489" s="52"/>
      <c r="W489" s="52"/>
      <c r="X489" s="121">
        <f>IF(NOT(ISNUMBER($V489)),"",IF(ISNUMBER($W489),IF($W489-$V489&lt;=28,"Answered in time","LATE: answered after day 28"),IF(TODAY()-$V489&gt;28,"OVERDUE: no reply yet","Reply due by "&amp;TEXT($V489+28,"dd/mm/yyyy"))))</f>
        <v/>
      </c>
      <c r="Y489" s="54"/>
    </row>
    <row r="490" spans="1:25">
      <c r="A490" s="54"/>
      <c r="B490" s="54"/>
      <c r="C490" s="51"/>
      <c r="D490" s="52"/>
      <c r="E490" s="120"/>
      <c r="F490" s="120"/>
      <c r="G490" s="52"/>
      <c r="H490" s="52"/>
      <c r="I490" s="52"/>
      <c r="J490" s="121">
        <f>IF(OR($A490="",NOT(ISNUMBER($F490))),"",IF($F490&lt;=0,"No deposit",IF(NOT(ISNUMBER($G490)),"Enter date received",IF(AND(ISNUMBER($H490),ISNUMBER($I490)),IF(MAX($H490,$I490)-$G490&lt;=29,"OK","LATE: protected / info served after day 30"),IF(TODAY()-$G490&gt;29,"OVERDUE: not protected / info not served","Protect + serve info by "&amp;TEXT($G490+29,"dd/mm/yyyy"))))))</f>
        <v/>
      </c>
      <c r="K490" s="97">
        <f>IF(OR(NOT(ISNUMBER($E490)),NOT(ISNUMBER($F490))),"",IF($F490&lt;=$E490*12/52*5,"OK","Over 5 weeks"))</f>
        <v/>
      </c>
      <c r="L490" s="52"/>
      <c r="M490" s="52"/>
      <c r="N490" s="122">
        <f>IF(OR($A490="",NOT(ISNUMBER($L490))),IF($A490="","","Not recorded"),IF(NOT(ISNUMBER($M490)),"Checked (no follow-up)",IF($M490&lt;TODAY(),"OVERDUE: follow-up check",IF($M490-TODAY()&lt;=60,"Follow-up due "&amp;TEXT($M490,"dd/mm/yyyy"),"Checked"))))</f>
        <v/>
      </c>
      <c r="O490" s="52"/>
      <c r="P490" s="52"/>
      <c r="Q490" s="122">
        <f>IF($A490="","",IF(NOT(ISNUMBER($D490)),"Enter start date",IF($D490&gt;=DATE(2026,5,1),IF(ISNUMBER($O490),"Complete","Missing: written terms"),IF(OR(ISNUMBER($P490),ISNUMBER($O490)),"Complete","Missing: Information Sheet (was due 31/05/2026)"))))</f>
        <v/>
      </c>
      <c r="R490" s="52"/>
      <c r="S490" s="82">
        <f>IF(ISNUMBER($R490),$R490+364,IF(ISNUMBER($D490),$D490+364,""))</f>
        <v/>
      </c>
      <c r="T490" s="52"/>
      <c r="U490" s="82">
        <f>IF(ISNUMBER($T490),IF(ISNUMBER($S490),MAX(EDATE($T490,2),$S490),EDATE($T490,2)),"")</f>
        <v/>
      </c>
      <c r="V490" s="52"/>
      <c r="W490" s="52"/>
      <c r="X490" s="121">
        <f>IF(NOT(ISNUMBER($V490)),"",IF(ISNUMBER($W490),IF($W490-$V490&lt;=28,"Answered in time","LATE: answered after day 28"),IF(TODAY()-$V490&gt;28,"OVERDUE: no reply yet","Reply due by "&amp;TEXT($V490+28,"dd/mm/yyyy"))))</f>
        <v/>
      </c>
      <c r="Y490" s="54"/>
    </row>
    <row r="491" spans="1:25">
      <c r="A491" s="54"/>
      <c r="B491" s="54"/>
      <c r="C491" s="51"/>
      <c r="D491" s="52"/>
      <c r="E491" s="120"/>
      <c r="F491" s="120"/>
      <c r="G491" s="52"/>
      <c r="H491" s="52"/>
      <c r="I491" s="52"/>
      <c r="J491" s="121">
        <f>IF(OR($A491="",NOT(ISNUMBER($F491))),"",IF($F491&lt;=0,"No deposit",IF(NOT(ISNUMBER($G491)),"Enter date received",IF(AND(ISNUMBER($H491),ISNUMBER($I491)),IF(MAX($H491,$I491)-$G491&lt;=29,"OK","LATE: protected / info served after day 30"),IF(TODAY()-$G491&gt;29,"OVERDUE: not protected / info not served","Protect + serve info by "&amp;TEXT($G491+29,"dd/mm/yyyy"))))))</f>
        <v/>
      </c>
      <c r="K491" s="97">
        <f>IF(OR(NOT(ISNUMBER($E491)),NOT(ISNUMBER($F491))),"",IF($F491&lt;=$E491*12/52*5,"OK","Over 5 weeks"))</f>
        <v/>
      </c>
      <c r="L491" s="52"/>
      <c r="M491" s="52"/>
      <c r="N491" s="122">
        <f>IF(OR($A491="",NOT(ISNUMBER($L491))),IF($A491="","","Not recorded"),IF(NOT(ISNUMBER($M491)),"Checked (no follow-up)",IF($M491&lt;TODAY(),"OVERDUE: follow-up check",IF($M491-TODAY()&lt;=60,"Follow-up due "&amp;TEXT($M491,"dd/mm/yyyy"),"Checked"))))</f>
        <v/>
      </c>
      <c r="O491" s="52"/>
      <c r="P491" s="52"/>
      <c r="Q491" s="122">
        <f>IF($A491="","",IF(NOT(ISNUMBER($D491)),"Enter start date",IF($D491&gt;=DATE(2026,5,1),IF(ISNUMBER($O491),"Complete","Missing: written terms"),IF(OR(ISNUMBER($P491),ISNUMBER($O491)),"Complete","Missing: Information Sheet (was due 31/05/2026)"))))</f>
        <v/>
      </c>
      <c r="R491" s="52"/>
      <c r="S491" s="82">
        <f>IF(ISNUMBER($R491),$R491+364,IF(ISNUMBER($D491),$D491+364,""))</f>
        <v/>
      </c>
      <c r="T491" s="52"/>
      <c r="U491" s="82">
        <f>IF(ISNUMBER($T491),IF(ISNUMBER($S491),MAX(EDATE($T491,2),$S491),EDATE($T491,2)),"")</f>
        <v/>
      </c>
      <c r="V491" s="52"/>
      <c r="W491" s="52"/>
      <c r="X491" s="121">
        <f>IF(NOT(ISNUMBER($V491)),"",IF(ISNUMBER($W491),IF($W491-$V491&lt;=28,"Answered in time","LATE: answered after day 28"),IF(TODAY()-$V491&gt;28,"OVERDUE: no reply yet","Reply due by "&amp;TEXT($V491+28,"dd/mm/yyyy"))))</f>
        <v/>
      </c>
      <c r="Y491" s="54"/>
    </row>
    <row r="492" spans="1:25">
      <c r="A492" s="54"/>
      <c r="B492" s="54"/>
      <c r="C492" s="51"/>
      <c r="D492" s="52"/>
      <c r="E492" s="120"/>
      <c r="F492" s="120"/>
      <c r="G492" s="52"/>
      <c r="H492" s="52"/>
      <c r="I492" s="52"/>
      <c r="J492" s="121">
        <f>IF(OR($A492="",NOT(ISNUMBER($F492))),"",IF($F492&lt;=0,"No deposit",IF(NOT(ISNUMBER($G492)),"Enter date received",IF(AND(ISNUMBER($H492),ISNUMBER($I492)),IF(MAX($H492,$I492)-$G492&lt;=29,"OK","LATE: protected / info served after day 30"),IF(TODAY()-$G492&gt;29,"OVERDUE: not protected / info not served","Protect + serve info by "&amp;TEXT($G492+29,"dd/mm/yyyy"))))))</f>
        <v/>
      </c>
      <c r="K492" s="97">
        <f>IF(OR(NOT(ISNUMBER($E492)),NOT(ISNUMBER($F492))),"",IF($F492&lt;=$E492*12/52*5,"OK","Over 5 weeks"))</f>
        <v/>
      </c>
      <c r="L492" s="52"/>
      <c r="M492" s="52"/>
      <c r="N492" s="122">
        <f>IF(OR($A492="",NOT(ISNUMBER($L492))),IF($A492="","","Not recorded"),IF(NOT(ISNUMBER($M492)),"Checked (no follow-up)",IF($M492&lt;TODAY(),"OVERDUE: follow-up check",IF($M492-TODAY()&lt;=60,"Follow-up due "&amp;TEXT($M492,"dd/mm/yyyy"),"Checked"))))</f>
        <v/>
      </c>
      <c r="O492" s="52"/>
      <c r="P492" s="52"/>
      <c r="Q492" s="122">
        <f>IF($A492="","",IF(NOT(ISNUMBER($D492)),"Enter start date",IF($D492&gt;=DATE(2026,5,1),IF(ISNUMBER($O492),"Complete","Missing: written terms"),IF(OR(ISNUMBER($P492),ISNUMBER($O492)),"Complete","Missing: Information Sheet (was due 31/05/2026)"))))</f>
        <v/>
      </c>
      <c r="R492" s="52"/>
      <c r="S492" s="82">
        <f>IF(ISNUMBER($R492),$R492+364,IF(ISNUMBER($D492),$D492+364,""))</f>
        <v/>
      </c>
      <c r="T492" s="52"/>
      <c r="U492" s="82">
        <f>IF(ISNUMBER($T492),IF(ISNUMBER($S492),MAX(EDATE($T492,2),$S492),EDATE($T492,2)),"")</f>
        <v/>
      </c>
      <c r="V492" s="52"/>
      <c r="W492" s="52"/>
      <c r="X492" s="121">
        <f>IF(NOT(ISNUMBER($V492)),"",IF(ISNUMBER($W492),IF($W492-$V492&lt;=28,"Answered in time","LATE: answered after day 28"),IF(TODAY()-$V492&gt;28,"OVERDUE: no reply yet","Reply due by "&amp;TEXT($V492+28,"dd/mm/yyyy"))))</f>
        <v/>
      </c>
      <c r="Y492" s="54"/>
    </row>
    <row r="493" spans="1:25">
      <c r="A493" s="54"/>
      <c r="B493" s="54"/>
      <c r="C493" s="51"/>
      <c r="D493" s="52"/>
      <c r="E493" s="120"/>
      <c r="F493" s="120"/>
      <c r="G493" s="52"/>
      <c r="H493" s="52"/>
      <c r="I493" s="52"/>
      <c r="J493" s="121">
        <f>IF(OR($A493="",NOT(ISNUMBER($F493))),"",IF($F493&lt;=0,"No deposit",IF(NOT(ISNUMBER($G493)),"Enter date received",IF(AND(ISNUMBER($H493),ISNUMBER($I493)),IF(MAX($H493,$I493)-$G493&lt;=29,"OK","LATE: protected / info served after day 30"),IF(TODAY()-$G493&gt;29,"OVERDUE: not protected / info not served","Protect + serve info by "&amp;TEXT($G493+29,"dd/mm/yyyy"))))))</f>
        <v/>
      </c>
      <c r="K493" s="97">
        <f>IF(OR(NOT(ISNUMBER($E493)),NOT(ISNUMBER($F493))),"",IF($F493&lt;=$E493*12/52*5,"OK","Over 5 weeks"))</f>
        <v/>
      </c>
      <c r="L493" s="52"/>
      <c r="M493" s="52"/>
      <c r="N493" s="122">
        <f>IF(OR($A493="",NOT(ISNUMBER($L493))),IF($A493="","","Not recorded"),IF(NOT(ISNUMBER($M493)),"Checked (no follow-up)",IF($M493&lt;TODAY(),"OVERDUE: follow-up check",IF($M493-TODAY()&lt;=60,"Follow-up due "&amp;TEXT($M493,"dd/mm/yyyy"),"Checked"))))</f>
        <v/>
      </c>
      <c r="O493" s="52"/>
      <c r="P493" s="52"/>
      <c r="Q493" s="122">
        <f>IF($A493="","",IF(NOT(ISNUMBER($D493)),"Enter start date",IF($D493&gt;=DATE(2026,5,1),IF(ISNUMBER($O493),"Complete","Missing: written terms"),IF(OR(ISNUMBER($P493),ISNUMBER($O493)),"Complete","Missing: Information Sheet (was due 31/05/2026)"))))</f>
        <v/>
      </c>
      <c r="R493" s="52"/>
      <c r="S493" s="82">
        <f>IF(ISNUMBER($R493),$R493+364,IF(ISNUMBER($D493),$D493+364,""))</f>
        <v/>
      </c>
      <c r="T493" s="52"/>
      <c r="U493" s="82">
        <f>IF(ISNUMBER($T493),IF(ISNUMBER($S493),MAX(EDATE($T493,2),$S493),EDATE($T493,2)),"")</f>
        <v/>
      </c>
      <c r="V493" s="52"/>
      <c r="W493" s="52"/>
      <c r="X493" s="121">
        <f>IF(NOT(ISNUMBER($V493)),"",IF(ISNUMBER($W493),IF($W493-$V493&lt;=28,"Answered in time","LATE: answered after day 28"),IF(TODAY()-$V493&gt;28,"OVERDUE: no reply yet","Reply due by "&amp;TEXT($V493+28,"dd/mm/yyyy"))))</f>
        <v/>
      </c>
      <c r="Y493" s="54"/>
    </row>
    <row r="494" spans="1:25">
      <c r="A494" s="54"/>
      <c r="B494" s="54"/>
      <c r="C494" s="51"/>
      <c r="D494" s="52"/>
      <c r="E494" s="120"/>
      <c r="F494" s="120"/>
      <c r="G494" s="52"/>
      <c r="H494" s="52"/>
      <c r="I494" s="52"/>
      <c r="J494" s="121">
        <f>IF(OR($A494="",NOT(ISNUMBER($F494))),"",IF($F494&lt;=0,"No deposit",IF(NOT(ISNUMBER($G494)),"Enter date received",IF(AND(ISNUMBER($H494),ISNUMBER($I494)),IF(MAX($H494,$I494)-$G494&lt;=29,"OK","LATE: protected / info served after day 30"),IF(TODAY()-$G494&gt;29,"OVERDUE: not protected / info not served","Protect + serve info by "&amp;TEXT($G494+29,"dd/mm/yyyy"))))))</f>
        <v/>
      </c>
      <c r="K494" s="97">
        <f>IF(OR(NOT(ISNUMBER($E494)),NOT(ISNUMBER($F494))),"",IF($F494&lt;=$E494*12/52*5,"OK","Over 5 weeks"))</f>
        <v/>
      </c>
      <c r="L494" s="52"/>
      <c r="M494" s="52"/>
      <c r="N494" s="122">
        <f>IF(OR($A494="",NOT(ISNUMBER($L494))),IF($A494="","","Not recorded"),IF(NOT(ISNUMBER($M494)),"Checked (no follow-up)",IF($M494&lt;TODAY(),"OVERDUE: follow-up check",IF($M494-TODAY()&lt;=60,"Follow-up due "&amp;TEXT($M494,"dd/mm/yyyy"),"Checked"))))</f>
        <v/>
      </c>
      <c r="O494" s="52"/>
      <c r="P494" s="52"/>
      <c r="Q494" s="122">
        <f>IF($A494="","",IF(NOT(ISNUMBER($D494)),"Enter start date",IF($D494&gt;=DATE(2026,5,1),IF(ISNUMBER($O494),"Complete","Missing: written terms"),IF(OR(ISNUMBER($P494),ISNUMBER($O494)),"Complete","Missing: Information Sheet (was due 31/05/2026)"))))</f>
        <v/>
      </c>
      <c r="R494" s="52"/>
      <c r="S494" s="82">
        <f>IF(ISNUMBER($R494),$R494+364,IF(ISNUMBER($D494),$D494+364,""))</f>
        <v/>
      </c>
      <c r="T494" s="52"/>
      <c r="U494" s="82">
        <f>IF(ISNUMBER($T494),IF(ISNUMBER($S494),MAX(EDATE($T494,2),$S494),EDATE($T494,2)),"")</f>
        <v/>
      </c>
      <c r="V494" s="52"/>
      <c r="W494" s="52"/>
      <c r="X494" s="121">
        <f>IF(NOT(ISNUMBER($V494)),"",IF(ISNUMBER($W494),IF($W494-$V494&lt;=28,"Answered in time","LATE: answered after day 28"),IF(TODAY()-$V494&gt;28,"OVERDUE: no reply yet","Reply due by "&amp;TEXT($V494+28,"dd/mm/yyyy"))))</f>
        <v/>
      </c>
      <c r="Y494" s="54"/>
    </row>
    <row r="495" spans="1:25">
      <c r="A495" s="54"/>
      <c r="B495" s="54"/>
      <c r="C495" s="51"/>
      <c r="D495" s="52"/>
      <c r="E495" s="120"/>
      <c r="F495" s="120"/>
      <c r="G495" s="52"/>
      <c r="H495" s="52"/>
      <c r="I495" s="52"/>
      <c r="J495" s="121">
        <f>IF(OR($A495="",NOT(ISNUMBER($F495))),"",IF($F495&lt;=0,"No deposit",IF(NOT(ISNUMBER($G495)),"Enter date received",IF(AND(ISNUMBER($H495),ISNUMBER($I495)),IF(MAX($H495,$I495)-$G495&lt;=29,"OK","LATE: protected / info served after day 30"),IF(TODAY()-$G495&gt;29,"OVERDUE: not protected / info not served","Protect + serve info by "&amp;TEXT($G495+29,"dd/mm/yyyy"))))))</f>
        <v/>
      </c>
      <c r="K495" s="97">
        <f>IF(OR(NOT(ISNUMBER($E495)),NOT(ISNUMBER($F495))),"",IF($F495&lt;=$E495*12/52*5,"OK","Over 5 weeks"))</f>
        <v/>
      </c>
      <c r="L495" s="52"/>
      <c r="M495" s="52"/>
      <c r="N495" s="122">
        <f>IF(OR($A495="",NOT(ISNUMBER($L495))),IF($A495="","","Not recorded"),IF(NOT(ISNUMBER($M495)),"Checked (no follow-up)",IF($M495&lt;TODAY(),"OVERDUE: follow-up check",IF($M495-TODAY()&lt;=60,"Follow-up due "&amp;TEXT($M495,"dd/mm/yyyy"),"Checked"))))</f>
        <v/>
      </c>
      <c r="O495" s="52"/>
      <c r="P495" s="52"/>
      <c r="Q495" s="122">
        <f>IF($A495="","",IF(NOT(ISNUMBER($D495)),"Enter start date",IF($D495&gt;=DATE(2026,5,1),IF(ISNUMBER($O495),"Complete","Missing: written terms"),IF(OR(ISNUMBER($P495),ISNUMBER($O495)),"Complete","Missing: Information Sheet (was due 31/05/2026)"))))</f>
        <v/>
      </c>
      <c r="R495" s="52"/>
      <c r="S495" s="82">
        <f>IF(ISNUMBER($R495),$R495+364,IF(ISNUMBER($D495),$D495+364,""))</f>
        <v/>
      </c>
      <c r="T495" s="52"/>
      <c r="U495" s="82">
        <f>IF(ISNUMBER($T495),IF(ISNUMBER($S495),MAX(EDATE($T495,2),$S495),EDATE($T495,2)),"")</f>
        <v/>
      </c>
      <c r="V495" s="52"/>
      <c r="W495" s="52"/>
      <c r="X495" s="121">
        <f>IF(NOT(ISNUMBER($V495)),"",IF(ISNUMBER($W495),IF($W495-$V495&lt;=28,"Answered in time","LATE: answered after day 28"),IF(TODAY()-$V495&gt;28,"OVERDUE: no reply yet","Reply due by "&amp;TEXT($V495+28,"dd/mm/yyyy"))))</f>
        <v/>
      </c>
      <c r="Y495" s="54"/>
    </row>
    <row r="496" spans="1:25">
      <c r="A496" s="54"/>
      <c r="B496" s="54"/>
      <c r="C496" s="51"/>
      <c r="D496" s="52"/>
      <c r="E496" s="120"/>
      <c r="F496" s="120"/>
      <c r="G496" s="52"/>
      <c r="H496" s="52"/>
      <c r="I496" s="52"/>
      <c r="J496" s="121">
        <f>IF(OR($A496="",NOT(ISNUMBER($F496))),"",IF($F496&lt;=0,"No deposit",IF(NOT(ISNUMBER($G496)),"Enter date received",IF(AND(ISNUMBER($H496),ISNUMBER($I496)),IF(MAX($H496,$I496)-$G496&lt;=29,"OK","LATE: protected / info served after day 30"),IF(TODAY()-$G496&gt;29,"OVERDUE: not protected / info not served","Protect + serve info by "&amp;TEXT($G496+29,"dd/mm/yyyy"))))))</f>
        <v/>
      </c>
      <c r="K496" s="97">
        <f>IF(OR(NOT(ISNUMBER($E496)),NOT(ISNUMBER($F496))),"",IF($F496&lt;=$E496*12/52*5,"OK","Over 5 weeks"))</f>
        <v/>
      </c>
      <c r="L496" s="52"/>
      <c r="M496" s="52"/>
      <c r="N496" s="122">
        <f>IF(OR($A496="",NOT(ISNUMBER($L496))),IF($A496="","","Not recorded"),IF(NOT(ISNUMBER($M496)),"Checked (no follow-up)",IF($M496&lt;TODAY(),"OVERDUE: follow-up check",IF($M496-TODAY()&lt;=60,"Follow-up due "&amp;TEXT($M496,"dd/mm/yyyy"),"Checked"))))</f>
        <v/>
      </c>
      <c r="O496" s="52"/>
      <c r="P496" s="52"/>
      <c r="Q496" s="122">
        <f>IF($A496="","",IF(NOT(ISNUMBER($D496)),"Enter start date",IF($D496&gt;=DATE(2026,5,1),IF(ISNUMBER($O496),"Complete","Missing: written terms"),IF(OR(ISNUMBER($P496),ISNUMBER($O496)),"Complete","Missing: Information Sheet (was due 31/05/2026)"))))</f>
        <v/>
      </c>
      <c r="R496" s="52"/>
      <c r="S496" s="82">
        <f>IF(ISNUMBER($R496),$R496+364,IF(ISNUMBER($D496),$D496+364,""))</f>
        <v/>
      </c>
      <c r="T496" s="52"/>
      <c r="U496" s="82">
        <f>IF(ISNUMBER($T496),IF(ISNUMBER($S496),MAX(EDATE($T496,2),$S496),EDATE($T496,2)),"")</f>
        <v/>
      </c>
      <c r="V496" s="52"/>
      <c r="W496" s="52"/>
      <c r="X496" s="121">
        <f>IF(NOT(ISNUMBER($V496)),"",IF(ISNUMBER($W496),IF($W496-$V496&lt;=28,"Answered in time","LATE: answered after day 28"),IF(TODAY()-$V496&gt;28,"OVERDUE: no reply yet","Reply due by "&amp;TEXT($V496+28,"dd/mm/yyyy"))))</f>
        <v/>
      </c>
      <c r="Y496" s="54"/>
    </row>
    <row r="497" spans="1:25">
      <c r="A497" s="54"/>
      <c r="B497" s="54"/>
      <c r="C497" s="51"/>
      <c r="D497" s="52"/>
      <c r="E497" s="120"/>
      <c r="F497" s="120"/>
      <c r="G497" s="52"/>
      <c r="H497" s="52"/>
      <c r="I497" s="52"/>
      <c r="J497" s="121">
        <f>IF(OR($A497="",NOT(ISNUMBER($F497))),"",IF($F497&lt;=0,"No deposit",IF(NOT(ISNUMBER($G497)),"Enter date received",IF(AND(ISNUMBER($H497),ISNUMBER($I497)),IF(MAX($H497,$I497)-$G497&lt;=29,"OK","LATE: protected / info served after day 30"),IF(TODAY()-$G497&gt;29,"OVERDUE: not protected / info not served","Protect + serve info by "&amp;TEXT($G497+29,"dd/mm/yyyy"))))))</f>
        <v/>
      </c>
      <c r="K497" s="97">
        <f>IF(OR(NOT(ISNUMBER($E497)),NOT(ISNUMBER($F497))),"",IF($F497&lt;=$E497*12/52*5,"OK","Over 5 weeks"))</f>
        <v/>
      </c>
      <c r="L497" s="52"/>
      <c r="M497" s="52"/>
      <c r="N497" s="122">
        <f>IF(OR($A497="",NOT(ISNUMBER($L497))),IF($A497="","","Not recorded"),IF(NOT(ISNUMBER($M497)),"Checked (no follow-up)",IF($M497&lt;TODAY(),"OVERDUE: follow-up check",IF($M497-TODAY()&lt;=60,"Follow-up due "&amp;TEXT($M497,"dd/mm/yyyy"),"Checked"))))</f>
        <v/>
      </c>
      <c r="O497" s="52"/>
      <c r="P497" s="52"/>
      <c r="Q497" s="122">
        <f>IF($A497="","",IF(NOT(ISNUMBER($D497)),"Enter start date",IF($D497&gt;=DATE(2026,5,1),IF(ISNUMBER($O497),"Complete","Missing: written terms"),IF(OR(ISNUMBER($P497),ISNUMBER($O497)),"Complete","Missing: Information Sheet (was due 31/05/2026)"))))</f>
        <v/>
      </c>
      <c r="R497" s="52"/>
      <c r="S497" s="82">
        <f>IF(ISNUMBER($R497),$R497+364,IF(ISNUMBER($D497),$D497+364,""))</f>
        <v/>
      </c>
      <c r="T497" s="52"/>
      <c r="U497" s="82">
        <f>IF(ISNUMBER($T497),IF(ISNUMBER($S497),MAX(EDATE($T497,2),$S497),EDATE($T497,2)),"")</f>
        <v/>
      </c>
      <c r="V497" s="52"/>
      <c r="W497" s="52"/>
      <c r="X497" s="121">
        <f>IF(NOT(ISNUMBER($V497)),"",IF(ISNUMBER($W497),IF($W497-$V497&lt;=28,"Answered in time","LATE: answered after day 28"),IF(TODAY()-$V497&gt;28,"OVERDUE: no reply yet","Reply due by "&amp;TEXT($V497+28,"dd/mm/yyyy"))))</f>
        <v/>
      </c>
      <c r="Y497" s="54"/>
    </row>
    <row r="498" spans="1:25">
      <c r="A498" s="54"/>
      <c r="B498" s="54"/>
      <c r="C498" s="51"/>
      <c r="D498" s="52"/>
      <c r="E498" s="120"/>
      <c r="F498" s="120"/>
      <c r="G498" s="52"/>
      <c r="H498" s="52"/>
      <c r="I498" s="52"/>
      <c r="J498" s="121">
        <f>IF(OR($A498="",NOT(ISNUMBER($F498))),"",IF($F498&lt;=0,"No deposit",IF(NOT(ISNUMBER($G498)),"Enter date received",IF(AND(ISNUMBER($H498),ISNUMBER($I498)),IF(MAX($H498,$I498)-$G498&lt;=29,"OK","LATE: protected / info served after day 30"),IF(TODAY()-$G498&gt;29,"OVERDUE: not protected / info not served","Protect + serve info by "&amp;TEXT($G498+29,"dd/mm/yyyy"))))))</f>
        <v/>
      </c>
      <c r="K498" s="97">
        <f>IF(OR(NOT(ISNUMBER($E498)),NOT(ISNUMBER($F498))),"",IF($F498&lt;=$E498*12/52*5,"OK","Over 5 weeks"))</f>
        <v/>
      </c>
      <c r="L498" s="52"/>
      <c r="M498" s="52"/>
      <c r="N498" s="122">
        <f>IF(OR($A498="",NOT(ISNUMBER($L498))),IF($A498="","","Not recorded"),IF(NOT(ISNUMBER($M498)),"Checked (no follow-up)",IF($M498&lt;TODAY(),"OVERDUE: follow-up check",IF($M498-TODAY()&lt;=60,"Follow-up due "&amp;TEXT($M498,"dd/mm/yyyy"),"Checked"))))</f>
        <v/>
      </c>
      <c r="O498" s="52"/>
      <c r="P498" s="52"/>
      <c r="Q498" s="122">
        <f>IF($A498="","",IF(NOT(ISNUMBER($D498)),"Enter start date",IF($D498&gt;=DATE(2026,5,1),IF(ISNUMBER($O498),"Complete","Missing: written terms"),IF(OR(ISNUMBER($P498),ISNUMBER($O498)),"Complete","Missing: Information Sheet (was due 31/05/2026)"))))</f>
        <v/>
      </c>
      <c r="R498" s="52"/>
      <c r="S498" s="82">
        <f>IF(ISNUMBER($R498),$R498+364,IF(ISNUMBER($D498),$D498+364,""))</f>
        <v/>
      </c>
      <c r="T498" s="52"/>
      <c r="U498" s="82">
        <f>IF(ISNUMBER($T498),IF(ISNUMBER($S498),MAX(EDATE($T498,2),$S498),EDATE($T498,2)),"")</f>
        <v/>
      </c>
      <c r="V498" s="52"/>
      <c r="W498" s="52"/>
      <c r="X498" s="121">
        <f>IF(NOT(ISNUMBER($V498)),"",IF(ISNUMBER($W498),IF($W498-$V498&lt;=28,"Answered in time","LATE: answered after day 28"),IF(TODAY()-$V498&gt;28,"OVERDUE: no reply yet","Reply due by "&amp;TEXT($V498+28,"dd/mm/yyyy"))))</f>
        <v/>
      </c>
      <c r="Y498" s="54"/>
    </row>
    <row r="499" spans="1:25">
      <c r="A499" s="54"/>
      <c r="B499" s="54"/>
      <c r="C499" s="51"/>
      <c r="D499" s="52"/>
      <c r="E499" s="120"/>
      <c r="F499" s="120"/>
      <c r="G499" s="52"/>
      <c r="H499" s="52"/>
      <c r="I499" s="52"/>
      <c r="J499" s="121">
        <f>IF(OR($A499="",NOT(ISNUMBER($F499))),"",IF($F499&lt;=0,"No deposit",IF(NOT(ISNUMBER($G499)),"Enter date received",IF(AND(ISNUMBER($H499),ISNUMBER($I499)),IF(MAX($H499,$I499)-$G499&lt;=29,"OK","LATE: protected / info served after day 30"),IF(TODAY()-$G499&gt;29,"OVERDUE: not protected / info not served","Protect + serve info by "&amp;TEXT($G499+29,"dd/mm/yyyy"))))))</f>
        <v/>
      </c>
      <c r="K499" s="97">
        <f>IF(OR(NOT(ISNUMBER($E499)),NOT(ISNUMBER($F499))),"",IF($F499&lt;=$E499*12/52*5,"OK","Over 5 weeks"))</f>
        <v/>
      </c>
      <c r="L499" s="52"/>
      <c r="M499" s="52"/>
      <c r="N499" s="122">
        <f>IF(OR($A499="",NOT(ISNUMBER($L499))),IF($A499="","","Not recorded"),IF(NOT(ISNUMBER($M499)),"Checked (no follow-up)",IF($M499&lt;TODAY(),"OVERDUE: follow-up check",IF($M499-TODAY()&lt;=60,"Follow-up due "&amp;TEXT($M499,"dd/mm/yyyy"),"Checked"))))</f>
        <v/>
      </c>
      <c r="O499" s="52"/>
      <c r="P499" s="52"/>
      <c r="Q499" s="122">
        <f>IF($A499="","",IF(NOT(ISNUMBER($D499)),"Enter start date",IF($D499&gt;=DATE(2026,5,1),IF(ISNUMBER($O499),"Complete","Missing: written terms"),IF(OR(ISNUMBER($P499),ISNUMBER($O499)),"Complete","Missing: Information Sheet (was due 31/05/2026)"))))</f>
        <v/>
      </c>
      <c r="R499" s="52"/>
      <c r="S499" s="82">
        <f>IF(ISNUMBER($R499),$R499+364,IF(ISNUMBER($D499),$D499+364,""))</f>
        <v/>
      </c>
      <c r="T499" s="52"/>
      <c r="U499" s="82">
        <f>IF(ISNUMBER($T499),IF(ISNUMBER($S499),MAX(EDATE($T499,2),$S499),EDATE($T499,2)),"")</f>
        <v/>
      </c>
      <c r="V499" s="52"/>
      <c r="W499" s="52"/>
      <c r="X499" s="121">
        <f>IF(NOT(ISNUMBER($V499)),"",IF(ISNUMBER($W499),IF($W499-$V499&lt;=28,"Answered in time","LATE: answered after day 28"),IF(TODAY()-$V499&gt;28,"OVERDUE: no reply yet","Reply due by "&amp;TEXT($V499+28,"dd/mm/yyyy"))))</f>
        <v/>
      </c>
      <c r="Y499" s="54"/>
    </row>
    <row r="500" spans="1:25">
      <c r="A500" s="54"/>
      <c r="B500" s="54"/>
      <c r="C500" s="51"/>
      <c r="D500" s="52"/>
      <c r="E500" s="120"/>
      <c r="F500" s="120"/>
      <c r="G500" s="52"/>
      <c r="H500" s="52"/>
      <c r="I500" s="52"/>
      <c r="J500" s="121">
        <f>IF(OR($A500="",NOT(ISNUMBER($F500))),"",IF($F500&lt;=0,"No deposit",IF(NOT(ISNUMBER($G500)),"Enter date received",IF(AND(ISNUMBER($H500),ISNUMBER($I500)),IF(MAX($H500,$I500)-$G500&lt;=29,"OK","LATE: protected / info served after day 30"),IF(TODAY()-$G500&gt;29,"OVERDUE: not protected / info not served","Protect + serve info by "&amp;TEXT($G500+29,"dd/mm/yyyy"))))))</f>
        <v/>
      </c>
      <c r="K500" s="97">
        <f>IF(OR(NOT(ISNUMBER($E500)),NOT(ISNUMBER($F500))),"",IF($F500&lt;=$E500*12/52*5,"OK","Over 5 weeks"))</f>
        <v/>
      </c>
      <c r="L500" s="52"/>
      <c r="M500" s="52"/>
      <c r="N500" s="122">
        <f>IF(OR($A500="",NOT(ISNUMBER($L500))),IF($A500="","","Not recorded"),IF(NOT(ISNUMBER($M500)),"Checked (no follow-up)",IF($M500&lt;TODAY(),"OVERDUE: follow-up check",IF($M500-TODAY()&lt;=60,"Follow-up due "&amp;TEXT($M500,"dd/mm/yyyy"),"Checked"))))</f>
        <v/>
      </c>
      <c r="O500" s="52"/>
      <c r="P500" s="52"/>
      <c r="Q500" s="122">
        <f>IF($A500="","",IF(NOT(ISNUMBER($D500)),"Enter start date",IF($D500&gt;=DATE(2026,5,1),IF(ISNUMBER($O500),"Complete","Missing: written terms"),IF(OR(ISNUMBER($P500),ISNUMBER($O500)),"Complete","Missing: Information Sheet (was due 31/05/2026)"))))</f>
        <v/>
      </c>
      <c r="R500" s="52"/>
      <c r="S500" s="82">
        <f>IF(ISNUMBER($R500),$R500+364,IF(ISNUMBER($D500),$D500+364,""))</f>
        <v/>
      </c>
      <c r="T500" s="52"/>
      <c r="U500" s="82">
        <f>IF(ISNUMBER($T500),IF(ISNUMBER($S500),MAX(EDATE($T500,2),$S500),EDATE($T500,2)),"")</f>
        <v/>
      </c>
      <c r="V500" s="52"/>
      <c r="W500" s="52"/>
      <c r="X500" s="121">
        <f>IF(NOT(ISNUMBER($V500)),"",IF(ISNUMBER($W500),IF($W500-$V500&lt;=28,"Answered in time","LATE: answered after day 28"),IF(TODAY()-$V500&gt;28,"OVERDUE: no reply yet","Reply due by "&amp;TEXT($V500+28,"dd/mm/yyyy"))))</f>
        <v/>
      </c>
      <c r="Y500" s="54"/>
    </row>
    <row r="501" spans="1:25">
      <c r="A501" s="54"/>
      <c r="B501" s="54"/>
      <c r="C501" s="51"/>
      <c r="D501" s="52"/>
      <c r="E501" s="120"/>
      <c r="F501" s="120"/>
      <c r="G501" s="52"/>
      <c r="H501" s="52"/>
      <c r="I501" s="52"/>
      <c r="J501" s="121">
        <f>IF(OR($A501="",NOT(ISNUMBER($F501))),"",IF($F501&lt;=0,"No deposit",IF(NOT(ISNUMBER($G501)),"Enter date received",IF(AND(ISNUMBER($H501),ISNUMBER($I501)),IF(MAX($H501,$I501)-$G501&lt;=29,"OK","LATE: protected / info served after day 30"),IF(TODAY()-$G501&gt;29,"OVERDUE: not protected / info not served","Protect + serve info by "&amp;TEXT($G501+29,"dd/mm/yyyy"))))))</f>
        <v/>
      </c>
      <c r="K501" s="97">
        <f>IF(OR(NOT(ISNUMBER($E501)),NOT(ISNUMBER($F501))),"",IF($F501&lt;=$E501*12/52*5,"OK","Over 5 weeks"))</f>
        <v/>
      </c>
      <c r="L501" s="52"/>
      <c r="M501" s="52"/>
      <c r="N501" s="122">
        <f>IF(OR($A501="",NOT(ISNUMBER($L501))),IF($A501="","","Not recorded"),IF(NOT(ISNUMBER($M501)),"Checked (no follow-up)",IF($M501&lt;TODAY(),"OVERDUE: follow-up check",IF($M501-TODAY()&lt;=60,"Follow-up due "&amp;TEXT($M501,"dd/mm/yyyy"),"Checked"))))</f>
        <v/>
      </c>
      <c r="O501" s="52"/>
      <c r="P501" s="52"/>
      <c r="Q501" s="122">
        <f>IF($A501="","",IF(NOT(ISNUMBER($D501)),"Enter start date",IF($D501&gt;=DATE(2026,5,1),IF(ISNUMBER($O501),"Complete","Missing: written terms"),IF(OR(ISNUMBER($P501),ISNUMBER($O501)),"Complete","Missing: Information Sheet (was due 31/05/2026)"))))</f>
        <v/>
      </c>
      <c r="R501" s="52"/>
      <c r="S501" s="82">
        <f>IF(ISNUMBER($R501),$R501+364,IF(ISNUMBER($D501),$D501+364,""))</f>
        <v/>
      </c>
      <c r="T501" s="52"/>
      <c r="U501" s="82">
        <f>IF(ISNUMBER($T501),IF(ISNUMBER($S501),MAX(EDATE($T501,2),$S501),EDATE($T501,2)),"")</f>
        <v/>
      </c>
      <c r="V501" s="52"/>
      <c r="W501" s="52"/>
      <c r="X501" s="121">
        <f>IF(NOT(ISNUMBER($V501)),"",IF(ISNUMBER($W501),IF($W501-$V501&lt;=28,"Answered in time","LATE: answered after day 28"),IF(TODAY()-$V501&gt;28,"OVERDUE: no reply yet","Reply due by "&amp;TEXT($V501+28,"dd/mm/yyyy"))))</f>
        <v/>
      </c>
      <c r="Y501" s="54"/>
    </row>
    <row r="502" spans="1:25">
      <c r="A502" s="54"/>
      <c r="B502" s="54"/>
      <c r="C502" s="51"/>
      <c r="D502" s="52"/>
      <c r="E502" s="120"/>
      <c r="F502" s="120"/>
      <c r="G502" s="52"/>
      <c r="H502" s="52"/>
      <c r="I502" s="52"/>
      <c r="J502" s="121">
        <f>IF(OR($A502="",NOT(ISNUMBER($F502))),"",IF($F502&lt;=0,"No deposit",IF(NOT(ISNUMBER($G502)),"Enter date received",IF(AND(ISNUMBER($H502),ISNUMBER($I502)),IF(MAX($H502,$I502)-$G502&lt;=29,"OK","LATE: protected / info served after day 30"),IF(TODAY()-$G502&gt;29,"OVERDUE: not protected / info not served","Protect + serve info by "&amp;TEXT($G502+29,"dd/mm/yyyy"))))))</f>
        <v/>
      </c>
      <c r="K502" s="97">
        <f>IF(OR(NOT(ISNUMBER($E502)),NOT(ISNUMBER($F502))),"",IF($F502&lt;=$E502*12/52*5,"OK","Over 5 weeks"))</f>
        <v/>
      </c>
      <c r="L502" s="52"/>
      <c r="M502" s="52"/>
      <c r="N502" s="122">
        <f>IF(OR($A502="",NOT(ISNUMBER($L502))),IF($A502="","","Not recorded"),IF(NOT(ISNUMBER($M502)),"Checked (no follow-up)",IF($M502&lt;TODAY(),"OVERDUE: follow-up check",IF($M502-TODAY()&lt;=60,"Follow-up due "&amp;TEXT($M502,"dd/mm/yyyy"),"Checked"))))</f>
        <v/>
      </c>
      <c r="O502" s="52"/>
      <c r="P502" s="52"/>
      <c r="Q502" s="122">
        <f>IF($A502="","",IF(NOT(ISNUMBER($D502)),"Enter start date",IF($D502&gt;=DATE(2026,5,1),IF(ISNUMBER($O502),"Complete","Missing: written terms"),IF(OR(ISNUMBER($P502),ISNUMBER($O502)),"Complete","Missing: Information Sheet (was due 31/05/2026)"))))</f>
        <v/>
      </c>
      <c r="R502" s="52"/>
      <c r="S502" s="82">
        <f>IF(ISNUMBER($R502),$R502+364,IF(ISNUMBER($D502),$D502+364,""))</f>
        <v/>
      </c>
      <c r="T502" s="52"/>
      <c r="U502" s="82">
        <f>IF(ISNUMBER($T502),IF(ISNUMBER($S502),MAX(EDATE($T502,2),$S502),EDATE($T502,2)),"")</f>
        <v/>
      </c>
      <c r="V502" s="52"/>
      <c r="W502" s="52"/>
      <c r="X502" s="121">
        <f>IF(NOT(ISNUMBER($V502)),"",IF(ISNUMBER($W502),IF($W502-$V502&lt;=28,"Answered in time","LATE: answered after day 28"),IF(TODAY()-$V502&gt;28,"OVERDUE: no reply yet","Reply due by "&amp;TEXT($V502+28,"dd/mm/yyyy"))))</f>
        <v/>
      </c>
      <c r="Y502" s="54"/>
    </row>
    <row r="503" spans="1:25">
      <c r="A503" s="54"/>
      <c r="B503" s="54"/>
      <c r="C503" s="51"/>
      <c r="D503" s="52"/>
      <c r="E503" s="120"/>
      <c r="F503" s="120"/>
      <c r="G503" s="52"/>
      <c r="H503" s="52"/>
      <c r="I503" s="52"/>
      <c r="J503" s="121">
        <f>IF(OR($A503="",NOT(ISNUMBER($F503))),"",IF($F503&lt;=0,"No deposit",IF(NOT(ISNUMBER($G503)),"Enter date received",IF(AND(ISNUMBER($H503),ISNUMBER($I503)),IF(MAX($H503,$I503)-$G503&lt;=29,"OK","LATE: protected / info served after day 30"),IF(TODAY()-$G503&gt;29,"OVERDUE: not protected / info not served","Protect + serve info by "&amp;TEXT($G503+29,"dd/mm/yyyy"))))))</f>
        <v/>
      </c>
      <c r="K503" s="97">
        <f>IF(OR(NOT(ISNUMBER($E503)),NOT(ISNUMBER($F503))),"",IF($F503&lt;=$E503*12/52*5,"OK","Over 5 weeks"))</f>
        <v/>
      </c>
      <c r="L503" s="52"/>
      <c r="M503" s="52"/>
      <c r="N503" s="122">
        <f>IF(OR($A503="",NOT(ISNUMBER($L503))),IF($A503="","","Not recorded"),IF(NOT(ISNUMBER($M503)),"Checked (no follow-up)",IF($M503&lt;TODAY(),"OVERDUE: follow-up check",IF($M503-TODAY()&lt;=60,"Follow-up due "&amp;TEXT($M503,"dd/mm/yyyy"),"Checked"))))</f>
        <v/>
      </c>
      <c r="O503" s="52"/>
      <c r="P503" s="52"/>
      <c r="Q503" s="122">
        <f>IF($A503="","",IF(NOT(ISNUMBER($D503)),"Enter start date",IF($D503&gt;=DATE(2026,5,1),IF(ISNUMBER($O503),"Complete","Missing: written terms"),IF(OR(ISNUMBER($P503),ISNUMBER($O503)),"Complete","Missing: Information Sheet (was due 31/05/2026)"))))</f>
        <v/>
      </c>
      <c r="R503" s="52"/>
      <c r="S503" s="82">
        <f>IF(ISNUMBER($R503),$R503+364,IF(ISNUMBER($D503),$D503+364,""))</f>
        <v/>
      </c>
      <c r="T503" s="52"/>
      <c r="U503" s="82">
        <f>IF(ISNUMBER($T503),IF(ISNUMBER($S503),MAX(EDATE($T503,2),$S503),EDATE($T503,2)),"")</f>
        <v/>
      </c>
      <c r="V503" s="52"/>
      <c r="W503" s="52"/>
      <c r="X503" s="121">
        <f>IF(NOT(ISNUMBER($V503)),"",IF(ISNUMBER($W503),IF($W503-$V503&lt;=28,"Answered in time","LATE: answered after day 28"),IF(TODAY()-$V503&gt;28,"OVERDUE: no reply yet","Reply due by "&amp;TEXT($V503+28,"dd/mm/yyyy"))))</f>
        <v/>
      </c>
      <c r="Y503" s="54"/>
    </row>
    <row r="504" spans="1:25">
      <c r="A504" s="54"/>
      <c r="B504" s="54"/>
      <c r="C504" s="51"/>
      <c r="D504" s="52"/>
      <c r="E504" s="120"/>
      <c r="F504" s="120"/>
      <c r="G504" s="52"/>
      <c r="H504" s="52"/>
      <c r="I504" s="52"/>
      <c r="J504" s="121">
        <f>IF(OR($A504="",NOT(ISNUMBER($F504))),"",IF($F504&lt;=0,"No deposit",IF(NOT(ISNUMBER($G504)),"Enter date received",IF(AND(ISNUMBER($H504),ISNUMBER($I504)),IF(MAX($H504,$I504)-$G504&lt;=29,"OK","LATE: protected / info served after day 30"),IF(TODAY()-$G504&gt;29,"OVERDUE: not protected / info not served","Protect + serve info by "&amp;TEXT($G504+29,"dd/mm/yyyy"))))))</f>
        <v/>
      </c>
      <c r="K504" s="97">
        <f>IF(OR(NOT(ISNUMBER($E504)),NOT(ISNUMBER($F504))),"",IF($F504&lt;=$E504*12/52*5,"OK","Over 5 weeks"))</f>
        <v/>
      </c>
      <c r="L504" s="52"/>
      <c r="M504" s="52"/>
      <c r="N504" s="122">
        <f>IF(OR($A504="",NOT(ISNUMBER($L504))),IF($A504="","","Not recorded"),IF(NOT(ISNUMBER($M504)),"Checked (no follow-up)",IF($M504&lt;TODAY(),"OVERDUE: follow-up check",IF($M504-TODAY()&lt;=60,"Follow-up due "&amp;TEXT($M504,"dd/mm/yyyy"),"Checked"))))</f>
        <v/>
      </c>
      <c r="O504" s="52"/>
      <c r="P504" s="52"/>
      <c r="Q504" s="122">
        <f>IF($A504="","",IF(NOT(ISNUMBER($D504)),"Enter start date",IF($D504&gt;=DATE(2026,5,1),IF(ISNUMBER($O504),"Complete","Missing: written terms"),IF(OR(ISNUMBER($P504),ISNUMBER($O504)),"Complete","Missing: Information Sheet (was due 31/05/2026)"))))</f>
        <v/>
      </c>
      <c r="R504" s="52"/>
      <c r="S504" s="82">
        <f>IF(ISNUMBER($R504),$R504+364,IF(ISNUMBER($D504),$D504+364,""))</f>
        <v/>
      </c>
      <c r="T504" s="52"/>
      <c r="U504" s="82">
        <f>IF(ISNUMBER($T504),IF(ISNUMBER($S504),MAX(EDATE($T504,2),$S504),EDATE($T504,2)),"")</f>
        <v/>
      </c>
      <c r="V504" s="52"/>
      <c r="W504" s="52"/>
      <c r="X504" s="121">
        <f>IF(NOT(ISNUMBER($V504)),"",IF(ISNUMBER($W504),IF($W504-$V504&lt;=28,"Answered in time","LATE: answered after day 28"),IF(TODAY()-$V504&gt;28,"OVERDUE: no reply yet","Reply due by "&amp;TEXT($V504+28,"dd/mm/yyyy"))))</f>
        <v/>
      </c>
      <c r="Y504" s="54"/>
    </row>
    <row r="505" spans="1:25">
      <c r="A505" s="54"/>
      <c r="B505" s="54"/>
      <c r="C505" s="51"/>
      <c r="D505" s="52"/>
      <c r="E505" s="120"/>
      <c r="F505" s="120"/>
      <c r="G505" s="52"/>
      <c r="H505" s="52"/>
      <c r="I505" s="52"/>
      <c r="J505" s="121">
        <f>IF(OR($A505="",NOT(ISNUMBER($F505))),"",IF($F505&lt;=0,"No deposit",IF(NOT(ISNUMBER($G505)),"Enter date received",IF(AND(ISNUMBER($H505),ISNUMBER($I505)),IF(MAX($H505,$I505)-$G505&lt;=29,"OK","LATE: protected / info served after day 30"),IF(TODAY()-$G505&gt;29,"OVERDUE: not protected / info not served","Protect + serve info by "&amp;TEXT($G505+29,"dd/mm/yyyy"))))))</f>
        <v/>
      </c>
      <c r="K505" s="97">
        <f>IF(OR(NOT(ISNUMBER($E505)),NOT(ISNUMBER($F505))),"",IF($F505&lt;=$E505*12/52*5,"OK","Over 5 weeks"))</f>
        <v/>
      </c>
      <c r="L505" s="52"/>
      <c r="M505" s="52"/>
      <c r="N505" s="122">
        <f>IF(OR($A505="",NOT(ISNUMBER($L505))),IF($A505="","","Not recorded"),IF(NOT(ISNUMBER($M505)),"Checked (no follow-up)",IF($M505&lt;TODAY(),"OVERDUE: follow-up check",IF($M505-TODAY()&lt;=60,"Follow-up due "&amp;TEXT($M505,"dd/mm/yyyy"),"Checked"))))</f>
        <v/>
      </c>
      <c r="O505" s="52"/>
      <c r="P505" s="52"/>
      <c r="Q505" s="122">
        <f>IF($A505="","",IF(NOT(ISNUMBER($D505)),"Enter start date",IF($D505&gt;=DATE(2026,5,1),IF(ISNUMBER($O505),"Complete","Missing: written terms"),IF(OR(ISNUMBER($P505),ISNUMBER($O505)),"Complete","Missing: Information Sheet (was due 31/05/2026)"))))</f>
        <v/>
      </c>
      <c r="R505" s="52"/>
      <c r="S505" s="82">
        <f>IF(ISNUMBER($R505),$R505+364,IF(ISNUMBER($D505),$D505+364,""))</f>
        <v/>
      </c>
      <c r="T505" s="52"/>
      <c r="U505" s="82">
        <f>IF(ISNUMBER($T505),IF(ISNUMBER($S505),MAX(EDATE($T505,2),$S505),EDATE($T505,2)),"")</f>
        <v/>
      </c>
      <c r="V505" s="52"/>
      <c r="W505" s="52"/>
      <c r="X505" s="121">
        <f>IF(NOT(ISNUMBER($V505)),"",IF(ISNUMBER($W505),IF($W505-$V505&lt;=28,"Answered in time","LATE: answered after day 28"),IF(TODAY()-$V505&gt;28,"OVERDUE: no reply yet","Reply due by "&amp;TEXT($V505+28,"dd/mm/yyyy"))))</f>
        <v/>
      </c>
      <c r="Y505" s="54"/>
    </row>
  </sheetData>
  <mergeCells count="1">
    <mergeCell ref="A3:Y3"/>
  </mergeCells>
  <conditionalFormatting sqref="D6:D505">
    <cfRule type="expression" dxfId="5" priority="1">
      <formula>AND(D6&lt;&gt;"",NOT(ISNUMBER(D6)))</formula>
    </cfRule>
  </conditionalFormatting>
  <conditionalFormatting sqref="G6:G505">
    <cfRule type="expression" dxfId="5" priority="2">
      <formula>AND(G6&lt;&gt;"",NOT(ISNUMBER(G6)))</formula>
    </cfRule>
  </conditionalFormatting>
  <conditionalFormatting sqref="H6:H505">
    <cfRule type="expression" dxfId="5" priority="3">
      <formula>AND(H6&lt;&gt;"",NOT(ISNUMBER(H6)))</formula>
    </cfRule>
  </conditionalFormatting>
  <conditionalFormatting sqref="I6:I505">
    <cfRule type="expression" dxfId="5" priority="4">
      <formula>AND(I6&lt;&gt;"",NOT(ISNUMBER(I6)))</formula>
    </cfRule>
  </conditionalFormatting>
  <conditionalFormatting sqref="J6:J505">
    <cfRule type="expression" dxfId="0" priority="13">
      <formula>OR(LEFT(J6,4)="OVER",LEFT(J6,4)="LATE",LEFT(J6,7)="Missing")</formula>
    </cfRule>
    <cfRule type="expression" dxfId="2" priority="14">
      <formula>OR(LEFT(J6,7)="Protect",LEFT(J6,5)="Enter",LEFT(J6,9)="Follow-up",LEFT(J6,5)="Reply",LEFT(J6,3)="Not")</formula>
    </cfRule>
    <cfRule type="expression" dxfId="3" priority="15">
      <formula>OR(J6="OK",J6="Complete",J6="Answered in time",LEFT(J6,7)="Checked")</formula>
    </cfRule>
  </conditionalFormatting>
  <conditionalFormatting sqref="K6:K505">
    <cfRule type="expression" dxfId="0" priority="25">
      <formula>OR(LEFT(K6,4)="OVER",LEFT(K6,4)="LATE",LEFT(K6,7)="Missing")</formula>
    </cfRule>
    <cfRule type="expression" dxfId="2" priority="26">
      <formula>OR(LEFT(K6,7)="Protect",LEFT(K6,5)="Enter",LEFT(K6,9)="Follow-up",LEFT(K6,5)="Reply",LEFT(K6,3)="Not")</formula>
    </cfRule>
    <cfRule type="expression" dxfId="3" priority="27">
      <formula>OR(K6="OK",K6="Complete",K6="Answered in time",LEFT(K6,7)="Checked")</formula>
    </cfRule>
  </conditionalFormatting>
  <conditionalFormatting sqref="L6:L505">
    <cfRule type="expression" dxfId="5" priority="5">
      <formula>AND(L6&lt;&gt;"",NOT(ISNUMBER(L6)))</formula>
    </cfRule>
  </conditionalFormatting>
  <conditionalFormatting sqref="M6:M505">
    <cfRule type="expression" dxfId="5" priority="6">
      <formula>AND(M6&lt;&gt;"",NOT(ISNUMBER(M6)))</formula>
    </cfRule>
  </conditionalFormatting>
  <conditionalFormatting sqref="N6:N505">
    <cfRule type="expression" dxfId="0" priority="16">
      <formula>OR(LEFT(N6,4)="OVER",LEFT(N6,4)="LATE",LEFT(N6,7)="Missing")</formula>
    </cfRule>
    <cfRule type="expression" dxfId="2" priority="17">
      <formula>OR(LEFT(N6,7)="Protect",LEFT(N6,5)="Enter",LEFT(N6,9)="Follow-up",LEFT(N6,5)="Reply",LEFT(N6,3)="Not")</formula>
    </cfRule>
    <cfRule type="expression" dxfId="3" priority="18">
      <formula>OR(N6="OK",N6="Complete",N6="Answered in time",LEFT(N6,7)="Checked")</formula>
    </cfRule>
  </conditionalFormatting>
  <conditionalFormatting sqref="O6:O505">
    <cfRule type="expression" dxfId="5" priority="7">
      <formula>AND(O6&lt;&gt;"",NOT(ISNUMBER(O6)))</formula>
    </cfRule>
  </conditionalFormatting>
  <conditionalFormatting sqref="P6:P505">
    <cfRule type="expression" dxfId="5" priority="8">
      <formula>AND(P6&lt;&gt;"",NOT(ISNUMBER(P6)))</formula>
    </cfRule>
  </conditionalFormatting>
  <conditionalFormatting sqref="Q6:Q505">
    <cfRule type="expression" dxfId="0" priority="19">
      <formula>OR(LEFT(Q6,4)="OVER",LEFT(Q6,4)="LATE",LEFT(Q6,7)="Missing")</formula>
    </cfRule>
    <cfRule type="expression" dxfId="2" priority="20">
      <formula>OR(LEFT(Q6,7)="Protect",LEFT(Q6,5)="Enter",LEFT(Q6,9)="Follow-up",LEFT(Q6,5)="Reply",LEFT(Q6,3)="Not")</formula>
    </cfRule>
    <cfRule type="expression" dxfId="3" priority="21">
      <formula>OR(Q6="OK",Q6="Complete",Q6="Answered in time",LEFT(Q6,7)="Checked")</formula>
    </cfRule>
  </conditionalFormatting>
  <conditionalFormatting sqref="R6:R505">
    <cfRule type="expression" dxfId="5" priority="9">
      <formula>AND(R6&lt;&gt;"",NOT(ISNUMBER(R6)))</formula>
    </cfRule>
  </conditionalFormatting>
  <conditionalFormatting sqref="T6:T505">
    <cfRule type="expression" dxfId="5" priority="10">
      <formula>AND(T6&lt;&gt;"",NOT(ISNUMBER(T6)))</formula>
    </cfRule>
  </conditionalFormatting>
  <conditionalFormatting sqref="V6:V505">
    <cfRule type="expression" dxfId="5" priority="11">
      <formula>AND(V6&lt;&gt;"",NOT(ISNUMBER(V6)))</formula>
    </cfRule>
  </conditionalFormatting>
  <conditionalFormatting sqref="W6:W505">
    <cfRule type="expression" dxfId="5" priority="12">
      <formula>AND(W6&lt;&gt;"",NOT(ISNUMBER(W6)))</formula>
    </cfRule>
  </conditionalFormatting>
  <conditionalFormatting sqref="X6:X505">
    <cfRule type="expression" dxfId="0" priority="22">
      <formula>OR(LEFT(X6,4)="OVER",LEFT(X6,4)="LATE",LEFT(X6,7)="Missing")</formula>
    </cfRule>
    <cfRule type="expression" dxfId="2" priority="23">
      <formula>OR(LEFT(X6,7)="Protect",LEFT(X6,5)="Enter",LEFT(X6,9)="Follow-up",LEFT(X6,5)="Reply",LEFT(X6,3)="Not")</formula>
    </cfRule>
    <cfRule type="expression" dxfId="3" priority="24">
      <formula>OR(X6="OK",X6="Complete",X6="Answered in time",LEFT(X6,7)="Checked")</formula>
    </cfRule>
  </conditionalFormatting>
  <dataValidations count="13">
    <dataValidation type="list" allowBlank="1" showInputMessage="1" showErrorMessage="1" errorTitle="Property not found" error="Choose a property from the dropdown." sqref="B6:B505">
      <formula1>Properties!$A$6:$A$105</formula1>
    </dataValidation>
    <dataValidation type="date" allowBlank="1" showInputMessage="1" showErrorMessage="1" errorTitle="Not a date" error="Enter a date as dd/mm/yyyy. In Google Sheets set File &gt; Settings &gt; Locale to United Kingdom." sqref="D6:D505">
      <formula1>36526</formula1>
      <formula2>73415</formula2>
    </dataValidation>
    <dataValidation type="date" allowBlank="1" showInputMessage="1" showErrorMessage="1" errorTitle="Not a date" error="Enter a date as dd/mm/yyyy. In Google Sheets set File &gt; Settings &gt; Locale to United Kingdom." sqref="G6:G505">
      <formula1>36526</formula1>
      <formula2>73415</formula2>
    </dataValidation>
    <dataValidation type="date" allowBlank="1" showInputMessage="1" showErrorMessage="1" errorTitle="Not a date" error="Enter a date as dd/mm/yyyy. In Google Sheets set File &gt; Settings &gt; Locale to United Kingdom." sqref="H6:H505">
      <formula1>36526</formula1>
      <formula2>73415</formula2>
    </dataValidation>
    <dataValidation type="date" allowBlank="1" showInputMessage="1" showErrorMessage="1" errorTitle="Not a date" error="Enter a date as dd/mm/yyyy. In Google Sheets set File &gt; Settings &gt; Locale to United Kingdom." sqref="I6:I505">
      <formula1>36526</formula1>
      <formula2>73415</formula2>
    </dataValidation>
    <dataValidation type="date" allowBlank="1" showInputMessage="1" showErrorMessage="1" errorTitle="Not a date" error="Enter a date as dd/mm/yyyy. In Google Sheets set File &gt; Settings &gt; Locale to United Kingdom." sqref="L6:L505">
      <formula1>36526</formula1>
      <formula2>73415</formula2>
    </dataValidation>
    <dataValidation type="date" allowBlank="1" showInputMessage="1" showErrorMessage="1" errorTitle="Not a date" error="Enter a date as dd/mm/yyyy. In Google Sheets set File &gt; Settings &gt; Locale to United Kingdom." sqref="M6:M505">
      <formula1>36526</formula1>
      <formula2>73415</formula2>
    </dataValidation>
    <dataValidation type="date" allowBlank="1" showInputMessage="1" showErrorMessage="1" errorTitle="Not a date" error="Enter a date as dd/mm/yyyy. In Google Sheets set File &gt; Settings &gt; Locale to United Kingdom." sqref="O6:O505">
      <formula1>36526</formula1>
      <formula2>73415</formula2>
    </dataValidation>
    <dataValidation type="date" allowBlank="1" showInputMessage="1" showErrorMessage="1" errorTitle="Not a date" error="Enter a date as dd/mm/yyyy. In Google Sheets set File &gt; Settings &gt; Locale to United Kingdom." sqref="P6:P505">
      <formula1>36526</formula1>
      <formula2>73415</formula2>
    </dataValidation>
    <dataValidation type="date" allowBlank="1" showInputMessage="1" showErrorMessage="1" errorTitle="Not a date" error="Enter a date as dd/mm/yyyy. In Google Sheets set File &gt; Settings &gt; Locale to United Kingdom." sqref="R6:R505">
      <formula1>36526</formula1>
      <formula2>73415</formula2>
    </dataValidation>
    <dataValidation type="date" allowBlank="1" showInputMessage="1" showErrorMessage="1" errorTitle="Not a date" error="Enter a date as dd/mm/yyyy. In Google Sheets set File &gt; Settings &gt; Locale to United Kingdom." sqref="T6:T505">
      <formula1>36526</formula1>
      <formula2>73415</formula2>
    </dataValidation>
    <dataValidation type="date" allowBlank="1" showInputMessage="1" showErrorMessage="1" errorTitle="Not a date" error="Enter a date as dd/mm/yyyy. In Google Sheets set File &gt; Settings &gt; Locale to United Kingdom." sqref="V6:V505">
      <formula1>36526</formula1>
      <formula2>73415</formula2>
    </dataValidation>
    <dataValidation type="date" allowBlank="1" showInputMessage="1" showErrorMessage="1" errorTitle="Not a date" error="Enter a date as dd/mm/yyyy. In Google Sheets set File &gt; Settings &gt; Locale to United Kingdom." sqref="W6:W505">
      <formula1>36526</formula1>
      <formula2>73415</formula2>
    </dataValidation>
  </dataValidations>
  <pageMargins left="0.4" right="0.4" top="0.5" bottom="0.55" header="0.3" footer="0.3"/>
  <pageSetup paperSize="9" fitToWidth="2" fitToHeight="0" orientation="landscape"/>
  <headerFooter>
    <oddFooter>&amp;L&amp;8&amp;A&amp;C&amp;8Page &amp;P of &amp;N&amp;R&amp;8Printed &amp;D</oddFooter>
  </headerFooter>
  <ignoredErrors>
    <ignoredError sqref="A1:Z2000" numberStoredAsText="1"/>
    <ignoredError sqref="A1:Z2000" formula="1"/>
  </ignoredErrors>
</worksheet>
</file>

<file path=xl/worksheets/sheet9.xml><?xml version="1.0" encoding="utf-8"?>
<worksheet xmlns="http://schemas.openxmlformats.org/spreadsheetml/2006/main" xmlns:r="http://schemas.openxmlformats.org/officeDocument/2006/relationships">
  <sheetPr>
    <tabColor rgb="FF546E7A"/>
    <pageSetUpPr fitToPage="1"/>
  </sheetPr>
  <dimension ref="A1:H55"/>
  <sheetViews>
    <sheetView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8.7109375" customWidth="1"/>
    <col min="2" max="2" width="24.7109375" customWidth="1"/>
    <col min="3" max="3" width="18.7109375" customWidth="1"/>
    <col min="4" max="4" width="20.7109375" customWidth="1"/>
    <col min="5" max="5" width="16.7109375" customWidth="1"/>
    <col min="6" max="6" width="30.7109375" customWidth="1"/>
    <col min="7" max="7" width="12.7109375" customWidth="1"/>
    <col min="8" max="8" width="46.7109375" customWidth="1"/>
  </cols>
  <sheetData>
    <row r="1" spans="1:8" ht="17" customHeight="1">
      <c r="A1" s="25" t="str">
        <f>IF(TRIM('Start Here'!$C$20)="","HMO Compliance Tracker 2026",TRIM('Start Here'!$C$20))&amp;IF(TRIM('Start Here'!$C$21)="","","  |  "&amp;TRIM('Start Here'!$C$21))&amp;IF(TRIM('Start Here'!$C$22)="","","  |  "&amp;TRIM('Start Here'!$C$22))&amp;IF(TRIM('Start Here'!$C$23)="","","  |  "&amp;TRIM('Start Here'!$C$23))</f>
        <v>HMO Compliance Tracker 2026</v>
      </c>
      <c r="B1" s="26"/>
      <c r="C1" s="26"/>
      <c r="D1" s="26"/>
      <c r="E1" s="26"/>
      <c r="F1" s="26"/>
      <c r="G1" s="26"/>
      <c r="H1" s="26"/>
    </row>
    <row r="2" spans="1:8" ht="30" customHeight="1">
      <c r="A2" s="55" t="s">
        <v>62</v>
      </c>
    </row>
    <row r="3" spans="1:8" ht="32" customHeight="1">
      <c r="A3" s="95" t="s">
        <v>428</v>
      </c>
      <c r="B3" s="95"/>
      <c r="C3" s="95"/>
      <c r="D3" s="95"/>
      <c r="E3" s="95"/>
      <c r="F3" s="95"/>
      <c r="G3" s="95"/>
      <c r="H3" s="95"/>
    </row>
    <row r="4" spans="1:8" ht="6" customHeight="1"/>
    <row r="5" spans="1:8" ht="30" customHeight="1">
      <c r="A5" s="96" t="s">
        <v>429</v>
      </c>
      <c r="B5" s="96" t="s">
        <v>430</v>
      </c>
      <c r="C5" s="96" t="s">
        <v>431</v>
      </c>
      <c r="D5" s="96" t="s">
        <v>432</v>
      </c>
      <c r="E5" s="96" t="s">
        <v>28</v>
      </c>
      <c r="F5" s="96" t="s">
        <v>30</v>
      </c>
      <c r="G5" s="96" t="s">
        <v>433</v>
      </c>
      <c r="H5" s="96" t="s">
        <v>139</v>
      </c>
    </row>
    <row r="6" spans="1:8">
      <c r="A6" s="54" t="s">
        <v>222</v>
      </c>
      <c r="B6" s="54" t="s">
        <v>434</v>
      </c>
      <c r="C6" s="54" t="s">
        <v>435</v>
      </c>
      <c r="D6" s="54" t="s">
        <v>436</v>
      </c>
      <c r="E6" s="54" t="s">
        <v>437</v>
      </c>
      <c r="F6" s="54" t="s">
        <v>438</v>
      </c>
      <c r="G6" s="52">
        <f>TODAY()-(120)</f>
        <v>46177.0</v>
      </c>
      <c r="H6" s="54" t="s">
        <v>439</v>
      </c>
    </row>
    <row r="7" spans="1:8">
      <c r="A7" s="54" t="s">
        <v>226</v>
      </c>
      <c r="B7" s="54" t="s">
        <v>440</v>
      </c>
      <c r="C7" s="54" t="s">
        <v>441</v>
      </c>
      <c r="D7" s="54" t="s">
        <v>436</v>
      </c>
      <c r="E7" s="54" t="s">
        <v>442</v>
      </c>
      <c r="F7" s="54" t="s">
        <v>438</v>
      </c>
      <c r="G7" s="52">
        <f>TODAY()-(365)</f>
        <v>45932.0</v>
      </c>
      <c r="H7" s="54" t="s">
        <v>235</v>
      </c>
    </row>
    <row r="8" spans="1:8">
      <c r="A8" s="54" t="s">
        <v>230</v>
      </c>
      <c r="B8" s="54" t="s">
        <v>443</v>
      </c>
      <c r="C8" s="54" t="s">
        <v>444</v>
      </c>
      <c r="D8" s="54" t="s">
        <v>436</v>
      </c>
      <c r="E8" s="54" t="s">
        <v>445</v>
      </c>
      <c r="F8" s="54" t="s">
        <v>438</v>
      </c>
      <c r="G8" s="52">
        <f>TODAY()-(90)</f>
        <v>46207.0</v>
      </c>
      <c r="H8" s="54" t="s">
        <v>235</v>
      </c>
    </row>
    <row r="9" spans="1:8">
      <c r="A9" s="54"/>
      <c r="B9" s="54"/>
      <c r="C9" s="54"/>
      <c r="D9" s="54"/>
      <c r="E9" s="54"/>
      <c r="F9" s="54"/>
      <c r="G9" s="52"/>
      <c r="H9" s="54"/>
    </row>
    <row r="10" spans="1:8">
      <c r="A10" s="54"/>
      <c r="B10" s="54"/>
      <c r="C10" s="54"/>
      <c r="D10" s="54"/>
      <c r="E10" s="54"/>
      <c r="F10" s="54"/>
      <c r="G10" s="52"/>
      <c r="H10" s="54"/>
    </row>
    <row r="11" spans="1:8">
      <c r="A11" s="54"/>
      <c r="B11" s="54"/>
      <c r="C11" s="54"/>
      <c r="D11" s="54"/>
      <c r="E11" s="54"/>
      <c r="F11" s="54"/>
      <c r="G11" s="52"/>
      <c r="H11" s="54"/>
    </row>
    <row r="12" spans="1:8">
      <c r="A12" s="54"/>
      <c r="B12" s="54"/>
      <c r="C12" s="54"/>
      <c r="D12" s="54"/>
      <c r="E12" s="54"/>
      <c r="F12" s="54"/>
      <c r="G12" s="52"/>
      <c r="H12" s="54"/>
    </row>
    <row r="13" spans="1:8">
      <c r="A13" s="54"/>
      <c r="B13" s="54"/>
      <c r="C13" s="54"/>
      <c r="D13" s="54"/>
      <c r="E13" s="54"/>
      <c r="F13" s="54"/>
      <c r="G13" s="52"/>
      <c r="H13" s="54"/>
    </row>
    <row r="14" spans="1:8">
      <c r="A14" s="54"/>
      <c r="B14" s="54"/>
      <c r="C14" s="54"/>
      <c r="D14" s="54"/>
      <c r="E14" s="54"/>
      <c r="F14" s="54"/>
      <c r="G14" s="52"/>
      <c r="H14" s="54"/>
    </row>
    <row r="15" spans="1:8">
      <c r="A15" s="54"/>
      <c r="B15" s="54"/>
      <c r="C15" s="54"/>
      <c r="D15" s="54"/>
      <c r="E15" s="54"/>
      <c r="F15" s="54"/>
      <c r="G15" s="52"/>
      <c r="H15" s="54"/>
    </row>
    <row r="16" spans="1:8">
      <c r="A16" s="54"/>
      <c r="B16" s="54"/>
      <c r="C16" s="54"/>
      <c r="D16" s="54"/>
      <c r="E16" s="54"/>
      <c r="F16" s="54"/>
      <c r="G16" s="52"/>
      <c r="H16" s="54"/>
    </row>
    <row r="17" spans="1:8">
      <c r="A17" s="54"/>
      <c r="B17" s="54"/>
      <c r="C17" s="54"/>
      <c r="D17" s="54"/>
      <c r="E17" s="54"/>
      <c r="F17" s="54"/>
      <c r="G17" s="52"/>
      <c r="H17" s="54"/>
    </row>
    <row r="18" spans="1:8">
      <c r="A18" s="54"/>
      <c r="B18" s="54"/>
      <c r="C18" s="54"/>
      <c r="D18" s="54"/>
      <c r="E18" s="54"/>
      <c r="F18" s="54"/>
      <c r="G18" s="52"/>
      <c r="H18" s="54"/>
    </row>
    <row r="19" spans="1:8">
      <c r="A19" s="54"/>
      <c r="B19" s="54"/>
      <c r="C19" s="54"/>
      <c r="D19" s="54"/>
      <c r="E19" s="54"/>
      <c r="F19" s="54"/>
      <c r="G19" s="52"/>
      <c r="H19" s="54"/>
    </row>
    <row r="20" spans="1:8">
      <c r="A20" s="54"/>
      <c r="B20" s="54"/>
      <c r="C20" s="54"/>
      <c r="D20" s="54"/>
      <c r="E20" s="54"/>
      <c r="F20" s="54"/>
      <c r="G20" s="52"/>
      <c r="H20" s="54"/>
    </row>
    <row r="21" spans="1:8">
      <c r="A21" s="54"/>
      <c r="B21" s="54"/>
      <c r="C21" s="54"/>
      <c r="D21" s="54"/>
      <c r="E21" s="54"/>
      <c r="F21" s="54"/>
      <c r="G21" s="52"/>
      <c r="H21" s="54"/>
    </row>
    <row r="22" spans="1:8">
      <c r="A22" s="54"/>
      <c r="B22" s="54"/>
      <c r="C22" s="54"/>
      <c r="D22" s="54"/>
      <c r="E22" s="54"/>
      <c r="F22" s="54"/>
      <c r="G22" s="52"/>
      <c r="H22" s="54"/>
    </row>
    <row r="23" spans="1:8">
      <c r="A23" s="54"/>
      <c r="B23" s="54"/>
      <c r="C23" s="54"/>
      <c r="D23" s="54"/>
      <c r="E23" s="54"/>
      <c r="F23" s="54"/>
      <c r="G23" s="52"/>
      <c r="H23" s="54"/>
    </row>
    <row r="24" spans="1:8">
      <c r="A24" s="54"/>
      <c r="B24" s="54"/>
      <c r="C24" s="54"/>
      <c r="D24" s="54"/>
      <c r="E24" s="54"/>
      <c r="F24" s="54"/>
      <c r="G24" s="52"/>
      <c r="H24" s="54"/>
    </row>
    <row r="25" spans="1:8">
      <c r="A25" s="54"/>
      <c r="B25" s="54"/>
      <c r="C25" s="54"/>
      <c r="D25" s="54"/>
      <c r="E25" s="54"/>
      <c r="F25" s="54"/>
      <c r="G25" s="52"/>
      <c r="H25" s="54"/>
    </row>
    <row r="26" spans="1:8">
      <c r="A26" s="54"/>
      <c r="B26" s="54"/>
      <c r="C26" s="54"/>
      <c r="D26" s="54"/>
      <c r="E26" s="54"/>
      <c r="F26" s="54"/>
      <c r="G26" s="52"/>
      <c r="H26" s="54"/>
    </row>
    <row r="27" spans="1:8">
      <c r="A27" s="54"/>
      <c r="B27" s="54"/>
      <c r="C27" s="54"/>
      <c r="D27" s="54"/>
      <c r="E27" s="54"/>
      <c r="F27" s="54"/>
      <c r="G27" s="52"/>
      <c r="H27" s="54"/>
    </row>
    <row r="28" spans="1:8">
      <c r="A28" s="54"/>
      <c r="B28" s="54"/>
      <c r="C28" s="54"/>
      <c r="D28" s="54"/>
      <c r="E28" s="54"/>
      <c r="F28" s="54"/>
      <c r="G28" s="52"/>
      <c r="H28" s="54"/>
    </row>
    <row r="29" spans="1:8">
      <c r="A29" s="54"/>
      <c r="B29" s="54"/>
      <c r="C29" s="54"/>
      <c r="D29" s="54"/>
      <c r="E29" s="54"/>
      <c r="F29" s="54"/>
      <c r="G29" s="52"/>
      <c r="H29" s="54"/>
    </row>
    <row r="30" spans="1:8">
      <c r="A30" s="54"/>
      <c r="B30" s="54"/>
      <c r="C30" s="54"/>
      <c r="D30" s="54"/>
      <c r="E30" s="54"/>
      <c r="F30" s="54"/>
      <c r="G30" s="52"/>
      <c r="H30" s="54"/>
    </row>
    <row r="31" spans="1:8">
      <c r="A31" s="54"/>
      <c r="B31" s="54"/>
      <c r="C31" s="54"/>
      <c r="D31" s="54"/>
      <c r="E31" s="54"/>
      <c r="F31" s="54"/>
      <c r="G31" s="52"/>
      <c r="H31" s="54"/>
    </row>
    <row r="32" spans="1:8">
      <c r="A32" s="54"/>
      <c r="B32" s="54"/>
      <c r="C32" s="54"/>
      <c r="D32" s="54"/>
      <c r="E32" s="54"/>
      <c r="F32" s="54"/>
      <c r="G32" s="52"/>
      <c r="H32" s="54"/>
    </row>
    <row r="33" spans="1:8">
      <c r="A33" s="54"/>
      <c r="B33" s="54"/>
      <c r="C33" s="54"/>
      <c r="D33" s="54"/>
      <c r="E33" s="54"/>
      <c r="F33" s="54"/>
      <c r="G33" s="52"/>
      <c r="H33" s="54"/>
    </row>
    <row r="34" spans="1:8">
      <c r="A34" s="54"/>
      <c r="B34" s="54"/>
      <c r="C34" s="54"/>
      <c r="D34" s="54"/>
      <c r="E34" s="54"/>
      <c r="F34" s="54"/>
      <c r="G34" s="52"/>
      <c r="H34" s="54"/>
    </row>
    <row r="35" spans="1:8">
      <c r="A35" s="54"/>
      <c r="B35" s="54"/>
      <c r="C35" s="54"/>
      <c r="D35" s="54"/>
      <c r="E35" s="54"/>
      <c r="F35" s="54"/>
      <c r="G35" s="52"/>
      <c r="H35" s="54"/>
    </row>
    <row r="36" spans="1:8">
      <c r="A36" s="54"/>
      <c r="B36" s="54"/>
      <c r="C36" s="54"/>
      <c r="D36" s="54"/>
      <c r="E36" s="54"/>
      <c r="F36" s="54"/>
      <c r="G36" s="52"/>
      <c r="H36" s="54"/>
    </row>
    <row r="37" spans="1:8">
      <c r="A37" s="54"/>
      <c r="B37" s="54"/>
      <c r="C37" s="54"/>
      <c r="D37" s="54"/>
      <c r="E37" s="54"/>
      <c r="F37" s="54"/>
      <c r="G37" s="52"/>
      <c r="H37" s="54"/>
    </row>
    <row r="38" spans="1:8">
      <c r="A38" s="54"/>
      <c r="B38" s="54"/>
      <c r="C38" s="54"/>
      <c r="D38" s="54"/>
      <c r="E38" s="54"/>
      <c r="F38" s="54"/>
      <c r="G38" s="52"/>
      <c r="H38" s="54"/>
    </row>
    <row r="39" spans="1:8">
      <c r="A39" s="54"/>
      <c r="B39" s="54"/>
      <c r="C39" s="54"/>
      <c r="D39" s="54"/>
      <c r="E39" s="54"/>
      <c r="F39" s="54"/>
      <c r="G39" s="52"/>
      <c r="H39" s="54"/>
    </row>
    <row r="40" spans="1:8">
      <c r="A40" s="54"/>
      <c r="B40" s="54"/>
      <c r="C40" s="54"/>
      <c r="D40" s="54"/>
      <c r="E40" s="54"/>
      <c r="F40" s="54"/>
      <c r="G40" s="52"/>
      <c r="H40" s="54"/>
    </row>
    <row r="41" spans="1:8">
      <c r="A41" s="54"/>
      <c r="B41" s="54"/>
      <c r="C41" s="54"/>
      <c r="D41" s="54"/>
      <c r="E41" s="54"/>
      <c r="F41" s="54"/>
      <c r="G41" s="52"/>
      <c r="H41" s="54"/>
    </row>
    <row r="42" spans="1:8">
      <c r="A42" s="54"/>
      <c r="B42" s="54"/>
      <c r="C42" s="54"/>
      <c r="D42" s="54"/>
      <c r="E42" s="54"/>
      <c r="F42" s="54"/>
      <c r="G42" s="52"/>
      <c r="H42" s="54"/>
    </row>
    <row r="43" spans="1:8">
      <c r="A43" s="54"/>
      <c r="B43" s="54"/>
      <c r="C43" s="54"/>
      <c r="D43" s="54"/>
      <c r="E43" s="54"/>
      <c r="F43" s="54"/>
      <c r="G43" s="52"/>
      <c r="H43" s="54"/>
    </row>
    <row r="44" spans="1:8">
      <c r="A44" s="54"/>
      <c r="B44" s="54"/>
      <c r="C44" s="54"/>
      <c r="D44" s="54"/>
      <c r="E44" s="54"/>
      <c r="F44" s="54"/>
      <c r="G44" s="52"/>
      <c r="H44" s="54"/>
    </row>
    <row r="45" spans="1:8">
      <c r="A45" s="54"/>
      <c r="B45" s="54"/>
      <c r="C45" s="54"/>
      <c r="D45" s="54"/>
      <c r="E45" s="54"/>
      <c r="F45" s="54"/>
      <c r="G45" s="52"/>
      <c r="H45" s="54"/>
    </row>
    <row r="46" spans="1:8">
      <c r="A46" s="54"/>
      <c r="B46" s="54"/>
      <c r="C46" s="54"/>
      <c r="D46" s="54"/>
      <c r="E46" s="54"/>
      <c r="F46" s="54"/>
      <c r="G46" s="52"/>
      <c r="H46" s="54"/>
    </row>
    <row r="47" spans="1:8">
      <c r="A47" s="54"/>
      <c r="B47" s="54"/>
      <c r="C47" s="54"/>
      <c r="D47" s="54"/>
      <c r="E47" s="54"/>
      <c r="F47" s="54"/>
      <c r="G47" s="52"/>
      <c r="H47" s="54"/>
    </row>
    <row r="48" spans="1:8">
      <c r="A48" s="54"/>
      <c r="B48" s="54"/>
      <c r="C48" s="54"/>
      <c r="D48" s="54"/>
      <c r="E48" s="54"/>
      <c r="F48" s="54"/>
      <c r="G48" s="52"/>
      <c r="H48" s="54"/>
    </row>
    <row r="49" spans="1:8">
      <c r="A49" s="54"/>
      <c r="B49" s="54"/>
      <c r="C49" s="54"/>
      <c r="D49" s="54"/>
      <c r="E49" s="54"/>
      <c r="F49" s="54"/>
      <c r="G49" s="52"/>
      <c r="H49" s="54"/>
    </row>
    <row r="50" spans="1:8">
      <c r="A50" s="54"/>
      <c r="B50" s="54"/>
      <c r="C50" s="54"/>
      <c r="D50" s="54"/>
      <c r="E50" s="54"/>
      <c r="F50" s="54"/>
      <c r="G50" s="52"/>
      <c r="H50" s="54"/>
    </row>
    <row r="51" spans="1:8">
      <c r="A51" s="54"/>
      <c r="B51" s="54"/>
      <c r="C51" s="54"/>
      <c r="D51" s="54"/>
      <c r="E51" s="54"/>
      <c r="F51" s="54"/>
      <c r="G51" s="52"/>
      <c r="H51" s="54"/>
    </row>
    <row r="52" spans="1:8">
      <c r="A52" s="54"/>
      <c r="B52" s="54"/>
      <c r="C52" s="54"/>
      <c r="D52" s="54"/>
      <c r="E52" s="54"/>
      <c r="F52" s="54"/>
      <c r="G52" s="52"/>
      <c r="H52" s="54"/>
    </row>
    <row r="53" spans="1:8">
      <c r="A53" s="54"/>
      <c r="B53" s="54"/>
      <c r="C53" s="54"/>
      <c r="D53" s="54"/>
      <c r="E53" s="54"/>
      <c r="F53" s="54"/>
      <c r="G53" s="52"/>
      <c r="H53" s="54"/>
    </row>
    <row r="54" spans="1:8">
      <c r="A54" s="54"/>
      <c r="B54" s="54"/>
      <c r="C54" s="54"/>
      <c r="D54" s="54"/>
      <c r="E54" s="54"/>
      <c r="F54" s="54"/>
      <c r="G54" s="52"/>
      <c r="H54" s="54"/>
    </row>
    <row r="55" spans="1:8">
      <c r="A55" s="54"/>
      <c r="B55" s="54"/>
      <c r="C55" s="54"/>
      <c r="D55" s="54"/>
      <c r="E55" s="54"/>
      <c r="F55" s="54"/>
      <c r="G55" s="52"/>
      <c r="H55" s="54"/>
    </row>
  </sheetData>
  <mergeCells count="1">
    <mergeCell ref="A3:H3"/>
  </mergeCells>
  <dataValidations count="2">
    <dataValidation type="list" errorStyle="warning" allowBlank="1" showInputMessage="1" showErrorMessage="1" errorTitle="Trade" error="Not in the list. Keep it anyway?" sqref="B6:B55">
      <formula1>"Gas engineer,Electrician,Fire alarm engineer,Fire risk assessor,Emergency lighting,Extinguisher servicing,Water hygiene / legionella,Plumber,Builder,EPC assessor,Pest control,Other"</formula1>
    </dataValidation>
    <dataValidation type="date" allowBlank="1" showInputMessage="1" showErrorMessage="1" errorTitle="Not a date" error="Enter a date as dd/mm/yyyy. In Google Sheets set File &gt; Settings &gt; Locale to United Kingdom." sqref="G6:G55">
      <formula1>36526</formula1>
      <formula2>73415</formula2>
    </dataValidation>
  </dataValidations>
  <pageMargins left="0.4" right="0.4" top="0.5" bottom="0.55" header="0.3" footer="0.3"/>
  <pageSetup paperSize="9" fitToHeight="0" orientation="landscape"/>
  <headerFooter>
    <oddFooter>&amp;L&amp;8&amp;A&amp;C&amp;8Page &amp;P of &amp;N&amp;R&amp;8Printed &amp;D</oddFooter>
  </headerFooter>
  <ignoredErrors>
    <ignoredError sqref="A1:Z2000" numberStoredAsText="1"/>
    <ignoredError sqref="A1:Z2000" formula="1"/>
  </ignoredErrors>
</worksheet>
</file>

<file path=xl/worksheets/sheet10.xml><?xml version="1.0" encoding="utf-8"?>
<worksheet xmlns="http://schemas.openxmlformats.org/spreadsheetml/2006/main" xmlns:r="http://schemas.openxmlformats.org/officeDocument/2006/relationships">
  <sheetPr>
    <tabColor rgb="FF757575"/>
    <pageSetUpPr fitToPage="1"/>
  </sheetPr>
  <dimension ref="A1:I48"/>
  <sheetViews>
    <sheetView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40.7109375" customWidth="1"/>
    <col min="2" max="2" width="26.7109375" customWidth="1"/>
    <col min="3" max="3" width="12.7109375" customWidth="1"/>
    <col min="4" max="4" width="24.7109375" customWidth="1"/>
    <col min="5" max="5" width="16.7109375" customWidth="1"/>
    <col min="6" max="6" width="42.7109375" customWidth="1"/>
    <col min="7" max="7" width="78.7109375" customWidth="1"/>
    <col min="8" max="8" width="62.7109375" customWidth="1"/>
    <col min="9" max="9" width="12.7109375" customWidth="1"/>
  </cols>
  <sheetData>
    <row r="1" spans="1:9" ht="17" customHeight="1">
      <c r="A1" s="25" t="str">
        <f>IF(TRIM('Start Here'!$C$20)="","HMO Compliance Tracker 2026",TRIM('Start Here'!$C$20))&amp;IF(TRIM('Start Here'!$C$21)="","","  |  "&amp;TRIM('Start Here'!$C$21))&amp;IF(TRIM('Start Here'!$C$22)="","","  |  "&amp;TRIM('Start Here'!$C$22))&amp;IF(TRIM('Start Here'!$C$23)="","","  |  "&amp;TRIM('Start Here'!$C$23))</f>
        <v>HMO Compliance Tracker 2026</v>
      </c>
      <c r="B1" s="26"/>
      <c r="C1" s="26"/>
      <c r="D1" s="26"/>
      <c r="E1" s="26"/>
      <c r="F1" s="26"/>
      <c r="G1" s="26"/>
      <c r="H1" s="26"/>
      <c r="I1" s="26"/>
    </row>
    <row r="2" spans="1:9" ht="30" customHeight="1">
      <c r="A2" s="55" t="s">
        <v>446</v>
      </c>
    </row>
    <row r="3" spans="1:9" ht="32" customHeight="1">
      <c r="A3" s="95" t="s">
        <v>447</v>
      </c>
      <c r="B3" s="95"/>
      <c r="C3" s="95"/>
      <c r="D3" s="95"/>
      <c r="E3" s="95"/>
      <c r="F3" s="95"/>
      <c r="G3" s="95"/>
      <c r="H3" s="95"/>
      <c r="I3" s="95"/>
    </row>
    <row r="4" spans="1:9" ht="6" customHeight="1"/>
    <row r="5" spans="1:9" ht="36" customHeight="1">
      <c r="A5" s="96" t="s">
        <v>448</v>
      </c>
      <c r="B5" s="96" t="s">
        <v>449</v>
      </c>
      <c r="C5" s="123" t="s">
        <v>450</v>
      </c>
      <c r="D5" s="96" t="s">
        <v>451</v>
      </c>
      <c r="E5" s="96" t="s">
        <v>284</v>
      </c>
      <c r="F5" s="96" t="s">
        <v>285</v>
      </c>
      <c r="G5" s="96" t="s">
        <v>452</v>
      </c>
      <c r="H5" s="96" t="s">
        <v>453</v>
      </c>
      <c r="I5" s="96" t="s">
        <v>454</v>
      </c>
    </row>
    <row r="6" spans="1:9" ht="80.6" customHeight="1">
      <c r="A6" s="124" t="s">
        <v>221</v>
      </c>
      <c r="B6" s="125" t="s">
        <v>455</v>
      </c>
      <c r="C6" s="126">
        <v>12</v>
      </c>
      <c r="D6" s="125" t="s">
        <v>456</v>
      </c>
      <c r="E6" s="127" t="s">
        <v>457</v>
      </c>
      <c r="F6" s="125" t="s">
        <v>458</v>
      </c>
      <c r="G6" s="125" t="s">
        <v>459</v>
      </c>
      <c r="H6" s="128" t="s">
        <v>460</v>
      </c>
      <c r="I6" s="129" t="s">
        <v>461</v>
      </c>
    </row>
    <row r="7" spans="1:9" ht="80.6" customHeight="1">
      <c r="A7" s="124" t="s">
        <v>225</v>
      </c>
      <c r="B7" s="125" t="s">
        <v>462</v>
      </c>
      <c r="C7" s="126">
        <v>60</v>
      </c>
      <c r="D7" s="125" t="s">
        <v>463</v>
      </c>
      <c r="E7" s="127" t="s">
        <v>457</v>
      </c>
      <c r="F7" s="125" t="s">
        <v>464</v>
      </c>
      <c r="G7" s="125" t="s">
        <v>465</v>
      </c>
      <c r="H7" s="128" t="s">
        <v>466</v>
      </c>
      <c r="I7" s="129" t="s">
        <v>461</v>
      </c>
    </row>
    <row r="8" spans="1:9" ht="68" customHeight="1">
      <c r="A8" s="124" t="s">
        <v>247</v>
      </c>
      <c r="B8" s="125" t="s">
        <v>467</v>
      </c>
      <c r="C8" s="126">
        <v>120</v>
      </c>
      <c r="D8" s="125" t="s">
        <v>468</v>
      </c>
      <c r="E8" s="127" t="s">
        <v>457</v>
      </c>
      <c r="F8" s="125" t="s">
        <v>469</v>
      </c>
      <c r="G8" s="125" t="s">
        <v>470</v>
      </c>
      <c r="H8" s="128" t="s">
        <v>471</v>
      </c>
      <c r="I8" s="129" t="s">
        <v>461</v>
      </c>
    </row>
    <row r="9" spans="1:9" ht="80.6" customHeight="1">
      <c r="A9" s="124" t="s">
        <v>229</v>
      </c>
      <c r="B9" s="125" t="s">
        <v>472</v>
      </c>
      <c r="C9" s="126">
        <v>12</v>
      </c>
      <c r="D9" s="125" t="s">
        <v>473</v>
      </c>
      <c r="E9" s="130" t="s">
        <v>474</v>
      </c>
      <c r="F9" s="125" t="s">
        <v>475</v>
      </c>
      <c r="G9" s="125" t="s">
        <v>476</v>
      </c>
      <c r="H9" s="128" t="s">
        <v>477</v>
      </c>
      <c r="I9" s="129" t="s">
        <v>461</v>
      </c>
    </row>
    <row r="10" spans="1:9" ht="55.4" customHeight="1">
      <c r="A10" s="124" t="s">
        <v>233</v>
      </c>
      <c r="B10" s="125" t="s">
        <v>478</v>
      </c>
      <c r="C10" s="126">
        <v>6</v>
      </c>
      <c r="D10" s="125" t="s">
        <v>479</v>
      </c>
      <c r="E10" s="131" t="s">
        <v>480</v>
      </c>
      <c r="F10" s="125" t="s">
        <v>481</v>
      </c>
      <c r="G10" s="125" t="s">
        <v>482</v>
      </c>
      <c r="H10" s="128" t="s">
        <v>483</v>
      </c>
      <c r="I10" s="129" t="s">
        <v>461</v>
      </c>
    </row>
    <row r="11" spans="1:9" ht="42.8" customHeight="1">
      <c r="A11" s="124" t="s">
        <v>484</v>
      </c>
      <c r="B11" s="125" t="s">
        <v>485</v>
      </c>
      <c r="C11" s="126">
        <v>1</v>
      </c>
      <c r="D11" s="125" t="s">
        <v>486</v>
      </c>
      <c r="E11" s="131" t="s">
        <v>480</v>
      </c>
      <c r="F11" s="125" t="s">
        <v>487</v>
      </c>
      <c r="G11" s="125" t="s">
        <v>488</v>
      </c>
      <c r="H11" s="128" t="s">
        <v>483</v>
      </c>
      <c r="I11" s="129" t="s">
        <v>461</v>
      </c>
    </row>
    <row r="12" spans="1:9" ht="42.8" customHeight="1">
      <c r="A12" s="124" t="s">
        <v>236</v>
      </c>
      <c r="B12" s="125" t="s">
        <v>485</v>
      </c>
      <c r="C12" s="126">
        <v>12</v>
      </c>
      <c r="D12" s="125" t="s">
        <v>489</v>
      </c>
      <c r="E12" s="131" t="s">
        <v>480</v>
      </c>
      <c r="F12" s="125" t="s">
        <v>490</v>
      </c>
      <c r="G12" s="125" t="s">
        <v>491</v>
      </c>
      <c r="H12" s="128" t="s">
        <v>483</v>
      </c>
      <c r="I12" s="129" t="s">
        <v>461</v>
      </c>
    </row>
    <row r="13" spans="1:9" ht="30.2" customHeight="1">
      <c r="A13" s="124" t="s">
        <v>239</v>
      </c>
      <c r="B13" s="125" t="s">
        <v>492</v>
      </c>
      <c r="C13" s="126">
        <v>12</v>
      </c>
      <c r="D13" s="125" t="s">
        <v>493</v>
      </c>
      <c r="E13" s="131" t="s">
        <v>480</v>
      </c>
      <c r="F13" s="125" t="s">
        <v>487</v>
      </c>
      <c r="G13" s="125" t="s">
        <v>494</v>
      </c>
      <c r="H13" s="128" t="s">
        <v>483</v>
      </c>
      <c r="I13" s="129" t="s">
        <v>461</v>
      </c>
    </row>
    <row r="14" spans="1:9" ht="55.4" customHeight="1">
      <c r="A14" s="124" t="s">
        <v>495</v>
      </c>
      <c r="B14" s="125" t="s">
        <v>496</v>
      </c>
      <c r="C14" s="126">
        <v>1</v>
      </c>
      <c r="D14" s="125" t="s">
        <v>497</v>
      </c>
      <c r="E14" s="131" t="s">
        <v>480</v>
      </c>
      <c r="F14" s="125" t="s">
        <v>498</v>
      </c>
      <c r="G14" s="125" t="s">
        <v>499</v>
      </c>
      <c r="H14" s="128" t="s">
        <v>483</v>
      </c>
      <c r="I14" s="129" t="s">
        <v>461</v>
      </c>
    </row>
    <row r="15" spans="1:9" ht="80.6" customHeight="1">
      <c r="A15" s="124" t="s">
        <v>249</v>
      </c>
      <c r="B15" s="125" t="s">
        <v>500</v>
      </c>
      <c r="C15" s="126">
        <v>12</v>
      </c>
      <c r="D15" s="125" t="s">
        <v>501</v>
      </c>
      <c r="E15" s="130" t="s">
        <v>474</v>
      </c>
      <c r="F15" s="125" t="s">
        <v>502</v>
      </c>
      <c r="G15" s="125" t="s">
        <v>503</v>
      </c>
      <c r="H15" s="128" t="s">
        <v>504</v>
      </c>
      <c r="I15" s="129" t="s">
        <v>461</v>
      </c>
    </row>
    <row r="16" spans="1:9" ht="55.4" customHeight="1">
      <c r="A16" s="124" t="s">
        <v>241</v>
      </c>
      <c r="B16" s="125" t="s">
        <v>505</v>
      </c>
      <c r="C16" s="126">
        <v>12</v>
      </c>
      <c r="D16" s="125" t="s">
        <v>506</v>
      </c>
      <c r="E16" s="132" t="s">
        <v>507</v>
      </c>
      <c r="F16" s="125" t="s">
        <v>508</v>
      </c>
      <c r="G16" s="125" t="s">
        <v>509</v>
      </c>
      <c r="H16" s="128" t="s">
        <v>510</v>
      </c>
      <c r="I16" s="129" t="s">
        <v>461</v>
      </c>
    </row>
    <row r="17" spans="1:9" ht="55.4" customHeight="1">
      <c r="A17" s="124" t="s">
        <v>511</v>
      </c>
      <c r="B17" s="125" t="s">
        <v>512</v>
      </c>
      <c r="C17" s="126">
        <v>24</v>
      </c>
      <c r="D17" s="125" t="s">
        <v>513</v>
      </c>
      <c r="E17" s="132" t="s">
        <v>507</v>
      </c>
      <c r="F17" s="125" t="s">
        <v>514</v>
      </c>
      <c r="G17" s="125" t="s">
        <v>515</v>
      </c>
      <c r="H17" s="128" t="s">
        <v>516</v>
      </c>
      <c r="I17" s="129" t="s">
        <v>461</v>
      </c>
    </row>
    <row r="18" spans="1:9" ht="80.6" customHeight="1">
      <c r="A18" s="124" t="s">
        <v>242</v>
      </c>
      <c r="B18" s="125" t="s">
        <v>517</v>
      </c>
      <c r="C18" s="126">
        <v>60</v>
      </c>
      <c r="D18" s="125" t="s">
        <v>518</v>
      </c>
      <c r="E18" s="127" t="s">
        <v>457</v>
      </c>
      <c r="F18" s="125" t="s">
        <v>519</v>
      </c>
      <c r="G18" s="125" t="s">
        <v>520</v>
      </c>
      <c r="H18" s="128" t="s">
        <v>521</v>
      </c>
      <c r="I18" s="129" t="s">
        <v>461</v>
      </c>
    </row>
    <row r="19" spans="1:9" ht="30.2" customHeight="1">
      <c r="A19" s="124" t="s">
        <v>522</v>
      </c>
      <c r="B19" s="125" t="s">
        <v>523</v>
      </c>
      <c r="C19" s="126">
        <v>12</v>
      </c>
      <c r="D19" s="125" t="s">
        <v>524</v>
      </c>
      <c r="E19" s="133" t="s">
        <v>525</v>
      </c>
      <c r="F19" s="125" t="s">
        <v>526</v>
      </c>
      <c r="G19" s="125" t="s">
        <v>527</v>
      </c>
      <c r="H19" s="128" t="s">
        <v>528</v>
      </c>
      <c r="I19" s="129" t="s">
        <v>461</v>
      </c>
    </row>
    <row r="20" spans="1:9" ht="42.8" customHeight="1">
      <c r="A20" s="124" t="s">
        <v>529</v>
      </c>
      <c r="B20" s="125" t="s">
        <v>530</v>
      </c>
      <c r="C20" s="126">
        <v>12</v>
      </c>
      <c r="D20" s="125" t="s">
        <v>489</v>
      </c>
      <c r="E20" s="130" t="s">
        <v>531</v>
      </c>
      <c r="F20" s="125" t="s">
        <v>532</v>
      </c>
      <c r="G20" s="125" t="s">
        <v>533</v>
      </c>
      <c r="H20" s="128" t="s">
        <v>534</v>
      </c>
      <c r="I20" s="129" t="s">
        <v>461</v>
      </c>
    </row>
    <row r="21" spans="1:9" ht="42.8" customHeight="1">
      <c r="A21" s="124" t="s">
        <v>535</v>
      </c>
      <c r="B21" s="125" t="s">
        <v>536</v>
      </c>
      <c r="C21" s="126">
        <v>6</v>
      </c>
      <c r="D21" s="125" t="s">
        <v>537</v>
      </c>
      <c r="E21" s="132" t="s">
        <v>507</v>
      </c>
      <c r="F21" s="125" t="s">
        <v>538</v>
      </c>
      <c r="G21" s="125" t="s">
        <v>539</v>
      </c>
      <c r="H21" s="128" t="s">
        <v>540</v>
      </c>
      <c r="I21" s="129" t="s">
        <v>461</v>
      </c>
    </row>
    <row r="22" spans="1:9" ht="20" customHeight="1">
      <c r="A22" s="134"/>
      <c r="B22" s="135"/>
      <c r="C22" s="136"/>
      <c r="D22" s="135"/>
      <c r="E22" s="135"/>
      <c r="F22" s="135"/>
      <c r="G22" s="135"/>
      <c r="H22" s="135"/>
      <c r="I22" s="135"/>
    </row>
    <row r="23" spans="1:9" ht="20" customHeight="1">
      <c r="A23" s="134"/>
      <c r="B23" s="135"/>
      <c r="C23" s="136"/>
      <c r="D23" s="135"/>
      <c r="E23" s="135"/>
      <c r="F23" s="135"/>
      <c r="G23" s="135"/>
      <c r="H23" s="135"/>
      <c r="I23" s="135"/>
    </row>
    <row r="24" spans="1:9" ht="20" customHeight="1">
      <c r="A24" s="134"/>
      <c r="B24" s="135"/>
      <c r="C24" s="136"/>
      <c r="D24" s="135"/>
      <c r="E24" s="135"/>
      <c r="F24" s="135"/>
      <c r="G24" s="135"/>
      <c r="H24" s="135"/>
      <c r="I24" s="135"/>
    </row>
    <row r="25" spans="1:9" ht="20" customHeight="1">
      <c r="A25" s="134"/>
      <c r="B25" s="135"/>
      <c r="C25" s="136"/>
      <c r="D25" s="135"/>
      <c r="E25" s="135"/>
      <c r="F25" s="135"/>
      <c r="G25" s="135"/>
      <c r="H25" s="135"/>
      <c r="I25" s="135"/>
    </row>
    <row r="26" spans="1:9" ht="20" customHeight="1">
      <c r="A26" s="134"/>
      <c r="B26" s="135"/>
      <c r="C26" s="136"/>
      <c r="D26" s="135"/>
      <c r="E26" s="135"/>
      <c r="F26" s="135"/>
      <c r="G26" s="135"/>
      <c r="H26" s="135"/>
      <c r="I26" s="135"/>
    </row>
    <row r="27" spans="1:9" ht="20" customHeight="1">
      <c r="A27" s="134"/>
      <c r="B27" s="135"/>
      <c r="C27" s="136"/>
      <c r="D27" s="135"/>
      <c r="E27" s="135"/>
      <c r="F27" s="135"/>
      <c r="G27" s="135"/>
      <c r="H27" s="135"/>
      <c r="I27" s="135"/>
    </row>
    <row r="30" spans="1:9" ht="22" customHeight="1">
      <c r="A30" s="4" t="s">
        <v>541</v>
      </c>
      <c r="B30" s="4"/>
      <c r="C30" s="4"/>
      <c r="D30" s="4"/>
      <c r="E30" s="4"/>
      <c r="F30" s="4"/>
      <c r="G30" s="4"/>
      <c r="H30" s="4"/>
      <c r="I30" s="4"/>
    </row>
    <row r="31" spans="1:9" ht="30" customHeight="1">
      <c r="A31" s="50" t="s">
        <v>448</v>
      </c>
      <c r="B31" s="50" t="s">
        <v>449</v>
      </c>
      <c r="C31" s="50" t="s">
        <v>450</v>
      </c>
      <c r="D31" s="50" t="s">
        <v>451</v>
      </c>
      <c r="E31" s="50" t="s">
        <v>284</v>
      </c>
      <c r="F31" s="50" t="s">
        <v>285</v>
      </c>
      <c r="G31" s="50" t="s">
        <v>452</v>
      </c>
      <c r="H31" s="50" t="s">
        <v>453</v>
      </c>
      <c r="I31" s="50" t="s">
        <v>454</v>
      </c>
    </row>
    <row r="32" spans="1:9" ht="105.8" customHeight="1">
      <c r="A32" s="124" t="s">
        <v>542</v>
      </c>
      <c r="B32" s="125" t="s">
        <v>543</v>
      </c>
      <c r="C32" s="137" t="s">
        <v>544</v>
      </c>
      <c r="D32" s="125" t="s">
        <v>545</v>
      </c>
      <c r="E32" s="127" t="s">
        <v>457</v>
      </c>
      <c r="F32" s="125" t="s">
        <v>546</v>
      </c>
      <c r="G32" s="125" t="s">
        <v>547</v>
      </c>
      <c r="H32" s="128" t="s">
        <v>540</v>
      </c>
      <c r="I32" s="129" t="s">
        <v>461</v>
      </c>
    </row>
    <row r="33" spans="1:9" ht="80.6" customHeight="1">
      <c r="A33" s="124" t="s">
        <v>548</v>
      </c>
      <c r="B33" s="125" t="s">
        <v>549</v>
      </c>
      <c r="C33" s="137" t="s">
        <v>544</v>
      </c>
      <c r="D33" s="125" t="s">
        <v>550</v>
      </c>
      <c r="E33" s="127" t="s">
        <v>457</v>
      </c>
      <c r="F33" s="125" t="s">
        <v>551</v>
      </c>
      <c r="G33" s="125" t="s">
        <v>552</v>
      </c>
      <c r="H33" s="128" t="s">
        <v>528</v>
      </c>
      <c r="I33" s="129" t="s">
        <v>461</v>
      </c>
    </row>
    <row r="34" spans="1:9" ht="105.8" customHeight="1">
      <c r="A34" s="124" t="s">
        <v>553</v>
      </c>
      <c r="B34" s="125" t="s">
        <v>554</v>
      </c>
      <c r="C34" s="137" t="s">
        <v>544</v>
      </c>
      <c r="D34" s="125" t="s">
        <v>545</v>
      </c>
      <c r="E34" s="127" t="s">
        <v>457</v>
      </c>
      <c r="F34" s="125" t="s">
        <v>555</v>
      </c>
      <c r="G34" s="125" t="s">
        <v>556</v>
      </c>
      <c r="H34" s="128" t="s">
        <v>528</v>
      </c>
      <c r="I34" s="129" t="s">
        <v>461</v>
      </c>
    </row>
    <row r="35" spans="1:9" ht="68" customHeight="1">
      <c r="A35" s="124" t="s">
        <v>557</v>
      </c>
      <c r="B35" s="125" t="s">
        <v>558</v>
      </c>
      <c r="C35" s="137" t="s">
        <v>544</v>
      </c>
      <c r="D35" s="125" t="s">
        <v>559</v>
      </c>
      <c r="E35" s="127" t="s">
        <v>457</v>
      </c>
      <c r="F35" s="125" t="s">
        <v>560</v>
      </c>
      <c r="G35" s="125" t="s">
        <v>561</v>
      </c>
      <c r="H35" s="128" t="s">
        <v>562</v>
      </c>
      <c r="I35" s="129" t="s">
        <v>461</v>
      </c>
    </row>
    <row r="36" spans="1:9" ht="80.6" customHeight="1">
      <c r="A36" s="124" t="s">
        <v>563</v>
      </c>
      <c r="B36" s="125" t="s">
        <v>564</v>
      </c>
      <c r="C36" s="137" t="s">
        <v>544</v>
      </c>
      <c r="D36" s="125" t="s">
        <v>565</v>
      </c>
      <c r="E36" s="127" t="s">
        <v>457</v>
      </c>
      <c r="F36" s="125" t="s">
        <v>566</v>
      </c>
      <c r="G36" s="125" t="s">
        <v>567</v>
      </c>
      <c r="H36" s="128" t="s">
        <v>568</v>
      </c>
      <c r="I36" s="129" t="s">
        <v>461</v>
      </c>
    </row>
    <row r="37" spans="1:9" ht="68" customHeight="1">
      <c r="A37" s="124" t="s">
        <v>569</v>
      </c>
      <c r="B37" s="125" t="s">
        <v>570</v>
      </c>
      <c r="C37" s="137" t="s">
        <v>544</v>
      </c>
      <c r="D37" s="125" t="s">
        <v>571</v>
      </c>
      <c r="E37" s="127" t="s">
        <v>457</v>
      </c>
      <c r="F37" s="125" t="s">
        <v>572</v>
      </c>
      <c r="G37" s="125" t="s">
        <v>573</v>
      </c>
      <c r="H37" s="128" t="s">
        <v>574</v>
      </c>
      <c r="I37" s="129" t="s">
        <v>461</v>
      </c>
    </row>
    <row r="38" spans="1:9" ht="93.2" customHeight="1">
      <c r="A38" s="124" t="s">
        <v>575</v>
      </c>
      <c r="B38" s="125" t="s">
        <v>576</v>
      </c>
      <c r="C38" s="137" t="s">
        <v>544</v>
      </c>
      <c r="D38" s="125" t="s">
        <v>577</v>
      </c>
      <c r="E38" s="127" t="s">
        <v>457</v>
      </c>
      <c r="F38" s="125" t="s">
        <v>578</v>
      </c>
      <c r="G38" s="125" t="s">
        <v>579</v>
      </c>
      <c r="H38" s="128" t="s">
        <v>580</v>
      </c>
      <c r="I38" s="129" t="s">
        <v>461</v>
      </c>
    </row>
    <row r="39" spans="1:9" ht="105.8" customHeight="1">
      <c r="A39" s="124" t="s">
        <v>581</v>
      </c>
      <c r="B39" s="125" t="s">
        <v>582</v>
      </c>
      <c r="C39" s="137" t="s">
        <v>544</v>
      </c>
      <c r="D39" s="125" t="s">
        <v>583</v>
      </c>
      <c r="E39" s="127" t="s">
        <v>457</v>
      </c>
      <c r="F39" s="125" t="s">
        <v>584</v>
      </c>
      <c r="G39" s="125" t="s">
        <v>585</v>
      </c>
      <c r="H39" s="128" t="s">
        <v>586</v>
      </c>
      <c r="I39" s="129" t="s">
        <v>461</v>
      </c>
    </row>
    <row r="40" spans="1:9" ht="55.4" customHeight="1">
      <c r="A40" s="124" t="s">
        <v>587</v>
      </c>
      <c r="B40" s="125" t="s">
        <v>588</v>
      </c>
      <c r="C40" s="137" t="s">
        <v>544</v>
      </c>
      <c r="D40" s="125" t="s">
        <v>589</v>
      </c>
      <c r="E40" s="127" t="s">
        <v>457</v>
      </c>
      <c r="F40" s="125" t="s">
        <v>590</v>
      </c>
      <c r="G40" s="125" t="s">
        <v>591</v>
      </c>
      <c r="H40" s="128" t="s">
        <v>592</v>
      </c>
      <c r="I40" s="129" t="s">
        <v>461</v>
      </c>
    </row>
    <row r="41" spans="1:9" ht="68" customHeight="1">
      <c r="A41" s="124" t="s">
        <v>593</v>
      </c>
      <c r="B41" s="125" t="s">
        <v>594</v>
      </c>
      <c r="C41" s="137" t="s">
        <v>544</v>
      </c>
      <c r="D41" s="125" t="s">
        <v>595</v>
      </c>
      <c r="E41" s="130" t="s">
        <v>596</v>
      </c>
      <c r="F41" s="125" t="s">
        <v>597</v>
      </c>
      <c r="G41" s="125" t="s">
        <v>598</v>
      </c>
      <c r="H41" s="128" t="s">
        <v>599</v>
      </c>
      <c r="I41" s="129" t="s">
        <v>461</v>
      </c>
    </row>
    <row r="42" spans="1:9" ht="118.4" customHeight="1">
      <c r="A42" s="124" t="s">
        <v>600</v>
      </c>
      <c r="B42" s="125" t="s">
        <v>594</v>
      </c>
      <c r="C42" s="137" t="s">
        <v>544</v>
      </c>
      <c r="D42" s="125" t="s">
        <v>601</v>
      </c>
      <c r="E42" s="130" t="s">
        <v>602</v>
      </c>
      <c r="F42" s="125" t="s">
        <v>603</v>
      </c>
      <c r="G42" s="125" t="s">
        <v>604</v>
      </c>
      <c r="H42" s="128" t="s">
        <v>605</v>
      </c>
      <c r="I42" s="129" t="s">
        <v>461</v>
      </c>
    </row>
    <row r="43" spans="1:9" ht="55.4" customHeight="1">
      <c r="A43" s="124" t="s">
        <v>606</v>
      </c>
      <c r="B43" s="125" t="s">
        <v>607</v>
      </c>
      <c r="C43" s="137" t="s">
        <v>544</v>
      </c>
      <c r="D43" s="125" t="s">
        <v>608</v>
      </c>
      <c r="E43" s="133" t="s">
        <v>525</v>
      </c>
      <c r="F43" s="125" t="s">
        <v>609</v>
      </c>
      <c r="G43" s="125" t="s">
        <v>610</v>
      </c>
      <c r="H43" s="128" t="s">
        <v>611</v>
      </c>
      <c r="I43" s="129" t="s">
        <v>461</v>
      </c>
    </row>
    <row r="44" spans="1:9" ht="42.8" customHeight="1">
      <c r="A44" s="124" t="s">
        <v>612</v>
      </c>
      <c r="B44" s="125" t="s">
        <v>594</v>
      </c>
      <c r="C44" s="137" t="s">
        <v>544</v>
      </c>
      <c r="D44" s="125" t="s">
        <v>613</v>
      </c>
      <c r="E44" s="131" t="s">
        <v>480</v>
      </c>
      <c r="F44" s="125" t="s">
        <v>614</v>
      </c>
      <c r="G44" s="125" t="s">
        <v>615</v>
      </c>
      <c r="H44" s="128" t="s">
        <v>616</v>
      </c>
      <c r="I44" s="129" t="s">
        <v>461</v>
      </c>
    </row>
    <row r="45" spans="1:9" ht="80.6" customHeight="1">
      <c r="A45" s="124" t="s">
        <v>617</v>
      </c>
      <c r="B45" s="125" t="s">
        <v>618</v>
      </c>
      <c r="C45" s="137" t="s">
        <v>544</v>
      </c>
      <c r="D45" s="125" t="s">
        <v>544</v>
      </c>
      <c r="E45" s="127" t="s">
        <v>457</v>
      </c>
      <c r="F45" s="125" t="s">
        <v>619</v>
      </c>
      <c r="G45" s="125" t="s">
        <v>620</v>
      </c>
      <c r="H45" s="128" t="s">
        <v>621</v>
      </c>
      <c r="I45" s="129" t="s">
        <v>461</v>
      </c>
    </row>
    <row r="46" spans="1:9" ht="42.8" customHeight="1">
      <c r="A46" s="124" t="s">
        <v>622</v>
      </c>
      <c r="B46" s="125" t="s">
        <v>623</v>
      </c>
      <c r="C46" s="137" t="s">
        <v>544</v>
      </c>
      <c r="D46" s="125" t="s">
        <v>624</v>
      </c>
      <c r="E46" s="131" t="s">
        <v>480</v>
      </c>
      <c r="F46" s="125" t="s">
        <v>625</v>
      </c>
      <c r="G46" s="125" t="s">
        <v>626</v>
      </c>
      <c r="H46" s="128" t="s">
        <v>616</v>
      </c>
      <c r="I46" s="129" t="s">
        <v>461</v>
      </c>
    </row>
    <row r="48" spans="1:9">
      <c r="A48" s="13" t="s">
        <v>627</v>
      </c>
    </row>
  </sheetData>
  <mergeCells count="2">
    <mergeCell ref="A3:I3"/>
    <mergeCell ref="A30:I30"/>
  </mergeCells>
  <hyperlinks>
    <hyperlink ref="H6" r:id="rId1"/>
    <hyperlink ref="H7" r:id="rId2"/>
    <hyperlink ref="H8" r:id="rId3"/>
    <hyperlink ref="H9" r:id="rId4"/>
    <hyperlink ref="H10" r:id="rId5"/>
    <hyperlink ref="H11" r:id="rId6"/>
    <hyperlink ref="H12" r:id="rId7"/>
    <hyperlink ref="H13" r:id="rId8"/>
    <hyperlink ref="H14" r:id="rId9"/>
    <hyperlink ref="H15" r:id="rId10"/>
    <hyperlink ref="H16" r:id="rId11"/>
    <hyperlink ref="H17" r:id="rId12"/>
    <hyperlink ref="H18" r:id="rId13"/>
    <hyperlink ref="H19" r:id="rId14"/>
    <hyperlink ref="H20" r:id="rId15"/>
    <hyperlink ref="H21" r:id="rId16"/>
    <hyperlink ref="H32" r:id="rId17"/>
    <hyperlink ref="H33" r:id="rId18"/>
    <hyperlink ref="H34" r:id="rId19"/>
    <hyperlink ref="H35" r:id="rId20"/>
    <hyperlink ref="H36" r:id="rId21"/>
    <hyperlink ref="H37" r:id="rId22"/>
    <hyperlink ref="H38" r:id="rId23"/>
    <hyperlink ref="H39" r:id="rId24"/>
    <hyperlink ref="H40" r:id="rId25"/>
    <hyperlink ref="H41" r:id="rId26"/>
    <hyperlink ref="H42" r:id="rId27"/>
    <hyperlink ref="H43" r:id="rId28"/>
    <hyperlink ref="H44" r:id="rId29"/>
    <hyperlink ref="H45" r:id="rId30"/>
    <hyperlink ref="H46" r:id="rId31"/>
  </hyperlinks>
  <pageMargins left="0.4" right="0.4" top="0.5" bottom="0.55" header="0.3" footer="0.3"/>
  <pageSetup paperSize="9" fitToHeight="0" orientation="landscape"/>
  <headerFooter>
    <oddFooter>&amp;L&amp;8&amp;A&amp;C&amp;8Page &amp;P of &amp;N&amp;R&amp;8Printed &amp;D</oddFooter>
  </headerFooter>
  <ignoredErrors>
    <ignoredError sqref="A1:Z2000" numberStoredAsText="1"/>
    <ignoredError sqref="A1:Z200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22</vt:i4>
      </vt:variant>
    </vt:vector>
  </HeadingPairs>
  <TitlesOfParts>
    <vt:vector size="32" baseType="lpstr">
      <vt:lpstr>Start Here</vt:lpstr>
      <vt:lpstr>Dashboard</vt:lpstr>
      <vt:lpstr>PRS Database Readiness</vt:lpstr>
      <vt:lpstr>Properties</vt:lpstr>
      <vt:lpstr>Compliance Log</vt:lpstr>
      <vt:lpstr>Fire Safety Log</vt:lpstr>
      <vt:lpstr>Licence Conditions</vt:lpstr>
      <vt:lpstr>Tenancies &amp; Renters Rights</vt:lpstr>
      <vt:lpstr>Contractors</vt:lpstr>
      <vt:lpstr>Reference</vt:lpstr>
      <vt:lpstr>BRAND_EMAIL</vt:lpstr>
      <vt:lpstr>BRAND_NAME</vt:lpstr>
      <vt:lpstr>BRAND_PHONE</vt:lpstr>
      <vt:lpstr>BRAND_WEBSITE</vt:lpstr>
      <vt:lpstr>'Compliance Log'!Print_Area</vt:lpstr>
      <vt:lpstr>Contractors!Print_Area</vt:lpstr>
      <vt:lpstr>Dashboard!Print_Area</vt:lpstr>
      <vt:lpstr>'Fire Safety Log'!Print_Area</vt:lpstr>
      <vt:lpstr>'Licence Conditions'!Print_Area</vt:lpstr>
      <vt:lpstr>Properties!Print_Area</vt:lpstr>
      <vt:lpstr>'PRS Database Readiness'!Print_Area</vt:lpstr>
      <vt:lpstr>Reference!Print_Area</vt:lpstr>
      <vt:lpstr>'Start Here'!Print_Area</vt:lpstr>
      <vt:lpstr>'Tenancies &amp; Renters Rights'!Print_Area</vt:lpstr>
      <vt:lpstr>'Compliance Log'!Print_Titles</vt:lpstr>
      <vt:lpstr>Contractors!Print_Titles</vt:lpstr>
      <vt:lpstr>Dashboard!Print_Titles</vt:lpstr>
      <vt:lpstr>'Fire Safety Log'!Print_Titles</vt:lpstr>
      <vt:lpstr>Properties!Print_Titles</vt:lpstr>
      <vt:lpstr>'PRS Database Readiness'!Print_Titles</vt:lpstr>
      <vt:lpstr>Reference!Print_Titles</vt:lpstr>
      <vt:lpstr>'Tenancies &amp; Renters Rights'!Print_Titles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HMO Compliance Tracker 2026</dc:title>
  <dc:subject>HMO compliance tracker for landlords and letting agents (England)</dc:subject>
  <dc:creator>innovateuk.uk</dc:creator>
  <dc:description>Organisational tool, not legal advice. Law as understood at October 2026 (England).</dc:description>
  <cp:lastModifiedBy>innovateuk.uk</cp:lastModifiedBy>
  <dcterms:created xsi:type="dcterms:W3CDTF">2026-10-02T21:11:56Z</dcterms:created>
  <dcterms:modified xsi:type="dcterms:W3CDTF">2026-10-02T21:11:56Z</dcterms:modified>
</cp:coreProperties>
</file>